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ME" sheetId="1" state="visible" r:id="rId1"/>
    <sheet xmlns:r="http://schemas.openxmlformats.org/officeDocument/2006/relationships" name="Lists" sheetId="2" state="hidden" r:id="rId2"/>
    <sheet xmlns:r="http://schemas.openxmlformats.org/officeDocument/2006/relationships" name="Review Status" sheetId="3" state="visible" r:id="rId3"/>
    <sheet xmlns:r="http://schemas.openxmlformats.org/officeDocument/2006/relationships" name="Scoring Summary" sheetId="4" state="visible" r:id="rId4"/>
    <sheet xmlns:r="http://schemas.openxmlformats.org/officeDocument/2006/relationships" name="Q01" sheetId="5" state="visible" r:id="rId5"/>
    <sheet xmlns:r="http://schemas.openxmlformats.org/officeDocument/2006/relationships" name="Q02" sheetId="6" state="visible" r:id="rId6"/>
    <sheet xmlns:r="http://schemas.openxmlformats.org/officeDocument/2006/relationships" name="Q03" sheetId="7" state="visible" r:id="rId7"/>
    <sheet xmlns:r="http://schemas.openxmlformats.org/officeDocument/2006/relationships" name="Q04" sheetId="8" state="visible" r:id="rId8"/>
    <sheet xmlns:r="http://schemas.openxmlformats.org/officeDocument/2006/relationships" name="Q05" sheetId="9" state="visible" r:id="rId9"/>
    <sheet xmlns:r="http://schemas.openxmlformats.org/officeDocument/2006/relationships" name="Q06" sheetId="10" state="visible" r:id="rId10"/>
    <sheet xmlns:r="http://schemas.openxmlformats.org/officeDocument/2006/relationships" name="Q07" sheetId="11" state="visible" r:id="rId11"/>
    <sheet xmlns:r="http://schemas.openxmlformats.org/officeDocument/2006/relationships" name="Q08" sheetId="12" state="visible" r:id="rId12"/>
    <sheet xmlns:r="http://schemas.openxmlformats.org/officeDocument/2006/relationships" name="Q09" sheetId="13" state="visible" r:id="rId13"/>
    <sheet xmlns:r="http://schemas.openxmlformats.org/officeDocument/2006/relationships" name="Q10" sheetId="14" state="visible" r:id="rId14"/>
    <sheet xmlns:r="http://schemas.openxmlformats.org/officeDocument/2006/relationships" name="Q11" sheetId="15" state="visible" r:id="rId15"/>
    <sheet xmlns:r="http://schemas.openxmlformats.org/officeDocument/2006/relationships" name="Q12" sheetId="16" state="visible" r:id="rId16"/>
    <sheet xmlns:r="http://schemas.openxmlformats.org/officeDocument/2006/relationships" name="Q13" sheetId="17" state="visible" r:id="rId17"/>
    <sheet xmlns:r="http://schemas.openxmlformats.org/officeDocument/2006/relationships" name="Q14" sheetId="18" state="visible" r:id="rId18"/>
    <sheet xmlns:r="http://schemas.openxmlformats.org/officeDocument/2006/relationships" name="Q15" sheetId="19" state="visible" r:id="rId19"/>
    <sheet xmlns:r="http://schemas.openxmlformats.org/officeDocument/2006/relationships" name="Q16" sheetId="20" state="visible" r:id="rId20"/>
    <sheet xmlns:r="http://schemas.openxmlformats.org/officeDocument/2006/relationships" name="Q17" sheetId="21" state="visible" r:id="rId21"/>
    <sheet xmlns:r="http://schemas.openxmlformats.org/officeDocument/2006/relationships" name="Q18" sheetId="22" state="visible" r:id="rId22"/>
    <sheet xmlns:r="http://schemas.openxmlformats.org/officeDocument/2006/relationships" name="Q22" sheetId="23" state="visible" r:id="rId23"/>
    <sheet xmlns:r="http://schemas.openxmlformats.org/officeDocument/2006/relationships" name="Q23" sheetId="24" state="visible" r:id="rId24"/>
    <sheet xmlns:r="http://schemas.openxmlformats.org/officeDocument/2006/relationships" name="Q24" sheetId="25" state="visible" r:id="rId25"/>
    <sheet xmlns:r="http://schemas.openxmlformats.org/officeDocument/2006/relationships" name="Q25" sheetId="26" state="visible" r:id="rId26"/>
    <sheet xmlns:r="http://schemas.openxmlformats.org/officeDocument/2006/relationships" name="Q26" sheetId="27" state="visible" r:id="rId27"/>
    <sheet xmlns:r="http://schemas.openxmlformats.org/officeDocument/2006/relationships" name="Q27" sheetId="28" state="visible" r:id="rId28"/>
    <sheet xmlns:r="http://schemas.openxmlformats.org/officeDocument/2006/relationships" name="Q28" sheetId="29" state="visible" r:id="rId29"/>
    <sheet xmlns:r="http://schemas.openxmlformats.org/officeDocument/2006/relationships" name="Q29" sheetId="30" state="visible" r:id="rId30"/>
    <sheet xmlns:r="http://schemas.openxmlformats.org/officeDocument/2006/relationships" name="Q30" sheetId="31" state="visible" r:id="rId31"/>
    <sheet xmlns:r="http://schemas.openxmlformats.org/officeDocument/2006/relationships" name="Q34" sheetId="32" state="visible" r:id="rId32"/>
    <sheet xmlns:r="http://schemas.openxmlformats.org/officeDocument/2006/relationships" name="Q35" sheetId="33" state="visible" r:id="rId33"/>
    <sheet xmlns:r="http://schemas.openxmlformats.org/officeDocument/2006/relationships" name="Q36" sheetId="34" state="visible" r:id="rId34"/>
    <sheet xmlns:r="http://schemas.openxmlformats.org/officeDocument/2006/relationships" name="Q38" sheetId="35" state="visible" r:id="rId35"/>
    <sheet xmlns:r="http://schemas.openxmlformats.org/officeDocument/2006/relationships" name="Q39" sheetId="36" state="visible" r:id="rId36"/>
    <sheet xmlns:r="http://schemas.openxmlformats.org/officeDocument/2006/relationships" name="Q41" sheetId="37" state="visible" r:id="rId37"/>
    <sheet xmlns:r="http://schemas.openxmlformats.org/officeDocument/2006/relationships" name="Q42" sheetId="38" state="visible" r:id="rId38"/>
    <sheet xmlns:r="http://schemas.openxmlformats.org/officeDocument/2006/relationships" name="Q43" sheetId="39" state="visible" r:id="rId39"/>
    <sheet xmlns:r="http://schemas.openxmlformats.org/officeDocument/2006/relationships" name="Q45" sheetId="40" state="visible" r:id="rId40"/>
    <sheet xmlns:r="http://schemas.openxmlformats.org/officeDocument/2006/relationships" name="Q46" sheetId="41" state="visible" r:id="rId41"/>
    <sheet xmlns:r="http://schemas.openxmlformats.org/officeDocument/2006/relationships" name="Q47" sheetId="42" state="visible" r:id="rId42"/>
    <sheet xmlns:r="http://schemas.openxmlformats.org/officeDocument/2006/relationships" name="Q48" sheetId="43" state="visible" r:id="rId43"/>
    <sheet xmlns:r="http://schemas.openxmlformats.org/officeDocument/2006/relationships" name="Q49" sheetId="44" state="visible" r:id="rId44"/>
    <sheet xmlns:r="http://schemas.openxmlformats.org/officeDocument/2006/relationships" name="Q51" sheetId="45" state="visible" r:id="rId45"/>
    <sheet xmlns:r="http://schemas.openxmlformats.org/officeDocument/2006/relationships" name="Q52" sheetId="46" state="visible" r:id="rId46"/>
    <sheet xmlns:r="http://schemas.openxmlformats.org/officeDocument/2006/relationships" name="Q53" sheetId="47" state="visible" r:id="rId47"/>
    <sheet xmlns:r="http://schemas.openxmlformats.org/officeDocument/2006/relationships" name="Q54" sheetId="48" state="visible" r:id="rId48"/>
  </sheets>
  <definedNames>
    <definedName name="_xlnm._FilterDatabase" localSheetId="2" hidden="1">'Review Status'!$A$3:$L$47</definedName>
    <definedName name="_xlnm._FilterDatabase" localSheetId="3" hidden="1">'Scoring Summary'!$A$4:$K$48</definedName>
    <definedName name="_xlnm._FilterDatabase" localSheetId="4" hidden="1">'Q01'!$A$21:$J$36</definedName>
    <definedName name="_xlnm._FilterDatabase" localSheetId="5" hidden="1">'Q02'!$A$21:$J$36</definedName>
    <definedName name="_xlnm._FilterDatabase" localSheetId="6" hidden="1">'Q03'!$A$21:$J$36</definedName>
    <definedName name="_xlnm._FilterDatabase" localSheetId="7" hidden="1">'Q04'!$A$21:$J$36</definedName>
    <definedName name="_xlnm._FilterDatabase" localSheetId="8" hidden="1">'Q05'!$A$21:$J$36</definedName>
    <definedName name="_xlnm._FilterDatabase" localSheetId="9" hidden="1">'Q06'!$A$21:$J$36</definedName>
    <definedName name="_xlnm._FilterDatabase" localSheetId="10" hidden="1">'Q07'!$A$21:$J$36</definedName>
    <definedName name="_xlnm._FilterDatabase" localSheetId="11" hidden="1">'Q08'!$A$21:$J$36</definedName>
    <definedName name="_xlnm._FilterDatabase" localSheetId="12" hidden="1">'Q09'!$A$21:$J$36</definedName>
    <definedName name="_xlnm._FilterDatabase" localSheetId="13" hidden="1">'Q10'!$A$21:$J$36</definedName>
    <definedName name="_xlnm._FilterDatabase" localSheetId="14" hidden="1">'Q11'!$A$21:$J$36</definedName>
    <definedName name="_xlnm._FilterDatabase" localSheetId="15" hidden="1">'Q12'!$A$21:$J$36</definedName>
    <definedName name="_xlnm._FilterDatabase" localSheetId="16" hidden="1">'Q13'!$A$21:$J$36</definedName>
    <definedName name="_xlnm._FilterDatabase" localSheetId="17" hidden="1">'Q14'!$A$21:$J$36</definedName>
    <definedName name="_xlnm._FilterDatabase" localSheetId="18" hidden="1">'Q15'!$A$21:$J$36</definedName>
    <definedName name="_xlnm._FilterDatabase" localSheetId="19" hidden="1">'Q16'!$A$21:$J$36</definedName>
    <definedName name="_xlnm._FilterDatabase" localSheetId="20" hidden="1">'Q17'!$A$21:$J$36</definedName>
    <definedName name="_xlnm._FilterDatabase" localSheetId="21" hidden="1">'Q18'!$A$21:$J$36</definedName>
    <definedName name="_xlnm._FilterDatabase" localSheetId="22" hidden="1">'Q22'!$A$21:$J$36</definedName>
    <definedName name="_xlnm._FilterDatabase" localSheetId="23" hidden="1">'Q23'!$A$21:$J$36</definedName>
    <definedName name="_xlnm._FilterDatabase" localSheetId="24" hidden="1">'Q24'!$A$21:$J$36</definedName>
    <definedName name="_xlnm._FilterDatabase" localSheetId="25" hidden="1">'Q25'!$A$21:$J$36</definedName>
    <definedName name="_xlnm._FilterDatabase" localSheetId="26" hidden="1">'Q26'!$A$21:$J$36</definedName>
    <definedName name="_xlnm._FilterDatabase" localSheetId="27" hidden="1">'Q27'!$A$21:$J$36</definedName>
    <definedName name="_xlnm._FilterDatabase" localSheetId="28" hidden="1">'Q28'!$A$21:$J$36</definedName>
    <definedName name="_xlnm._FilterDatabase" localSheetId="29" hidden="1">'Q29'!$A$21:$J$36</definedName>
    <definedName name="_xlnm._FilterDatabase" localSheetId="30" hidden="1">'Q30'!$A$21:$J$36</definedName>
    <definedName name="_xlnm._FilterDatabase" localSheetId="31" hidden="1">'Q34'!$A$21:$J$36</definedName>
    <definedName name="_xlnm._FilterDatabase" localSheetId="32" hidden="1">'Q35'!$A$21:$J$36</definedName>
    <definedName name="_xlnm._FilterDatabase" localSheetId="33" hidden="1">'Q36'!$A$21:$J$36</definedName>
    <definedName name="_xlnm._FilterDatabase" localSheetId="34" hidden="1">'Q38'!$A$21:$J$36</definedName>
    <definedName name="_xlnm._FilterDatabase" localSheetId="35" hidden="1">'Q39'!$A$21:$J$36</definedName>
    <definedName name="_xlnm._FilterDatabase" localSheetId="36" hidden="1">'Q41'!$A$21:$J$36</definedName>
    <definedName name="_xlnm._FilterDatabase" localSheetId="37" hidden="1">'Q42'!$A$21:$J$36</definedName>
    <definedName name="_xlnm._FilterDatabase" localSheetId="38" hidden="1">'Q43'!$A$21:$J$36</definedName>
    <definedName name="_xlnm._FilterDatabase" localSheetId="39" hidden="1">'Q45'!$A$21:$J$36</definedName>
    <definedName name="_xlnm._FilterDatabase" localSheetId="40" hidden="1">'Q46'!$A$21:$J$36</definedName>
    <definedName name="_xlnm._FilterDatabase" localSheetId="41" hidden="1">'Q47'!$A$21:$J$36</definedName>
    <definedName name="_xlnm._FilterDatabase" localSheetId="42" hidden="1">'Q48'!$A$21:$J$36</definedName>
    <definedName name="_xlnm._FilterDatabase" localSheetId="43" hidden="1">'Q49'!$A$21:$J$36</definedName>
    <definedName name="_xlnm._FilterDatabase" localSheetId="44" hidden="1">'Q51'!$A$21:$J$36</definedName>
    <definedName name="_xlnm._FilterDatabase" localSheetId="45" hidden="1">'Q52'!$A$21:$J$36</definedName>
    <definedName name="_xlnm._FilterDatabase" localSheetId="46" hidden="1">'Q53'!$A$21:$J$36</definedName>
    <definedName name="_xlnm._FilterDatabase" localSheetId="47" hidden="1">'Q54'!$A$21:$J$36</definedName>
  </definedNames>
  <calcPr calcId="124519" fullCalcOnLoad="1"/>
</workbook>
</file>

<file path=xl/styles.xml><?xml version="1.0" encoding="utf-8"?>
<styleSheet xmlns="http://schemas.openxmlformats.org/spreadsheetml/2006/main">
  <numFmts count="1">
    <numFmt numFmtId="164" formatCode="yyyy-mm-dd"/>
  </numFmts>
  <fonts count="6">
    <font>
      <name val="Calibri"/>
      <family val="2"/>
      <color theme="1"/>
      <sz val="11"/>
      <scheme val="minor"/>
    </font>
    <font>
      <b val="1"/>
      <color rgb="00FFFFFF"/>
      <sz val="16"/>
    </font>
    <font>
      <b val="1"/>
      <color rgb="001F1F1F"/>
      <sz val="12"/>
    </font>
    <font>
      <b val="1"/>
      <color rgb="00FFFFFF"/>
    </font>
    <font>
      <b val="1"/>
    </font>
    <font>
      <i val="1"/>
      <color rgb="00666666"/>
    </font>
  </fonts>
  <fills count="4">
    <fill>
      <patternFill/>
    </fill>
    <fill>
      <patternFill patternType="gray125"/>
    </fill>
    <fill>
      <patternFill patternType="solid">
        <fgColor rgb="001F4E78"/>
      </patternFill>
    </fill>
    <fill>
      <patternFill patternType="solid">
        <fgColor rgb="00D9EAF7"/>
      </patternFill>
    </fill>
  </fills>
  <borders count="2">
    <border>
      <left/>
      <right/>
      <top/>
      <bottom/>
      <diagonal/>
    </border>
    <border>
      <left style="thin">
        <color rgb="00D9E2F3"/>
      </left>
      <right style="thin">
        <color rgb="00D9E2F3"/>
      </right>
      <top style="thin">
        <color rgb="00D9E2F3"/>
      </top>
      <bottom style="thin">
        <color rgb="00D9E2F3"/>
      </bottom>
    </border>
  </borders>
  <cellStyleXfs count="1">
    <xf numFmtId="0" fontId="0" fillId="0" borderId="0"/>
  </cellStyleXfs>
  <cellXfs count="13">
    <xf numFmtId="0" fontId="0" fillId="0" borderId="0" pivotButton="0" quotePrefix="0" xfId="0"/>
    <xf numFmtId="0" fontId="1" fillId="2" borderId="0" applyAlignment="1" pivotButton="0" quotePrefix="0" xfId="0">
      <alignment vertical="center"/>
    </xf>
    <xf numFmtId="0" fontId="2" fillId="3" borderId="0" applyAlignment="1" pivotButton="0" quotePrefix="0" xfId="0">
      <alignment vertical="center"/>
    </xf>
    <xf numFmtId="0" fontId="0" fillId="0" borderId="0" applyAlignment="1" pivotButton="0" quotePrefix="0" xfId="0">
      <alignment vertical="top" wrapText="1"/>
    </xf>
    <xf numFmtId="0" fontId="0" fillId="0" borderId="1" applyAlignment="1" pivotButton="0" quotePrefix="0" xfId="0">
      <alignment vertical="top" wrapText="1"/>
    </xf>
    <xf numFmtId="164" fontId="0" fillId="0" borderId="1" applyAlignment="1" pivotButton="0" quotePrefix="0" xfId="0">
      <alignment vertical="top" wrapText="1"/>
    </xf>
    <xf numFmtId="0" fontId="1" fillId="2" borderId="0" applyAlignment="1" pivotButton="0" quotePrefix="0" xfId="0">
      <alignment vertical="top" wrapText="1"/>
    </xf>
    <xf numFmtId="0" fontId="3" fillId="2" borderId="1" applyAlignment="1" pivotButton="0" quotePrefix="0" xfId="0">
      <alignment vertical="top" wrapText="1"/>
    </xf>
    <xf numFmtId="0" fontId="2" fillId="3" borderId="0" applyAlignment="1" pivotButton="0" quotePrefix="0" xfId="0">
      <alignment vertical="top" wrapText="1"/>
    </xf>
    <xf numFmtId="0" fontId="4" fillId="0" borderId="0" applyAlignment="1" pivotButton="0" quotePrefix="0" xfId="0">
      <alignment vertical="top" wrapText="1"/>
    </xf>
    <xf numFmtId="0" fontId="5" fillId="0" borderId="0" applyAlignment="1" pivotButton="0" quotePrefix="0" xfId="0">
      <alignment vertical="top" wrapText="1"/>
    </xf>
    <xf numFmtId="0" fontId="3" fillId="2" borderId="1" applyAlignment="1" pivotButton="0" quotePrefix="0" xfId="0">
      <alignment horizontal="center" vertical="center" wrapText="1"/>
    </xf>
    <xf numFmtId="0" fontId="4"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worksheet" Target="/xl/worksheets/sheet29.xml" Id="rId29"/><Relationship Type="http://schemas.openxmlformats.org/officeDocument/2006/relationships/worksheet" Target="/xl/worksheets/sheet30.xml" Id="rId30"/><Relationship Type="http://schemas.openxmlformats.org/officeDocument/2006/relationships/worksheet" Target="/xl/worksheets/sheet31.xml" Id="rId31"/><Relationship Type="http://schemas.openxmlformats.org/officeDocument/2006/relationships/worksheet" Target="/xl/worksheets/sheet32.xml" Id="rId32"/><Relationship Type="http://schemas.openxmlformats.org/officeDocument/2006/relationships/worksheet" Target="/xl/worksheets/sheet33.xml" Id="rId33"/><Relationship Type="http://schemas.openxmlformats.org/officeDocument/2006/relationships/worksheet" Target="/xl/worksheets/sheet34.xml" Id="rId34"/><Relationship Type="http://schemas.openxmlformats.org/officeDocument/2006/relationships/worksheet" Target="/xl/worksheets/sheet35.xml" Id="rId35"/><Relationship Type="http://schemas.openxmlformats.org/officeDocument/2006/relationships/worksheet" Target="/xl/worksheets/sheet36.xml" Id="rId36"/><Relationship Type="http://schemas.openxmlformats.org/officeDocument/2006/relationships/worksheet" Target="/xl/worksheets/sheet37.xml" Id="rId37"/><Relationship Type="http://schemas.openxmlformats.org/officeDocument/2006/relationships/worksheet" Target="/xl/worksheets/sheet38.xml" Id="rId38"/><Relationship Type="http://schemas.openxmlformats.org/officeDocument/2006/relationships/worksheet" Target="/xl/worksheets/sheet39.xml" Id="rId39"/><Relationship Type="http://schemas.openxmlformats.org/officeDocument/2006/relationships/worksheet" Target="/xl/worksheets/sheet40.xml" Id="rId40"/><Relationship Type="http://schemas.openxmlformats.org/officeDocument/2006/relationships/worksheet" Target="/xl/worksheets/sheet41.xml" Id="rId41"/><Relationship Type="http://schemas.openxmlformats.org/officeDocument/2006/relationships/worksheet" Target="/xl/worksheets/sheet42.xml" Id="rId42"/><Relationship Type="http://schemas.openxmlformats.org/officeDocument/2006/relationships/worksheet" Target="/xl/worksheets/sheet43.xml" Id="rId43"/><Relationship Type="http://schemas.openxmlformats.org/officeDocument/2006/relationships/worksheet" Target="/xl/worksheets/sheet44.xml" Id="rId44"/><Relationship Type="http://schemas.openxmlformats.org/officeDocument/2006/relationships/worksheet" Target="/xl/worksheets/sheet45.xml" Id="rId45"/><Relationship Type="http://schemas.openxmlformats.org/officeDocument/2006/relationships/worksheet" Target="/xl/worksheets/sheet46.xml" Id="rId46"/><Relationship Type="http://schemas.openxmlformats.org/officeDocument/2006/relationships/worksheet" Target="/xl/worksheets/sheet47.xml" Id="rId47"/><Relationship Type="http://schemas.openxmlformats.org/officeDocument/2006/relationships/worksheet" Target="/xl/worksheets/sheet48.xml" Id="rId48"/><Relationship Type="http://schemas.openxmlformats.org/officeDocument/2006/relationships/styles" Target="styles.xml" Id="rId49"/><Relationship Type="http://schemas.openxmlformats.org/officeDocument/2006/relationships/theme" Target="theme/theme1.xml" Id="rId5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6"/>
  <sheetViews>
    <sheetView showGridLines="0" workbookViewId="0">
      <selection activeCell="A1" sqref="A1"/>
    </sheetView>
  </sheetViews>
  <sheetFormatPr baseColWidth="8" defaultRowHeight="15"/>
  <cols>
    <col width="34" customWidth="1" min="1" max="1"/>
    <col width="18" customWidth="1" min="2" max="2"/>
    <col width="18" customWidth="1" min="3" max="3"/>
    <col width="18" customWidth="1" min="4" max="4"/>
    <col width="18" customWidth="1" min="5" max="5"/>
    <col width="18" customWidth="1" min="6" max="6"/>
    <col width="18" customWidth="1" min="7" max="7"/>
    <col width="18" customWidth="1" min="8" max="8"/>
  </cols>
  <sheetData>
    <row r="1" ht="28" customHeight="1">
      <c r="A1" s="1" t="inlineStr">
        <is>
          <t>Concurrences Gate 2 Expert Review Template</t>
        </is>
      </c>
    </row>
    <row r="3">
      <c r="A3" s="2" t="inlineStr">
        <is>
          <t>Purpose</t>
        </is>
      </c>
      <c r="B3" t="inlineStr">
        <is>
          <t>This workbook is for reviewing generated answers and retrieved sources for Approved benchmark questions only.</t>
        </is>
      </c>
    </row>
    <row r="5">
      <c r="A5" s="2" t="inlineStr">
        <is>
          <t>How experts should use this file</t>
        </is>
      </c>
    </row>
    <row r="6">
      <c r="A6" s="3" t="inlineStr">
        <is>
          <t>1. Open the tab for your question, for example Q01.</t>
        </is>
      </c>
    </row>
    <row r="7">
      <c r="A7" s="3" t="inlineStr">
        <is>
          <t>2. Review the generated answer and the sources retrieved by the system.</t>
        </is>
      </c>
    </row>
    <row r="8">
      <c r="A8" s="3" t="inlineStr">
        <is>
          <t>3. For each legal claim, mark whether the cited source supports it.</t>
        </is>
      </c>
    </row>
    <row r="9">
      <c r="A9" s="3" t="inlineStr">
        <is>
          <t>4. Add a short comment only where something must be fixed or clarified.</t>
        </is>
      </c>
    </row>
    <row r="10">
      <c r="A10" s="3" t="inlineStr">
        <is>
          <t>5. Mark the final expert verdict at the bottom of each question tab.</t>
        </is>
      </c>
    </row>
    <row r="11">
      <c r="A11" s="3" t="inlineStr">
        <is>
          <t>6. The team will use Review Status and Scoring Summary to track progress and calculate metrics.</t>
        </is>
      </c>
    </row>
    <row r="14">
      <c r="A14" s="2" t="inlineStr">
        <is>
          <t>Key dates</t>
        </is>
      </c>
    </row>
    <row r="15">
      <c r="A15" s="4" t="inlineStr">
        <is>
          <t>Answers and retrieval sets generated by</t>
        </is>
      </c>
      <c r="B15" s="5" t="inlineStr">
        <is>
          <t>2026-08-14</t>
        </is>
      </c>
    </row>
    <row r="16">
      <c r="A16" s="4" t="inlineStr">
        <is>
          <t>Expert claim-by-claim review completed by</t>
        </is>
      </c>
      <c r="B16" s="5" t="inlineStr">
        <is>
          <t>2026-08-21</t>
        </is>
      </c>
    </row>
  </sheetData>
  <mergeCells count="8">
    <mergeCell ref="A9:H9"/>
    <mergeCell ref="A7:H7"/>
    <mergeCell ref="A10:H10"/>
    <mergeCell ref="A11:H11"/>
    <mergeCell ref="A1:H1"/>
    <mergeCell ref="B3:H3"/>
    <mergeCell ref="A8:H8"/>
    <mergeCell ref="A6:H6"/>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8"/>
  <sheetViews>
    <sheetView workbookViewId="0">
      <selection activeCell="A1" sqref="A1"/>
    </sheetView>
  </sheetViews>
  <sheetFormatPr baseColWidth="8" defaultRowHeight="15"/>
  <sheetData>
    <row r="1">
      <c r="A1" t="inlineStr">
        <is>
          <t>A</t>
        </is>
      </c>
      <c r="B1" t="inlineStr">
        <is>
          <t>B</t>
        </is>
      </c>
      <c r="C1" t="inlineStr">
        <is>
          <t>C</t>
        </is>
      </c>
      <c r="D1" t="inlineStr">
        <is>
          <t>D</t>
        </is>
      </c>
      <c r="E1" t="inlineStr">
        <is>
          <t>E</t>
        </is>
      </c>
      <c r="F1" t="inlineStr">
        <is>
          <t>F</t>
        </is>
      </c>
      <c r="G1" t="inlineStr">
        <is>
          <t>G</t>
        </is>
      </c>
      <c r="H1" t="inlineStr">
        <is>
          <t>H</t>
        </is>
      </c>
    </row>
    <row r="2">
      <c r="A2" t="inlineStr">
        <is>
          <t>Yes</t>
        </is>
      </c>
      <c r="B2" t="inlineStr">
        <is>
          <t>Not started</t>
        </is>
      </c>
      <c r="C2" t="inlineStr">
        <is>
          <t>Acceptable</t>
        </is>
      </c>
      <c r="D2" t="inlineStr">
        <is>
          <t>Supported</t>
        </is>
      </c>
      <c r="E2" t="inlineStr">
        <is>
          <t>None</t>
        </is>
      </c>
      <c r="F2" t="inlineStr">
        <is>
          <t>Primary law</t>
        </is>
      </c>
      <c r="G2" t="inlineStr">
        <is>
          <t>Yes</t>
        </is>
      </c>
      <c r="H2" t="inlineStr">
        <is>
          <t>Relevant</t>
        </is>
      </c>
    </row>
    <row r="3">
      <c r="A3" t="inlineStr">
        <is>
          <t>No</t>
        </is>
      </c>
      <c r="B3" t="inlineStr">
        <is>
          <t>In review</t>
        </is>
      </c>
      <c r="C3" t="inlineStr">
        <is>
          <t>Partly acceptable</t>
        </is>
      </c>
      <c r="D3" t="inlineStr">
        <is>
          <t>Partly supported</t>
        </is>
      </c>
      <c r="E3" t="inlineStr">
        <is>
          <t>Missing source</t>
        </is>
      </c>
      <c r="F3" t="inlineStr">
        <is>
          <t>Concurrences commentary</t>
        </is>
      </c>
      <c r="G3" t="inlineStr">
        <is>
          <t>No</t>
        </is>
      </c>
      <c r="H3" t="inlineStr">
        <is>
          <t>Not relevant</t>
        </is>
      </c>
    </row>
    <row r="4">
      <c r="B4" t="inlineStr">
        <is>
          <t>Completed</t>
        </is>
      </c>
      <c r="C4" t="inlineStr">
        <is>
          <t>Not acceptable</t>
        </is>
      </c>
      <c r="D4" t="inlineStr">
        <is>
          <t>Not supported</t>
        </is>
      </c>
      <c r="E4" t="inlineStr">
        <is>
          <t>Wrong citation</t>
        </is>
      </c>
      <c r="F4" t="inlineStr">
        <is>
          <t>Other commentary</t>
        </is>
      </c>
      <c r="G4" t="inlineStr">
        <is>
          <t>Unsure</t>
        </is>
      </c>
      <c r="H4" t="inlineStr">
        <is>
          <t>Duplicate</t>
        </is>
      </c>
    </row>
    <row r="5">
      <c r="B5" t="inlineStr">
        <is>
          <t>Needs follow-up</t>
        </is>
      </c>
      <c r="D5" t="inlineStr">
        <is>
          <t>Wrong source</t>
        </is>
      </c>
      <c r="E5" t="inlineStr">
        <is>
          <t>Overclaim</t>
        </is>
      </c>
      <c r="F5" t="inlineStr">
        <is>
          <t>Other</t>
        </is>
      </c>
      <c r="H5" t="inlineStr">
        <is>
          <t>Trap</t>
        </is>
      </c>
    </row>
    <row r="6">
      <c r="D6" t="inlineStr">
        <is>
          <t>Missing citation</t>
        </is>
      </c>
      <c r="E6" t="inlineStr">
        <is>
          <t>Unsupported claim</t>
        </is>
      </c>
      <c r="H6" t="inlineStr">
        <is>
          <t>Missing important source</t>
        </is>
      </c>
    </row>
    <row r="7">
      <c r="D7" t="inlineStr">
        <is>
          <t>Not a legal claim</t>
        </is>
      </c>
      <c r="E7" t="inlineStr">
        <is>
          <t>Ambiguous wording</t>
        </is>
      </c>
    </row>
    <row r="8">
      <c r="E8" t="inlineStr">
        <is>
          <t>Other</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47"/>
  <sheetViews>
    <sheetView showGridLines="0" workbookViewId="0">
      <pane ySplit="3" topLeftCell="A4" activePane="bottomLeft" state="frozen"/>
      <selection pane="bottomLeft" activeCell="A1" sqref="A1"/>
    </sheetView>
  </sheetViews>
  <sheetFormatPr baseColWidth="8" defaultRowHeight="15"/>
  <cols>
    <col width="12" customWidth="1" min="1" max="1"/>
    <col width="28" customWidth="1" min="2" max="2"/>
    <col width="14" customWidth="1" min="3" max="3"/>
    <col width="70" customWidth="1" min="4" max="4"/>
    <col width="16" customWidth="1" min="5" max="5"/>
    <col width="18" customWidth="1" min="6" max="6"/>
    <col width="18" customWidth="1" min="7" max="7"/>
    <col width="18" customWidth="1" min="8" max="8"/>
    <col width="16" customWidth="1" min="9" max="9"/>
    <col width="20" customWidth="1" min="10" max="10"/>
    <col width="36" customWidth="1" min="11" max="11"/>
    <col width="12" customWidth="1" min="12" max="12"/>
  </cols>
  <sheetData>
    <row r="1" ht="28" customHeight="1">
      <c r="A1" s="6" t="inlineStr">
        <is>
          <t>Review Status</t>
        </is>
      </c>
      <c r="B1" s="3" t="n"/>
      <c r="C1" s="3" t="n"/>
      <c r="D1" s="3" t="n"/>
      <c r="E1" s="3" t="n"/>
      <c r="F1" s="3" t="n"/>
      <c r="G1" s="3" t="n"/>
      <c r="H1" s="3" t="n"/>
      <c r="I1" s="3" t="n"/>
      <c r="J1" s="3" t="n"/>
      <c r="K1" s="3" t="n"/>
      <c r="L1" s="3" t="n"/>
    </row>
    <row r="2">
      <c r="A2" s="3" t="n"/>
      <c r="B2" s="3" t="n"/>
      <c r="C2" s="3" t="n"/>
      <c r="D2" s="3" t="n"/>
      <c r="E2" s="3" t="n"/>
      <c r="F2" s="3" t="n"/>
      <c r="G2" s="3" t="n"/>
      <c r="H2" s="3" t="n"/>
      <c r="I2" s="3" t="n"/>
      <c r="J2" s="3" t="n"/>
      <c r="K2" s="3" t="n"/>
      <c r="L2" s="3" t="n"/>
    </row>
    <row r="3">
      <c r="A3" s="7" t="inlineStr">
        <is>
          <t>Question ID</t>
        </is>
      </c>
      <c r="B3" s="7" t="inlineStr">
        <is>
          <t>Topic</t>
        </is>
      </c>
      <c r="C3" s="7" t="inlineStr">
        <is>
          <t>Scope</t>
        </is>
      </c>
      <c r="D3" s="7" t="inlineStr">
        <is>
          <t>Question</t>
        </is>
      </c>
      <c r="E3" s="7" t="inlineStr">
        <is>
          <t>Answer generated?</t>
        </is>
      </c>
      <c r="F3" s="7" t="inlineStr">
        <is>
          <t>Retrieval set generated?</t>
        </is>
      </c>
      <c r="G3" s="7" t="inlineStr">
        <is>
          <t>Expert review status</t>
        </is>
      </c>
      <c r="H3" s="7" t="inlineStr">
        <is>
          <t>Reviewer</t>
        </is>
      </c>
      <c r="I3" s="7" t="inlineStr">
        <is>
          <t>Completed date</t>
        </is>
      </c>
      <c r="J3" s="7" t="inlineStr">
        <is>
          <t>Final verdict</t>
        </is>
      </c>
      <c r="K3" s="7" t="inlineStr">
        <is>
          <t>Main issue / follow-up</t>
        </is>
      </c>
      <c r="L3" s="7" t="inlineStr">
        <is>
          <t>Open tab</t>
        </is>
      </c>
    </row>
    <row r="4" ht="54" customHeight="1">
      <c r="A4" s="4" t="n">
        <v>1</v>
      </c>
      <c r="B4" s="4" t="inlineStr">
        <is>
          <t>Food delivery — market definition</t>
        </is>
      </c>
      <c r="C4" s="4" t="inlineStr">
        <is>
          <t>EU + UK + ES</t>
        </is>
      </c>
      <c r="D4" s="4" t="inlineStr">
        <is>
          <t>The relevant market in a food-delivery acquisition — how have the Commission and national authorities defined the relevant product and geographic markets, and on what rationales?</t>
        </is>
      </c>
      <c r="E4" s="4">
        <f>IF(LEN('Q01'!A16)&gt;0,"Yes","No")</f>
        <v/>
      </c>
      <c r="F4" s="4">
        <f>IF(COUNTA('Q01'!B21:B35)&gt;0,"Yes","No")</f>
        <v/>
      </c>
      <c r="G4" s="4">
        <f>IF('Q01'!B66="Yes","Completed",IF(COUNTA('Q01'!D39:D58)&gt;0,"In review","Not started"))</f>
        <v/>
      </c>
      <c r="H4" s="4">
        <f>'Q01'!B67</f>
        <v/>
      </c>
      <c r="I4" s="4">
        <f>'Q01'!D67</f>
        <v/>
      </c>
      <c r="J4" s="4">
        <f>'Q01'!B61</f>
        <v/>
      </c>
      <c r="K4" s="4">
        <f>'Q01'!B62</f>
        <v/>
      </c>
      <c r="L4" s="4">
        <f>HYPERLINK("#'Q01'!A1","Open")</f>
        <v/>
      </c>
    </row>
    <row r="5" ht="54" customHeight="1">
      <c r="A5" s="4" t="n">
        <v>2</v>
      </c>
      <c r="B5" s="4" t="inlineStr">
        <is>
          <t>Food delivery — multi-sided platforms</t>
        </is>
      </c>
      <c r="C5" s="4" t="inlineStr">
        <is>
          <t>EU + UK + ES</t>
        </is>
      </c>
      <c r="D5" s="4" t="inlineStr">
        <is>
          <t>Food delivery as a multi-sided platform — have authorities analysed these platforms as two- or multi-sided markets, and which sides actually entered the analysis?</t>
        </is>
      </c>
      <c r="E5" s="4">
        <f>IF(LEN('Q02'!A16)&gt;0,"Yes","No")</f>
        <v/>
      </c>
      <c r="F5" s="4">
        <f>IF(COUNTA('Q02'!B21:B35)&gt;0,"Yes","No")</f>
        <v/>
      </c>
      <c r="G5" s="4">
        <f>IF('Q02'!B66="Yes","Completed",IF(COUNTA('Q02'!D39:D58)&gt;0,"In review","Not started"))</f>
        <v/>
      </c>
      <c r="H5" s="4">
        <f>'Q02'!B67</f>
        <v/>
      </c>
      <c r="I5" s="4">
        <f>'Q02'!D67</f>
        <v/>
      </c>
      <c r="J5" s="4">
        <f>'Q02'!B61</f>
        <v/>
      </c>
      <c r="K5" s="4">
        <f>'Q02'!B62</f>
        <v/>
      </c>
      <c r="L5" s="4">
        <f>HYPERLINK("#'Q02'!A1","Open")</f>
        <v/>
      </c>
    </row>
    <row r="6" ht="54" customHeight="1">
      <c r="A6" s="4" t="n">
        <v>3</v>
      </c>
      <c r="B6" s="4" t="inlineStr">
        <is>
          <t>Food delivery — market boundary</t>
        </is>
      </c>
      <c r="C6" s="4" t="inlineStr">
        <is>
          <t>UK (ES colour)</t>
        </is>
      </c>
      <c r="D6" s="4" t="inlineStr">
        <is>
          <t>Grocery, quick commerce, and the market boundary — separate markets from restaurant meal delivery, or one broad on-demand delivery market?</t>
        </is>
      </c>
      <c r="E6" s="4">
        <f>IF(LEN('Q03'!A16)&gt;0,"Yes","No")</f>
        <v/>
      </c>
      <c r="F6" s="4">
        <f>IF(COUNTA('Q03'!B21:B35)&gt;0,"Yes","No")</f>
        <v/>
      </c>
      <c r="G6" s="4">
        <f>IF('Q03'!B66="Yes","Completed",IF(COUNTA('Q03'!D39:D58)&gt;0,"In review","Not started"))</f>
        <v/>
      </c>
      <c r="H6" s="4">
        <f>'Q03'!B67</f>
        <v/>
      </c>
      <c r="I6" s="4">
        <f>'Q03'!D67</f>
        <v/>
      </c>
      <c r="J6" s="4">
        <f>'Q03'!B61</f>
        <v/>
      </c>
      <c r="K6" s="4">
        <f>'Q03'!B62</f>
        <v/>
      </c>
      <c r="L6" s="4">
        <f>HYPERLINK("#'Q03'!A1","Open")</f>
        <v/>
      </c>
    </row>
    <row r="7" ht="54" customHeight="1">
      <c r="A7" s="4" t="n">
        <v>4</v>
      </c>
      <c r="B7" s="4" t="inlineStr">
        <is>
          <t>Food delivery — failing-firm defence</t>
        </is>
      </c>
      <c r="C7" s="4" t="inlineStr">
        <is>
          <t>UK</t>
        </is>
      </c>
      <c r="D7" s="4" t="inlineStr">
        <is>
          <t>The failing-firm defence in food delivery — has an exiting-firm counterfactual ever been accepted, did it survive to the final decision, and on what evidence?</t>
        </is>
      </c>
      <c r="E7" s="4">
        <f>IF(LEN('Q04'!A16)&gt;0,"Yes","No")</f>
        <v/>
      </c>
      <c r="F7" s="4">
        <f>IF(COUNTA('Q04'!B21:B35)&gt;0,"Yes","No")</f>
        <v/>
      </c>
      <c r="G7" s="4">
        <f>IF('Q04'!B66="Yes","Completed",IF(COUNTA('Q04'!D39:D58)&gt;0,"In review","Not started"))</f>
        <v/>
      </c>
      <c r="H7" s="4">
        <f>'Q04'!B67</f>
        <v/>
      </c>
      <c r="I7" s="4">
        <f>'Q04'!D67</f>
        <v/>
      </c>
      <c r="J7" s="4">
        <f>'Q04'!B61</f>
        <v/>
      </c>
      <c r="K7" s="4">
        <f>'Q04'!B62</f>
        <v/>
      </c>
      <c r="L7" s="4">
        <f>HYPERLINK("#'Q04'!A1","Open")</f>
        <v/>
      </c>
    </row>
    <row r="8" ht="54" customHeight="1">
      <c r="A8" s="4" t="n">
        <v>5</v>
      </c>
      <c r="B8" s="4" t="inlineStr">
        <is>
          <t>Food delivery — COVID-19</t>
        </is>
      </c>
      <c r="C8" s="4" t="inlineStr">
        <is>
          <t>UK</t>
        </is>
      </c>
      <c r="D8" s="4" t="inlineStr">
        <is>
          <t>COVID-19 in the competitive assessment — how did the pandemic actually enter the analysis: counterfactual, market definition, or not at all?</t>
        </is>
      </c>
      <c r="E8" s="4">
        <f>IF(LEN('Q05'!A16)&gt;0,"Yes","No")</f>
        <v/>
      </c>
      <c r="F8" s="4">
        <f>IF(COUNTA('Q05'!B21:B35)&gt;0,"Yes","No")</f>
        <v/>
      </c>
      <c r="G8" s="4">
        <f>IF('Q05'!B66="Yes","Completed",IF(COUNTA('Q05'!D39:D58)&gt;0,"In review","Not started"))</f>
        <v/>
      </c>
      <c r="H8" s="4">
        <f>'Q05'!B67</f>
        <v/>
      </c>
      <c r="I8" s="4">
        <f>'Q05'!D67</f>
        <v/>
      </c>
      <c r="J8" s="4">
        <f>'Q05'!B61</f>
        <v/>
      </c>
      <c r="K8" s="4">
        <f>'Q05'!B62</f>
        <v/>
      </c>
      <c r="L8" s="4">
        <f>HYPERLINK("#'Q05'!A1","Open")</f>
        <v/>
      </c>
    </row>
    <row r="9" ht="54" customHeight="1">
      <c r="A9" s="4" t="n">
        <v>6</v>
      </c>
      <c r="B9" s="4" t="inlineStr">
        <is>
          <t>Food delivery — potential competition</t>
        </is>
      </c>
      <c r="C9" s="4" t="inlineStr">
        <is>
          <t>UK</t>
        </is>
      </c>
      <c r="D9" s="4" t="inlineStr">
        <is>
          <t>Potential competition and re-entry — where the acquirer is not active in the UK, how has the CMA treated entry or re-entry absent the merger?</t>
        </is>
      </c>
      <c r="E9" s="4">
        <f>IF(LEN('Q06'!A16)&gt;0,"Yes","No")</f>
        <v/>
      </c>
      <c r="F9" s="4">
        <f>IF(COUNTA('Q06'!B21:B35)&gt;0,"Yes","No")</f>
        <v/>
      </c>
      <c r="G9" s="4">
        <f>IF('Q06'!B66="Yes","Completed",IF(COUNTA('Q06'!D39:D58)&gt;0,"In review","Not started"))</f>
        <v/>
      </c>
      <c r="H9" s="4">
        <f>'Q06'!B67</f>
        <v/>
      </c>
      <c r="I9" s="4">
        <f>'Q06'!D67</f>
        <v/>
      </c>
      <c r="J9" s="4">
        <f>'Q06'!B61</f>
        <v/>
      </c>
      <c r="K9" s="4">
        <f>'Q06'!B62</f>
        <v/>
      </c>
      <c r="L9" s="4">
        <f>HYPERLINK("#'Q06'!A1","Open")</f>
        <v/>
      </c>
    </row>
    <row r="10" ht="54" customHeight="1">
      <c r="A10" s="4" t="n">
        <v>7</v>
      </c>
      <c r="B10" s="4" t="inlineStr">
        <is>
          <t>Food delivery — no-poach agreements</t>
        </is>
      </c>
      <c r="C10" s="4" t="inlineStr">
        <is>
          <t>EU</t>
        </is>
      </c>
      <c r="D10" s="4" t="inlineStr">
        <is>
          <t>No-poach agreements under Article 101 — can a reciprocal agreement not to hire each other's staff infringe Article 101, and what is the leading precedent and fine?</t>
        </is>
      </c>
      <c r="E10" s="4">
        <f>IF(LEN('Q07'!A16)&gt;0,"Yes","No")</f>
        <v/>
      </c>
      <c r="F10" s="4">
        <f>IF(COUNTA('Q07'!B21:B35)&gt;0,"Yes","No")</f>
        <v/>
      </c>
      <c r="G10" s="4">
        <f>IF('Q07'!B66="Yes","Completed",IF(COUNTA('Q07'!D39:D58)&gt;0,"In review","Not started"))</f>
        <v/>
      </c>
      <c r="H10" s="4">
        <f>'Q07'!B67</f>
        <v/>
      </c>
      <c r="I10" s="4">
        <f>'Q07'!D67</f>
        <v/>
      </c>
      <c r="J10" s="4">
        <f>'Q07'!B61</f>
        <v/>
      </c>
      <c r="K10" s="4">
        <f>'Q07'!B62</f>
        <v/>
      </c>
      <c r="L10" s="4">
        <f>HYPERLINK("#'Q07'!A1","Open")</f>
        <v/>
      </c>
    </row>
    <row r="11" ht="54" customHeight="1">
      <c r="A11" s="4" t="n">
        <v>8</v>
      </c>
      <c r="B11" s="4" t="inlineStr">
        <is>
          <t>Food delivery — remedies</t>
        </is>
      </c>
      <c r="C11" s="4" t="inlineStr">
        <is>
          <t>EU + UK + ES</t>
        </is>
      </c>
      <c r="D11" s="4" t="inlineStr">
        <is>
          <t>Remedies in food-delivery mergers — which European reviews ended in remedies or commitments, and what did they look like?</t>
        </is>
      </c>
      <c r="E11" s="4">
        <f>IF(LEN('Q08'!A16)&gt;0,"Yes","No")</f>
        <v/>
      </c>
      <c r="F11" s="4">
        <f>IF(COUNTA('Q08'!B21:B35)&gt;0,"Yes","No")</f>
        <v/>
      </c>
      <c r="G11" s="4">
        <f>IF('Q08'!B66="Yes","Completed",IF(COUNTA('Q08'!D39:D58)&gt;0,"In review","Not started"))</f>
        <v/>
      </c>
      <c r="H11" s="4">
        <f>'Q08'!B67</f>
        <v/>
      </c>
      <c r="I11" s="4">
        <f>'Q08'!D67</f>
        <v/>
      </c>
      <c r="J11" s="4">
        <f>'Q08'!B61</f>
        <v/>
      </c>
      <c r="K11" s="4">
        <f>'Q08'!B62</f>
        <v/>
      </c>
      <c r="L11" s="4">
        <f>HYPERLINK("#'Q08'!A1","Open")</f>
        <v/>
      </c>
    </row>
    <row r="12" ht="54" customHeight="1">
      <c r="A12" s="4" t="n">
        <v>9</v>
      </c>
      <c r="B12" s="4" t="inlineStr">
        <is>
          <t>Food delivery — Spanish practice</t>
        </is>
      </c>
      <c r="C12" s="4" t="inlineStr">
        <is>
          <t>ES</t>
        </is>
      </c>
      <c r="D12" s="4" t="inlineStr">
        <is>
          <t>The Spanish (CNMC) food-delivery reviews — what is the CNMC's decisional practice, how many cases, and how were they resolved?</t>
        </is>
      </c>
      <c r="E12" s="4">
        <f>IF(LEN('Q09'!A16)&gt;0,"Yes","No")</f>
        <v/>
      </c>
      <c r="F12" s="4">
        <f>IF(COUNTA('Q09'!B21:B35)&gt;0,"Yes","No")</f>
        <v/>
      </c>
      <c r="G12" s="4">
        <f>IF('Q09'!B66="Yes","Completed",IF(COUNTA('Q09'!D39:D58)&gt;0,"In review","Not started"))</f>
        <v/>
      </c>
      <c r="H12" s="4">
        <f>'Q09'!B67</f>
        <v/>
      </c>
      <c r="I12" s="4">
        <f>'Q09'!D67</f>
        <v/>
      </c>
      <c r="J12" s="4">
        <f>'Q09'!B61</f>
        <v/>
      </c>
      <c r="K12" s="4">
        <f>'Q09'!B62</f>
        <v/>
      </c>
      <c r="L12" s="4">
        <f>HYPERLINK("#'Q09'!A1","Open")</f>
        <v/>
      </c>
    </row>
    <row r="13" ht="54" customHeight="1">
      <c r="A13" s="4" t="n">
        <v>10</v>
      </c>
      <c r="B13" s="4" t="inlineStr">
        <is>
          <t>Food delivery — minority shareholdings</t>
        </is>
      </c>
      <c r="C13" s="4" t="inlineStr">
        <is>
          <t>EU + UK</t>
        </is>
      </c>
      <c r="D13" s="4" t="inlineStr">
        <is>
          <t>Material influence and minority shareholdings — on what basis did the CMA take jurisdiction over a c.16% stake, and how else have authorities treated minority shareholdings in merger control?</t>
        </is>
      </c>
      <c r="E13" s="4">
        <f>IF(LEN('Q10'!A16)&gt;0,"Yes","No")</f>
        <v/>
      </c>
      <c r="F13" s="4">
        <f>IF(COUNTA('Q10'!B21:B35)&gt;0,"Yes","No")</f>
        <v/>
      </c>
      <c r="G13" s="4">
        <f>IF('Q10'!B66="Yes","Completed",IF(COUNTA('Q10'!D39:D58)&gt;0,"In review","Not started"))</f>
        <v/>
      </c>
      <c r="H13" s="4">
        <f>'Q10'!B67</f>
        <v/>
      </c>
      <c r="I13" s="4">
        <f>'Q10'!D67</f>
        <v/>
      </c>
      <c r="J13" s="4">
        <f>'Q10'!B61</f>
        <v/>
      </c>
      <c r="K13" s="4">
        <f>'Q10'!B62</f>
        <v/>
      </c>
      <c r="L13" s="4">
        <f>HYPERLINK("#'Q10'!A1","Open")</f>
        <v/>
      </c>
    </row>
    <row r="14" ht="54" customHeight="1">
      <c r="A14" s="4" t="n">
        <v>11</v>
      </c>
      <c r="B14" s="4" t="inlineStr">
        <is>
          <t>Food delivery — evolution of practice</t>
        </is>
      </c>
      <c r="C14" s="4" t="inlineStr">
        <is>
          <t>EU + UK + ES</t>
        </is>
      </c>
      <c r="D14" s="4" t="inlineStr">
        <is>
          <t>The evolution of European food-delivery merger control, 2017–2025 — how has practice evolved from the first national marketplace consolidations to the recent Commission decisions?</t>
        </is>
      </c>
      <c r="E14" s="4">
        <f>IF(LEN('Q11'!A16)&gt;0,"Yes","No")</f>
        <v/>
      </c>
      <c r="F14" s="4">
        <f>IF(COUNTA('Q11'!B21:B35)&gt;0,"Yes","No")</f>
        <v/>
      </c>
      <c r="G14" s="4">
        <f>IF('Q11'!B66="Yes","Completed",IF(COUNTA('Q11'!D39:D58)&gt;0,"In review","Not started"))</f>
        <v/>
      </c>
      <c r="H14" s="4">
        <f>'Q11'!B67</f>
        <v/>
      </c>
      <c r="I14" s="4">
        <f>'Q11'!D67</f>
        <v/>
      </c>
      <c r="J14" s="4">
        <f>'Q11'!B61</f>
        <v/>
      </c>
      <c r="K14" s="4">
        <f>'Q11'!B62</f>
        <v/>
      </c>
      <c r="L14" s="4">
        <f>HYPERLINK("#'Q11'!A1","Open")</f>
        <v/>
      </c>
    </row>
    <row r="15" ht="54" customHeight="1">
      <c r="A15" s="4" t="n">
        <v>12</v>
      </c>
      <c r="B15" s="4" t="inlineStr">
        <is>
          <t>Dawn raids — legal professional privilege</t>
        </is>
      </c>
      <c r="C15" s="4" t="inlineStr">
        <is>
          <t>France</t>
        </is>
      </c>
      <c r="D15" s="4" t="inlineStr">
        <is>
          <t>At what stage is attorney-client privilege breached during a dawn raid — when the inspector reads the document, or only when it is later used?</t>
        </is>
      </c>
      <c r="E15" s="4">
        <f>IF(LEN('Q12'!A16)&gt;0,"Yes","No")</f>
        <v/>
      </c>
      <c r="F15" s="4">
        <f>IF(COUNTA('Q12'!B21:B35)&gt;0,"Yes","No")</f>
        <v/>
      </c>
      <c r="G15" s="4">
        <f>IF('Q12'!B66="Yes","Completed",IF(COUNTA('Q12'!D39:D58)&gt;0,"In review","Not started"))</f>
        <v/>
      </c>
      <c r="H15" s="4">
        <f>'Q12'!B67</f>
        <v/>
      </c>
      <c r="I15" s="4">
        <f>'Q12'!D67</f>
        <v/>
      </c>
      <c r="J15" s="4">
        <f>'Q12'!B61</f>
        <v/>
      </c>
      <c r="K15" s="4">
        <f>'Q12'!B62</f>
        <v/>
      </c>
      <c r="L15" s="4">
        <f>HYPERLINK("#'Q12'!A1","Open")</f>
        <v/>
      </c>
    </row>
    <row r="16" ht="54" customHeight="1">
      <c r="A16" s="4" t="n">
        <v>13</v>
      </c>
      <c r="B16" s="4" t="inlineStr">
        <is>
          <t>Dawn raids — personal data</t>
        </is>
      </c>
      <c r="C16" s="4" t="inlineStr">
        <is>
          <t>France</t>
        </is>
      </c>
      <c r="D16" s="4" t="inlineStr">
        <is>
          <t>Under what conditions must the Competition Authority protect personal data during a dawn raid? Does the GDPR apply? Must documents be sealed on request?</t>
        </is>
      </c>
      <c r="E16" s="4">
        <f>IF(LEN('Q13'!A16)&gt;0,"Yes","No")</f>
        <v/>
      </c>
      <c r="F16" s="4">
        <f>IF(COUNTA('Q13'!B21:B35)&gt;0,"Yes","No")</f>
        <v/>
      </c>
      <c r="G16" s="4">
        <f>IF('Q13'!B66="Yes","Completed",IF(COUNTA('Q13'!D39:D58)&gt;0,"In review","Not started"))</f>
        <v/>
      </c>
      <c r="H16" s="4">
        <f>'Q13'!B67</f>
        <v/>
      </c>
      <c r="I16" s="4">
        <f>'Q13'!D67</f>
        <v/>
      </c>
      <c r="J16" s="4">
        <f>'Q13'!B61</f>
        <v/>
      </c>
      <c r="K16" s="4">
        <f>'Q13'!B62</f>
        <v/>
      </c>
      <c r="L16" s="4">
        <f>HYPERLINK("#'Q13'!A1","Open")</f>
        <v/>
      </c>
    </row>
    <row r="17" ht="54" customHeight="1">
      <c r="A17" s="4" t="n">
        <v>14</v>
      </c>
      <c r="B17" s="4" t="inlineStr">
        <is>
          <t>Dawn raids — challenging a seizure</t>
        </is>
      </c>
      <c r="C17" s="4" t="inlineStr">
        <is>
          <t>France</t>
        </is>
      </c>
      <c r="D17" s="4" t="inlineStr">
        <is>
          <t>After a dawn raid, can the President of the Court of Appeal be seized in interim proceedings to urgently resolve attorney-client privilege disputes? On what legal basis and under what conditions?</t>
        </is>
      </c>
      <c r="E17" s="4">
        <f>IF(LEN('Q14'!A16)&gt;0,"Yes","No")</f>
        <v/>
      </c>
      <c r="F17" s="4">
        <f>IF(COUNTA('Q14'!B21:B35)&gt;0,"Yes","No")</f>
        <v/>
      </c>
      <c r="G17" s="4">
        <f>IF('Q14'!B66="Yes","Completed",IF(COUNTA('Q14'!D39:D58)&gt;0,"In review","Not started"))</f>
        <v/>
      </c>
      <c r="H17" s="4">
        <f>'Q14'!B67</f>
        <v/>
      </c>
      <c r="I17" s="4">
        <f>'Q14'!D67</f>
        <v/>
      </c>
      <c r="J17" s="4">
        <f>'Q14'!B61</f>
        <v/>
      </c>
      <c r="K17" s="4">
        <f>'Q14'!B62</f>
        <v/>
      </c>
      <c r="L17" s="4">
        <f>HYPERLINK("#'Q14'!A1","Open")</f>
        <v/>
      </c>
    </row>
    <row r="18" ht="54" customHeight="1">
      <c r="A18" s="4" t="n">
        <v>15</v>
      </c>
      <c r="B18" s="4" t="inlineStr">
        <is>
          <t>Dawn raids — legal professional privilege</t>
        </is>
      </c>
      <c r="C18" s="4" t="inlineStr">
        <is>
          <t>EU</t>
        </is>
      </c>
      <c r="D18" s="4" t="inlineStr">
        <is>
          <t>At what stage is attorney-client privilege breached during a European Commission inspection under Article 20 of Regulation 1/2003 — when the inspector reads the document, or only when the Commission later uses it?</t>
        </is>
      </c>
      <c r="E18" s="4">
        <f>IF(LEN('Q15'!A16)&gt;0,"Yes","No")</f>
        <v/>
      </c>
      <c r="F18" s="4">
        <f>IF(COUNTA('Q15'!B21:B35)&gt;0,"Yes","No")</f>
        <v/>
      </c>
      <c r="G18" s="4">
        <f>IF('Q15'!B66="Yes","Completed",IF(COUNTA('Q15'!D39:D58)&gt;0,"In review","Not started"))</f>
        <v/>
      </c>
      <c r="H18" s="4">
        <f>'Q15'!B67</f>
        <v/>
      </c>
      <c r="I18" s="4">
        <f>'Q15'!D67</f>
        <v/>
      </c>
      <c r="J18" s="4">
        <f>'Q15'!B61</f>
        <v/>
      </c>
      <c r="K18" s="4">
        <f>'Q15'!B62</f>
        <v/>
      </c>
      <c r="L18" s="4">
        <f>HYPERLINK("#'Q15'!A1","Open")</f>
        <v/>
      </c>
    </row>
    <row r="19" ht="54" customHeight="1">
      <c r="A19" s="4" t="n">
        <v>16</v>
      </c>
      <c r="B19" s="4" t="inlineStr">
        <is>
          <t>Dawn raids — personal data</t>
        </is>
      </c>
      <c r="C19" s="4" t="inlineStr">
        <is>
          <t>EU</t>
        </is>
      </c>
      <c r="D19" s="4" t="inlineStr">
        <is>
          <t>Under what conditions must the European Commission protect personal data during an inspection? Does the GDPR apply? Must documents be sealed on request?</t>
        </is>
      </c>
      <c r="E19" s="4">
        <f>IF(LEN('Q16'!A16)&gt;0,"Yes","No")</f>
        <v/>
      </c>
      <c r="F19" s="4">
        <f>IF(COUNTA('Q16'!B21:B35)&gt;0,"Yes","No")</f>
        <v/>
      </c>
      <c r="G19" s="4">
        <f>IF('Q16'!B66="Yes","Completed",IF(COUNTA('Q16'!D39:D58)&gt;0,"In review","Not started"))</f>
        <v/>
      </c>
      <c r="H19" s="4">
        <f>'Q16'!B67</f>
        <v/>
      </c>
      <c r="I19" s="4">
        <f>'Q16'!D67</f>
        <v/>
      </c>
      <c r="J19" s="4">
        <f>'Q16'!B61</f>
        <v/>
      </c>
      <c r="K19" s="4">
        <f>'Q16'!B62</f>
        <v/>
      </c>
      <c r="L19" s="4">
        <f>HYPERLINK("#'Q16'!A1","Open")</f>
        <v/>
      </c>
    </row>
    <row r="20" ht="54" customHeight="1">
      <c r="A20" s="4" t="n">
        <v>17</v>
      </c>
      <c r="B20" s="4" t="inlineStr">
        <is>
          <t>Dawn raids — challenging a seizure</t>
        </is>
      </c>
      <c r="C20" s="4" t="inlineStr">
        <is>
          <t>EU</t>
        </is>
      </c>
      <c r="D20" s="4" t="inlineStr">
        <is>
          <t>What procedural avenues exist to challenge seizure of privileged documents after a European Commission inspection?</t>
        </is>
      </c>
      <c r="E20" s="4">
        <f>IF(LEN('Q17'!A16)&gt;0,"Yes","No")</f>
        <v/>
      </c>
      <c r="F20" s="4">
        <f>IF(COUNTA('Q17'!B21:B35)&gt;0,"Yes","No")</f>
        <v/>
      </c>
      <c r="G20" s="4">
        <f>IF('Q17'!B66="Yes","Completed",IF(COUNTA('Q17'!D39:D58)&gt;0,"In review","Not started"))</f>
        <v/>
      </c>
      <c r="H20" s="4">
        <f>'Q17'!B67</f>
        <v/>
      </c>
      <c r="I20" s="4">
        <f>'Q17'!D67</f>
        <v/>
      </c>
      <c r="J20" s="4">
        <f>'Q17'!B61</f>
        <v/>
      </c>
      <c r="K20" s="4">
        <f>'Q17'!B62</f>
        <v/>
      </c>
      <c r="L20" s="4">
        <f>HYPERLINK("#'Q17'!A1","Open")</f>
        <v/>
      </c>
    </row>
    <row r="21" ht="54" customHeight="1">
      <c r="A21" s="4" t="n">
        <v>18</v>
      </c>
      <c r="B21" s="4" t="inlineStr">
        <is>
          <t>Dawn raids — legal professional privilege</t>
        </is>
      </c>
      <c r="C21" s="4" t="inlineStr">
        <is>
          <t>US</t>
        </is>
      </c>
      <c r="D21" s="4" t="inlineStr">
        <is>
          <t>At what stage is attorney-client privilege breached when US antitrust authorities gather documents — when the investigator reads the document, or only when it is later used?</t>
        </is>
      </c>
      <c r="E21" s="4">
        <f>IF(LEN('Q18'!A16)&gt;0,"Yes","No")</f>
        <v/>
      </c>
      <c r="F21" s="4">
        <f>IF(COUNTA('Q18'!B21:B35)&gt;0,"Yes","No")</f>
        <v/>
      </c>
      <c r="G21" s="4">
        <f>IF('Q18'!B66="Yes","Completed",IF(COUNTA('Q18'!D39:D58)&gt;0,"In review","Not started"))</f>
        <v/>
      </c>
      <c r="H21" s="4">
        <f>'Q18'!B67</f>
        <v/>
      </c>
      <c r="I21" s="4">
        <f>'Q18'!D67</f>
        <v/>
      </c>
      <c r="J21" s="4">
        <f>'Q18'!B61</f>
        <v/>
      </c>
      <c r="K21" s="4">
        <f>'Q18'!B62</f>
        <v/>
      </c>
      <c r="L21" s="4">
        <f>HYPERLINK("#'Q18'!A1","Open")</f>
        <v/>
      </c>
    </row>
    <row r="22" ht="54" customHeight="1">
      <c r="A22" s="4" t="n">
        <v>22</v>
      </c>
      <c r="B22" s="4" t="inlineStr">
        <is>
          <t>Food delivery — data access</t>
        </is>
      </c>
      <c r="C22" s="4" t="inlineStr">
        <is>
          <t>EU + UK</t>
        </is>
      </c>
      <c r="D22" s="4" t="inlineStr">
        <is>
          <t>Where a platform like Uber leverages data collected across its ecosystem to improve and strengthen its food delivery arm, how would such conduct be characterised under EU competition law — as tying/bundling, as an exploitative abuse, as leveraging into an adjacent market, or as a distinct data-driven theory of harm? Which category best fits, and what would be required to establish it under Article 102 TFEU?</t>
        </is>
      </c>
      <c r="E22" s="4">
        <f>IF(LEN('Q22'!A16)&gt;0,"Yes","No")</f>
        <v/>
      </c>
      <c r="F22" s="4">
        <f>IF(COUNTA('Q22'!B21:B35)&gt;0,"Yes","No")</f>
        <v/>
      </c>
      <c r="G22" s="4">
        <f>IF('Q22'!B66="Yes","Completed",IF(COUNTA('Q22'!D39:D58)&gt;0,"In review","Not started"))</f>
        <v/>
      </c>
      <c r="H22" s="4">
        <f>'Q22'!B67</f>
        <v/>
      </c>
      <c r="I22" s="4">
        <f>'Q22'!D67</f>
        <v/>
      </c>
      <c r="J22" s="4">
        <f>'Q22'!B61</f>
        <v/>
      </c>
      <c r="K22" s="4">
        <f>'Q22'!B62</f>
        <v/>
      </c>
      <c r="L22" s="4">
        <f>HYPERLINK("#'Q22'!A1","Open")</f>
        <v/>
      </c>
    </row>
    <row r="23" ht="54" customHeight="1">
      <c r="A23" s="4" t="n">
        <v>23</v>
      </c>
      <c r="B23" s="4" t="inlineStr">
        <is>
          <t>Food delivery — own fleet vs marketplace</t>
        </is>
      </c>
      <c r="C23" s="4" t="inlineStr">
        <is>
          <t>EU + UK + ES</t>
        </is>
      </c>
      <c r="D23" s="4" t="inlineStr">
        <is>
          <t>Can a food-delivery platform qualify as a provider of online intermediation services within the meaning of the P2B Regulation (EU) 2019/1150 — and if so, which obligations would it additionally have to comply with should it be designated as a gatekeeper under the DMA?</t>
        </is>
      </c>
      <c r="E23" s="4">
        <f>IF(LEN('Q23'!A16)&gt;0,"Yes","No")</f>
        <v/>
      </c>
      <c r="F23" s="4">
        <f>IF(COUNTA('Q23'!B21:B35)&gt;0,"Yes","No")</f>
        <v/>
      </c>
      <c r="G23" s="4">
        <f>IF('Q23'!B66="Yes","Completed",IF(COUNTA('Q23'!D39:D58)&gt;0,"In review","Not started"))</f>
        <v/>
      </c>
      <c r="H23" s="4">
        <f>'Q23'!B67</f>
        <v/>
      </c>
      <c r="I23" s="4">
        <f>'Q23'!D67</f>
        <v/>
      </c>
      <c r="J23" s="4">
        <f>'Q23'!B61</f>
        <v/>
      </c>
      <c r="K23" s="4">
        <f>'Q23'!B62</f>
        <v/>
      </c>
      <c r="L23" s="4">
        <f>HYPERLINK("#'Q23'!A1","Open")</f>
        <v/>
      </c>
    </row>
    <row r="24" ht="54" customHeight="1">
      <c r="A24" s="4" t="n">
        <v>24</v>
      </c>
      <c r="B24" s="4" t="inlineStr">
        <is>
          <t>Food delivery — which authority reviews</t>
        </is>
      </c>
      <c r="C24" s="4" t="inlineStr">
        <is>
          <t>EU + UK + ES</t>
        </is>
      </c>
      <c r="D24" s="4" t="inlineStr">
        <is>
          <t>Food-delivery transactions frequently fall below the EU Merger Regulation turnover thresholds yet raise cross-border concerns. In light of the CJEU's Illumina/Grail judgment restricting Article 22 upward referrals for deals that do not meet any national threshold, what mechanisms remain for the Commission to capture a below-threshold food-delivery 'killer acquisition'?</t>
        </is>
      </c>
      <c r="E24" s="4">
        <f>IF(LEN('Q24'!A16)&gt;0,"Yes","No")</f>
        <v/>
      </c>
      <c r="F24" s="4">
        <f>IF(COUNTA('Q24'!B21:B35)&gt;0,"Yes","No")</f>
        <v/>
      </c>
      <c r="G24" s="4">
        <f>IF('Q24'!B66="Yes","Completed",IF(COUNTA('Q24'!D39:D58)&gt;0,"In review","Not started"))</f>
        <v/>
      </c>
      <c r="H24" s="4">
        <f>'Q24'!B67</f>
        <v/>
      </c>
      <c r="I24" s="4">
        <f>'Q24'!D67</f>
        <v/>
      </c>
      <c r="J24" s="4">
        <f>'Q24'!B61</f>
        <v/>
      </c>
      <c r="K24" s="4">
        <f>'Q24'!B62</f>
        <v/>
      </c>
      <c r="L24" s="4">
        <f>HYPERLINK("#'Q24'!A1","Open")</f>
        <v/>
      </c>
    </row>
    <row r="25" ht="54" customHeight="1">
      <c r="A25" s="4" t="n">
        <v>25</v>
      </c>
      <c r="B25" s="4" t="inlineStr">
        <is>
          <t>Dawn raids — legal professional privilege</t>
        </is>
      </c>
      <c r="C25" s="4" t="inlineStr">
        <is>
          <t>EU</t>
        </is>
      </c>
      <c r="D25" s="4" t="inlineStr">
        <is>
          <t>Does legal professional privilege in EU competition law cover advice from a company's own in-house lawyers? How have the courts justified where the line falls, and what does that mean in practice during an inspection?</t>
        </is>
      </c>
      <c r="E25" s="4">
        <f>IF(LEN('Q25'!A16)&gt;0,"Yes","No")</f>
        <v/>
      </c>
      <c r="F25" s="4">
        <f>IF(COUNTA('Q25'!B21:B35)&gt;0,"Yes","No")</f>
        <v/>
      </c>
      <c r="G25" s="4">
        <f>IF('Q25'!B66="Yes","Completed",IF(COUNTA('Q25'!D39:D58)&gt;0,"In review","Not started"))</f>
        <v/>
      </c>
      <c r="H25" s="4">
        <f>'Q25'!B67</f>
        <v/>
      </c>
      <c r="I25" s="4">
        <f>'Q25'!D67</f>
        <v/>
      </c>
      <c r="J25" s="4">
        <f>'Q25'!B61</f>
        <v/>
      </c>
      <c r="K25" s="4">
        <f>'Q25'!B62</f>
        <v/>
      </c>
      <c r="L25" s="4">
        <f>HYPERLINK("#'Q25'!A1","Open")</f>
        <v/>
      </c>
    </row>
    <row r="26" ht="54" customHeight="1">
      <c r="A26" s="4" t="n">
        <v>26</v>
      </c>
      <c r="B26" s="4" t="inlineStr">
        <is>
          <t>Dawn raids — legal professional privilege</t>
        </is>
      </c>
      <c r="C26" s="4" t="inlineStr">
        <is>
          <t>France</t>
        </is>
      </c>
      <c r="D26" s="4" t="inlineStr">
        <is>
          <t>Where a French dawn raid seizes a mailbox or a set of files in bulk and privileged correspondence is found inside afterwards, what is the procedure for having it returned or destroyed, and who decides?</t>
        </is>
      </c>
      <c r="E26" s="4">
        <f>IF(LEN('Q26'!A16)&gt;0,"Yes","No")</f>
        <v/>
      </c>
      <c r="F26" s="4">
        <f>IF(COUNTA('Q26'!B21:B35)&gt;0,"Yes","No")</f>
        <v/>
      </c>
      <c r="G26" s="4">
        <f>IF('Q26'!B66="Yes","Completed",IF(COUNTA('Q26'!D39:D58)&gt;0,"In review","Not started"))</f>
        <v/>
      </c>
      <c r="H26" s="4">
        <f>'Q26'!B67</f>
        <v/>
      </c>
      <c r="I26" s="4">
        <f>'Q26'!D67</f>
        <v/>
      </c>
      <c r="J26" s="4">
        <f>'Q26'!B61</f>
        <v/>
      </c>
      <c r="K26" s="4">
        <f>'Q26'!B62</f>
        <v/>
      </c>
      <c r="L26" s="4">
        <f>HYPERLINK("#'Q26'!A1","Open")</f>
        <v/>
      </c>
    </row>
    <row r="27" ht="54" customHeight="1">
      <c r="A27" s="4" t="n">
        <v>27</v>
      </c>
      <c r="B27" s="4" t="inlineStr">
        <is>
          <t>Dawn raids — challenging a seizure</t>
        </is>
      </c>
      <c r="C27" s="4" t="inlineStr">
        <is>
          <t>France</t>
        </is>
      </c>
      <c r="D27" s="4" t="inlineStr">
        <is>
          <t>French law separates a challenge to the order authorising a dawn raid from a challenge to how the raid was carried out. What are the two routes, who hears each, what are the time limits, and what can each achieve?</t>
        </is>
      </c>
      <c r="E27" s="4">
        <f>IF(LEN('Q27'!A16)&gt;0,"Yes","No")</f>
        <v/>
      </c>
      <c r="F27" s="4">
        <f>IF(COUNTA('Q27'!B21:B35)&gt;0,"Yes","No")</f>
        <v/>
      </c>
      <c r="G27" s="4">
        <f>IF('Q27'!B66="Yes","Completed",IF(COUNTA('Q27'!D39:D58)&gt;0,"In review","Not started"))</f>
        <v/>
      </c>
      <c r="H27" s="4">
        <f>'Q27'!B67</f>
        <v/>
      </c>
      <c r="I27" s="4">
        <f>'Q27'!D67</f>
        <v/>
      </c>
      <c r="J27" s="4">
        <f>'Q27'!B61</f>
        <v/>
      </c>
      <c r="K27" s="4">
        <f>'Q27'!B62</f>
        <v/>
      </c>
      <c r="L27" s="4">
        <f>HYPERLINK("#'Q27'!A1","Open")</f>
        <v/>
      </c>
    </row>
    <row r="28" ht="54" customHeight="1">
      <c r="A28" s="4" t="n">
        <v>28</v>
      </c>
      <c r="B28" s="4" t="inlineStr">
        <is>
          <t>Dawn raids — the inspection decision</t>
        </is>
      </c>
      <c r="C28" s="4" t="inlineStr">
        <is>
          <t>EU</t>
        </is>
      </c>
      <c r="D28" s="4" t="inlineStr">
        <is>
          <t>What is the extent of the Commission's duty to state reasons under Article 20(4) of Regulation 1/2003 as regards the subject matter and purpose of an inspection decision and the identification of its addressees — and what are the consequences, in light of Nexans, Deutsche Bahn and Les Laboratoires Servier, where the scope of the inspection exceeds the reasonable grounds (indicia) actually in the Commission's possession?</t>
        </is>
      </c>
      <c r="E28" s="4">
        <f>IF(LEN('Q28'!A16)&gt;0,"Yes","No")</f>
        <v/>
      </c>
      <c r="F28" s="4">
        <f>IF(COUNTA('Q28'!B21:B35)&gt;0,"Yes","No")</f>
        <v/>
      </c>
      <c r="G28" s="4">
        <f>IF('Q28'!B66="Yes","Completed",IF(COUNTA('Q28'!D39:D58)&gt;0,"In review","Not started"))</f>
        <v/>
      </c>
      <c r="H28" s="4">
        <f>'Q28'!B67</f>
        <v/>
      </c>
      <c r="I28" s="4">
        <f>'Q28'!D67</f>
        <v/>
      </c>
      <c r="J28" s="4">
        <f>'Q28'!B61</f>
        <v/>
      </c>
      <c r="K28" s="4">
        <f>'Q28'!B62</f>
        <v/>
      </c>
      <c r="L28" s="4">
        <f>HYPERLINK("#'Q28'!A1","Open")</f>
        <v/>
      </c>
    </row>
    <row r="29" ht="54" customHeight="1">
      <c r="A29" s="4" t="n">
        <v>29</v>
      </c>
      <c r="B29" s="4" t="inlineStr">
        <is>
          <t>Dawn raids — the inspection decision</t>
        </is>
      </c>
      <c r="C29" s="4" t="inlineStr">
        <is>
          <t>EU</t>
        </is>
      </c>
      <c r="D29" s="4" t="inlineStr">
        <is>
          <t>Can an inspection decision be annulled in part where the Commission's evidence supports only some of the suspected infringement period it covers, and what then happens to material already gathered?</t>
        </is>
      </c>
      <c r="E29" s="4">
        <f>IF(LEN('Q29'!A16)&gt;0,"Yes","No")</f>
        <v/>
      </c>
      <c r="F29" s="4">
        <f>IF(COUNTA('Q29'!B21:B35)&gt;0,"Yes","No")</f>
        <v/>
      </c>
      <c r="G29" s="4">
        <f>IF('Q29'!B66="Yes","Completed",IF(COUNTA('Q29'!D39:D58)&gt;0,"In review","Not started"))</f>
        <v/>
      </c>
      <c r="H29" s="4">
        <f>'Q29'!B67</f>
        <v/>
      </c>
      <c r="I29" s="4">
        <f>'Q29'!D67</f>
        <v/>
      </c>
      <c r="J29" s="4">
        <f>'Q29'!B61</f>
        <v/>
      </c>
      <c r="K29" s="4">
        <f>'Q29'!B62</f>
        <v/>
      </c>
      <c r="L29" s="4">
        <f>HYPERLINK("#'Q29'!A1","Open")</f>
        <v/>
      </c>
    </row>
    <row r="30" ht="54" customHeight="1">
      <c r="A30" s="4" t="n">
        <v>30</v>
      </c>
      <c r="B30" s="4" t="inlineStr">
        <is>
          <t>Dawn raids — the inspection decision</t>
        </is>
      </c>
      <c r="C30" s="4" t="inlineStr">
        <is>
          <t>France</t>
        </is>
      </c>
      <c r="D30" s="4" t="inlineStr">
        <is>
          <t>How specific must a French dawn-raid authorisation be about the premises to be visited, the practices suspected, and the period covered? What has been held insufficient?</t>
        </is>
      </c>
      <c r="E30" s="4">
        <f>IF(LEN('Q30'!A16)&gt;0,"Yes","No")</f>
        <v/>
      </c>
      <c r="F30" s="4">
        <f>IF(COUNTA('Q30'!B21:B35)&gt;0,"Yes","No")</f>
        <v/>
      </c>
      <c r="G30" s="4">
        <f>IF('Q30'!B66="Yes","Completed",IF(COUNTA('Q30'!D39:D58)&gt;0,"In review","Not started"))</f>
        <v/>
      </c>
      <c r="H30" s="4">
        <f>'Q30'!B67</f>
        <v/>
      </c>
      <c r="I30" s="4">
        <f>'Q30'!D67</f>
        <v/>
      </c>
      <c r="J30" s="4">
        <f>'Q30'!B61</f>
        <v/>
      </c>
      <c r="K30" s="4">
        <f>'Q30'!B62</f>
        <v/>
      </c>
      <c r="L30" s="4">
        <f>HYPERLINK("#'Q30'!A1","Open")</f>
        <v/>
      </c>
    </row>
    <row r="31" ht="54" customHeight="1">
      <c r="A31" s="4" t="n">
        <v>34</v>
      </c>
      <c r="B31" s="4" t="inlineStr">
        <is>
          <t>Dawn raids — obstruction and seals</t>
        </is>
      </c>
      <c r="C31" s="4" t="inlineStr">
        <is>
          <t>EU</t>
        </is>
      </c>
      <c r="D31" s="4" t="inlineStr">
        <is>
          <t>Does the obstruction regime of Article 23(1) of Regulation 1/2003 — conceived for physical records and corporate email — still fit an environment of ephemeral, encrypted messaging on employees' personal devices? Where does the deletion of a WhatsApp or Signal message during or ahead of an inspection cross from ordinary personal housekeeping into a sanctionable procedural infringement, and how must intent and attribution be established when the device and the account belong to the individual rather than the undertaking?</t>
        </is>
      </c>
      <c r="E31" s="4">
        <f>IF(LEN('Q34'!A16)&gt;0,"Yes","No")</f>
        <v/>
      </c>
      <c r="F31" s="4">
        <f>IF(COUNTA('Q34'!B21:B35)&gt;0,"Yes","No")</f>
        <v/>
      </c>
      <c r="G31" s="4">
        <f>IF('Q34'!B66="Yes","Completed",IF(COUNTA('Q34'!D39:D58)&gt;0,"In review","Not started"))</f>
        <v/>
      </c>
      <c r="H31" s="4">
        <f>'Q34'!B67</f>
        <v/>
      </c>
      <c r="I31" s="4">
        <f>'Q34'!D67</f>
        <v/>
      </c>
      <c r="J31" s="4">
        <f>'Q34'!B61</f>
        <v/>
      </c>
      <c r="K31" s="4">
        <f>'Q34'!B62</f>
        <v/>
      </c>
      <c r="L31" s="4">
        <f>HYPERLINK("#'Q34'!A1","Open")</f>
        <v/>
      </c>
    </row>
    <row r="32" ht="54" customHeight="1">
      <c r="A32" s="4" t="n">
        <v>35</v>
      </c>
      <c r="B32" s="4" t="inlineStr">
        <is>
          <t>Dawn raids — obstruction and seals</t>
        </is>
      </c>
      <c r="C32" s="4" t="inlineStr">
        <is>
          <t>EU</t>
        </is>
      </c>
      <c r="D32" s="4" t="inlineStr">
        <is>
          <t>To what extent may an undertaking be fined for the breaking of a seal in the absence of any fault or intent, and how is that reconciled with the presumption of innocence?</t>
        </is>
      </c>
      <c r="E32" s="4">
        <f>IF(LEN('Q35'!A16)&gt;0,"Yes","No")</f>
        <v/>
      </c>
      <c r="F32" s="4">
        <f>IF(COUNTA('Q35'!B21:B35)&gt;0,"Yes","No")</f>
        <v/>
      </c>
      <c r="G32" s="4">
        <f>IF('Q35'!B66="Yes","Completed",IF(COUNTA('Q35'!D39:D58)&gt;0,"In review","Not started"))</f>
        <v/>
      </c>
      <c r="H32" s="4">
        <f>'Q35'!B67</f>
        <v/>
      </c>
      <c r="I32" s="4">
        <f>'Q35'!D67</f>
        <v/>
      </c>
      <c r="J32" s="4">
        <f>'Q35'!B61</f>
        <v/>
      </c>
      <c r="K32" s="4">
        <f>'Q35'!B62</f>
        <v/>
      </c>
      <c r="L32" s="4">
        <f>HYPERLINK("#'Q35'!A1","Open")</f>
        <v/>
      </c>
    </row>
    <row r="33" ht="54" customHeight="1">
      <c r="A33" s="4" t="n">
        <v>36</v>
      </c>
      <c r="B33" s="4" t="inlineStr">
        <is>
          <t>Dawn raids — obstruction and seals</t>
        </is>
      </c>
      <c r="C33" s="4" t="inlineStr">
        <is>
          <t>France</t>
        </is>
      </c>
      <c r="D33" s="4" t="inlineStr">
        <is>
          <t>What behavior during a French dawn raid (OVS) exposes a company to obstruction liability, and what training precautions follow from recent enforcement?</t>
        </is>
      </c>
      <c r="E33" s="4">
        <f>IF(LEN('Q36'!A16)&gt;0,"Yes","No")</f>
        <v/>
      </c>
      <c r="F33" s="4">
        <f>IF(COUNTA('Q36'!B21:B35)&gt;0,"Yes","No")</f>
        <v/>
      </c>
      <c r="G33" s="4">
        <f>IF('Q36'!B66="Yes","Completed",IF(COUNTA('Q36'!D39:D58)&gt;0,"In review","Not started"))</f>
        <v/>
      </c>
      <c r="H33" s="4">
        <f>'Q36'!B67</f>
        <v/>
      </c>
      <c r="I33" s="4">
        <f>'Q36'!D67</f>
        <v/>
      </c>
      <c r="J33" s="4">
        <f>'Q36'!B61</f>
        <v/>
      </c>
      <c r="K33" s="4">
        <f>'Q36'!B62</f>
        <v/>
      </c>
      <c r="L33" s="4">
        <f>HYPERLINK("#'Q36'!A1","Open")</f>
        <v/>
      </c>
    </row>
    <row r="34" ht="54" customHeight="1">
      <c r="A34" s="4" t="n">
        <v>38</v>
      </c>
      <c r="B34" s="4" t="inlineStr">
        <is>
          <t>Dawn raids — questioning staff</t>
        </is>
      </c>
      <c r="C34" s="4" t="inlineStr">
        <is>
          <t>EU</t>
        </is>
      </c>
      <c r="D34" s="4" t="inlineStr">
        <is>
          <t>To what extent may the Commission compel answers under Article 20(2)(e) of Regulation 1/2003 before the privilege against self-incrimination intervenes — and how the distinction between answering questions of fact and admitting an infringement remain workable in practice?</t>
        </is>
      </c>
      <c r="E34" s="4">
        <f>IF(LEN('Q38'!A16)&gt;0,"Yes","No")</f>
        <v/>
      </c>
      <c r="F34" s="4">
        <f>IF(COUNTA('Q38'!B21:B35)&gt;0,"Yes","No")</f>
        <v/>
      </c>
      <c r="G34" s="4">
        <f>IF('Q38'!B66="Yes","Completed",IF(COUNTA('Q38'!D39:D58)&gt;0,"In review","Not started"))</f>
        <v/>
      </c>
      <c r="H34" s="4">
        <f>'Q38'!B67</f>
        <v/>
      </c>
      <c r="I34" s="4">
        <f>'Q38'!D67</f>
        <v/>
      </c>
      <c r="J34" s="4">
        <f>'Q38'!B61</f>
        <v/>
      </c>
      <c r="K34" s="4">
        <f>'Q38'!B62</f>
        <v/>
      </c>
      <c r="L34" s="4">
        <f>HYPERLINK("#'Q38'!A1","Open")</f>
        <v/>
      </c>
    </row>
    <row r="35" ht="54" customHeight="1">
      <c r="A35" s="4" t="n">
        <v>39</v>
      </c>
      <c r="B35" s="4" t="inlineStr">
        <is>
          <t>Dawn raids — questioning staff</t>
        </is>
      </c>
      <c r="C35" s="4" t="inlineStr">
        <is>
          <t>France</t>
        </is>
      </c>
      <c r="D35" s="4" t="inlineStr">
        <is>
          <t>Can employees be required to answer questions during a French dawn raid, and what protection against self-incrimination do they and the company have?</t>
        </is>
      </c>
      <c r="E35" s="4">
        <f>IF(LEN('Q39'!A16)&gt;0,"Yes","No")</f>
        <v/>
      </c>
      <c r="F35" s="4">
        <f>IF(COUNTA('Q39'!B21:B35)&gt;0,"Yes","No")</f>
        <v/>
      </c>
      <c r="G35" s="4">
        <f>IF('Q39'!B66="Yes","Completed",IF(COUNTA('Q39'!D39:D58)&gt;0,"In review","Not started"))</f>
        <v/>
      </c>
      <c r="H35" s="4">
        <f>'Q39'!B67</f>
        <v/>
      </c>
      <c r="I35" s="4">
        <f>'Q39'!D67</f>
        <v/>
      </c>
      <c r="J35" s="4">
        <f>'Q39'!B61</f>
        <v/>
      </c>
      <c r="K35" s="4">
        <f>'Q39'!B62</f>
        <v/>
      </c>
      <c r="L35" s="4">
        <f>HYPERLINK("#'Q39'!A1","Open")</f>
        <v/>
      </c>
    </row>
    <row r="36" ht="54" customHeight="1">
      <c r="A36" s="4" t="n">
        <v>41</v>
      </c>
      <c r="B36" s="4" t="inlineStr">
        <is>
          <t>Dawn raids — electronic data</t>
        </is>
      </c>
      <c r="C36" s="4" t="inlineStr">
        <is>
          <t>EU</t>
        </is>
      </c>
      <c r="D36" s="4" t="inlineStr">
        <is>
          <t>May the Commission take a forensic copy of a company's electronic data and carry on examining it at its own premises after the inspection has ended? What safeguards apply, and what rights does the company keep over that copy?</t>
        </is>
      </c>
      <c r="E36" s="4">
        <f>IF(LEN('Q41'!A16)&gt;0,"Yes","No")</f>
        <v/>
      </c>
      <c r="F36" s="4">
        <f>IF(COUNTA('Q41'!B21:B35)&gt;0,"Yes","No")</f>
        <v/>
      </c>
      <c r="G36" s="4">
        <f>IF('Q41'!B66="Yes","Completed",IF(COUNTA('Q41'!D39:D58)&gt;0,"In review","Not started"))</f>
        <v/>
      </c>
      <c r="H36" s="4">
        <f>'Q41'!B67</f>
        <v/>
      </c>
      <c r="I36" s="4">
        <f>'Q41'!D67</f>
        <v/>
      </c>
      <c r="J36" s="4">
        <f>'Q41'!B61</f>
        <v/>
      </c>
      <c r="K36" s="4">
        <f>'Q41'!B62</f>
        <v/>
      </c>
      <c r="L36" s="4">
        <f>HYPERLINK("#'Q41'!A1","Open")</f>
        <v/>
      </c>
    </row>
    <row r="37" ht="54" customHeight="1">
      <c r="A37" s="4" t="n">
        <v>42</v>
      </c>
      <c r="B37" s="4" t="inlineStr">
        <is>
          <t>Dawn raids — electronic data</t>
        </is>
      </c>
      <c r="C37" s="4" t="inlineStr">
        <is>
          <t>EU</t>
        </is>
      </c>
      <c r="D37" s="4" t="inlineStr">
        <is>
          <t>Whose interests prevail when an inspection captures the private communications of employees who are not themselves under investigation — the Commission's investigative reach, or the privacy protected by Articles 7 and 8 of the Charter? And when does an undertaking's effort to shield that data become obstruction?</t>
        </is>
      </c>
      <c r="E37" s="4">
        <f>IF(LEN('Q42'!A16)&gt;0,"Yes","No")</f>
        <v/>
      </c>
      <c r="F37" s="4">
        <f>IF(COUNTA('Q42'!B21:B35)&gt;0,"Yes","No")</f>
        <v/>
      </c>
      <c r="G37" s="4">
        <f>IF('Q42'!B66="Yes","Completed",IF(COUNTA('Q42'!D39:D58)&gt;0,"In review","Not started"))</f>
        <v/>
      </c>
      <c r="H37" s="4">
        <f>'Q42'!B67</f>
        <v/>
      </c>
      <c r="I37" s="4">
        <f>'Q42'!D67</f>
        <v/>
      </c>
      <c r="J37" s="4">
        <f>'Q42'!B61</f>
        <v/>
      </c>
      <c r="K37" s="4">
        <f>'Q42'!B62</f>
        <v/>
      </c>
      <c r="L37" s="4">
        <f>HYPERLINK("#'Q42'!A1","Open")</f>
        <v/>
      </c>
    </row>
    <row r="38" ht="54" customHeight="1">
      <c r="A38" s="4" t="n">
        <v>43</v>
      </c>
      <c r="B38" s="4" t="inlineStr">
        <is>
          <t>Dawn raids — electronic data</t>
        </is>
      </c>
      <c r="C38" s="4" t="inlineStr">
        <is>
          <t>France</t>
        </is>
      </c>
      <c r="D38" s="4" t="inlineStr">
        <is>
          <t>Under what conditions can French competition authorities seize entire mailboxes during a dawn raid rather than sorting them on-site, how is the in-scope material subsequently identified, and what happens to material found to be out of scope?</t>
        </is>
      </c>
      <c r="E38" s="4">
        <f>IF(LEN('Q43'!A16)&gt;0,"Yes","No")</f>
        <v/>
      </c>
      <c r="F38" s="4">
        <f>IF(COUNTA('Q43'!B21:B35)&gt;0,"Yes","No")</f>
        <v/>
      </c>
      <c r="G38" s="4">
        <f>IF('Q43'!B66="Yes","Completed",IF(COUNTA('Q43'!D39:D58)&gt;0,"In review","Not started"))</f>
        <v/>
      </c>
      <c r="H38" s="4">
        <f>'Q43'!B67</f>
        <v/>
      </c>
      <c r="I38" s="4">
        <f>'Q43'!D67</f>
        <v/>
      </c>
      <c r="J38" s="4">
        <f>'Q43'!B61</f>
        <v/>
      </c>
      <c r="K38" s="4">
        <f>'Q43'!B62</f>
        <v/>
      </c>
      <c r="L38" s="4">
        <f>HYPERLINK("#'Q43'!A1","Open")</f>
        <v/>
      </c>
    </row>
    <row r="39" ht="54" customHeight="1">
      <c r="A39" s="4" t="n">
        <v>45</v>
      </c>
      <c r="B39" s="4" t="inlineStr">
        <is>
          <t>Dawn raids — evidence found by accident</t>
        </is>
      </c>
      <c r="C39" s="4" t="inlineStr">
        <is>
          <t>EU</t>
        </is>
      </c>
      <c r="D39" s="4" t="inlineStr">
        <is>
          <t>May the Commission use evidence of an infringement falling outside the subject matter of the inspection decision? What are the limits imposed by the relevant case law on the use of such incidental findings, and on what conditions may a chance discovery justify a new inspection?</t>
        </is>
      </c>
      <c r="E39" s="4">
        <f>IF(LEN('Q45'!A16)&gt;0,"Yes","No")</f>
        <v/>
      </c>
      <c r="F39" s="4">
        <f>IF(COUNTA('Q45'!B21:B35)&gt;0,"Yes","No")</f>
        <v/>
      </c>
      <c r="G39" s="4">
        <f>IF('Q45'!B66="Yes","Completed",IF(COUNTA('Q45'!D39:D58)&gt;0,"In review","Not started"))</f>
        <v/>
      </c>
      <c r="H39" s="4">
        <f>'Q45'!B67</f>
        <v/>
      </c>
      <c r="I39" s="4">
        <f>'Q45'!D67</f>
        <v/>
      </c>
      <c r="J39" s="4">
        <f>'Q45'!B61</f>
        <v/>
      </c>
      <c r="K39" s="4">
        <f>'Q45'!B62</f>
        <v/>
      </c>
      <c r="L39" s="4">
        <f>HYPERLINK("#'Q45'!A1","Open")</f>
        <v/>
      </c>
    </row>
    <row r="40" ht="54" customHeight="1">
      <c r="A40" s="4" t="n">
        <v>46</v>
      </c>
      <c r="B40" s="4" t="inlineStr">
        <is>
          <t>Dawn raids — evidence found by accident</t>
        </is>
      </c>
      <c r="C40" s="4" t="inlineStr">
        <is>
          <t>EU</t>
        </is>
      </c>
      <c r="D40" s="4" t="inlineStr">
        <is>
          <t>Can the Commission inspect a company over conduct a national authority has already investigated? What limits apply, and how have the courts treated the overlap?</t>
        </is>
      </c>
      <c r="E40" s="4">
        <f>IF(LEN('Q46'!A16)&gt;0,"Yes","No")</f>
        <v/>
      </c>
      <c r="F40" s="4">
        <f>IF(COUNTA('Q46'!B21:B35)&gt;0,"Yes","No")</f>
        <v/>
      </c>
      <c r="G40" s="4">
        <f>IF('Q46'!B66="Yes","Completed",IF(COUNTA('Q46'!D39:D58)&gt;0,"In review","Not started"))</f>
        <v/>
      </c>
      <c r="H40" s="4">
        <f>'Q46'!B67</f>
        <v/>
      </c>
      <c r="I40" s="4">
        <f>'Q46'!D67</f>
        <v/>
      </c>
      <c r="J40" s="4">
        <f>'Q46'!B61</f>
        <v/>
      </c>
      <c r="K40" s="4">
        <f>'Q46'!B62</f>
        <v/>
      </c>
      <c r="L40" s="4">
        <f>HYPERLINK("#'Q46'!A1","Open")</f>
        <v/>
      </c>
    </row>
    <row r="41" ht="54" customHeight="1">
      <c r="A41" s="4" t="n">
        <v>47</v>
      </c>
      <c r="B41" s="4" t="inlineStr">
        <is>
          <t>Dawn raids — premises and the courts</t>
        </is>
      </c>
      <c r="C41" s="4" t="inlineStr">
        <is>
          <t>EU</t>
        </is>
      </c>
      <c r="D41" s="4" t="inlineStr">
        <is>
          <t>How is the inviolability of business premises reconciled with the Commission's inspection powers under Article 20 of Regulation 1/2003 — in particular, when is prior judicial authorisation required, and what may the national court asked to authorise coercive assistance review under Article 20(8)?</t>
        </is>
      </c>
      <c r="E41" s="4">
        <f>IF(LEN('Q47'!A16)&gt;0,"Yes","No")</f>
        <v/>
      </c>
      <c r="F41" s="4">
        <f>IF(COUNTA('Q47'!B21:B35)&gt;0,"Yes","No")</f>
        <v/>
      </c>
      <c r="G41" s="4">
        <f>IF('Q47'!B66="Yes","Completed",IF(COUNTA('Q47'!D39:D58)&gt;0,"In review","Not started"))</f>
        <v/>
      </c>
      <c r="H41" s="4">
        <f>'Q47'!B67</f>
        <v/>
      </c>
      <c r="I41" s="4">
        <f>'Q47'!D67</f>
        <v/>
      </c>
      <c r="J41" s="4">
        <f>'Q47'!B61</f>
        <v/>
      </c>
      <c r="K41" s="4">
        <f>'Q47'!B62</f>
        <v/>
      </c>
      <c r="L41" s="4">
        <f>HYPERLINK("#'Q47'!A1","Open")</f>
        <v/>
      </c>
    </row>
    <row r="42" ht="54" customHeight="1">
      <c r="A42" s="4" t="n">
        <v>48</v>
      </c>
      <c r="B42" s="4" t="inlineStr">
        <is>
          <t>Dawn raids — premises and the courts</t>
        </is>
      </c>
      <c r="C42" s="4" t="inlineStr">
        <is>
          <t>EU</t>
        </is>
      </c>
      <c r="D42" s="4" t="inlineStr">
        <is>
          <t>In light of the recent case law of the Court of Justice, may a national competition authority seize an undertaking's business emails without prior judicial authorisation, and does full ex post review adequately protect the right to respect for communications under Article 7 of the Charter?</t>
        </is>
      </c>
      <c r="E42" s="4">
        <f>IF(LEN('Q48'!A16)&gt;0,"Yes","No")</f>
        <v/>
      </c>
      <c r="F42" s="4">
        <f>IF(COUNTA('Q48'!B21:B35)&gt;0,"Yes","No")</f>
        <v/>
      </c>
      <c r="G42" s="4">
        <f>IF('Q48'!B66="Yes","Completed",IF(COUNTA('Q48'!D39:D58)&gt;0,"In review","Not started"))</f>
        <v/>
      </c>
      <c r="H42" s="4">
        <f>'Q48'!B67</f>
        <v/>
      </c>
      <c r="I42" s="4">
        <f>'Q48'!D67</f>
        <v/>
      </c>
      <c r="J42" s="4">
        <f>'Q48'!B61</f>
        <v/>
      </c>
      <c r="K42" s="4">
        <f>'Q48'!B62</f>
        <v/>
      </c>
      <c r="L42" s="4">
        <f>HYPERLINK("#'Q48'!A1","Open")</f>
        <v/>
      </c>
    </row>
    <row r="43" ht="54" customHeight="1">
      <c r="A43" s="4" t="n">
        <v>49</v>
      </c>
      <c r="B43" s="4" t="inlineStr">
        <is>
          <t>Dawn raids — premises and the courts</t>
        </is>
      </c>
      <c r="C43" s="4" t="inlineStr">
        <is>
          <t>France</t>
        </is>
      </c>
      <c r="D43" s="4" t="inlineStr">
        <is>
          <t>When must a French dawn raid be authorised in advance by the juge des libertés et de la détention , and what does that judge control  before, during, and after the operation?</t>
        </is>
      </c>
      <c r="E43" s="4">
        <f>IF(LEN('Q49'!A16)&gt;0,"Yes","No")</f>
        <v/>
      </c>
      <c r="F43" s="4">
        <f>IF(COUNTA('Q49'!B21:B35)&gt;0,"Yes","No")</f>
        <v/>
      </c>
      <c r="G43" s="4">
        <f>IF('Q49'!B66="Yes","Completed",IF(COUNTA('Q49'!D39:D58)&gt;0,"In review","Not started"))</f>
        <v/>
      </c>
      <c r="H43" s="4">
        <f>'Q49'!B67</f>
        <v/>
      </c>
      <c r="I43" s="4">
        <f>'Q49'!D67</f>
        <v/>
      </c>
      <c r="J43" s="4">
        <f>'Q49'!B61</f>
        <v/>
      </c>
      <c r="K43" s="4">
        <f>'Q49'!B62</f>
        <v/>
      </c>
      <c r="L43" s="4">
        <f>HYPERLINK("#'Q49'!A1","Open")</f>
        <v/>
      </c>
    </row>
    <row r="44" ht="54" customHeight="1">
      <c r="A44" s="4" t="n">
        <v>51</v>
      </c>
      <c r="B44" s="4" t="inlineStr">
        <is>
          <t>Dawn raids — personal data</t>
        </is>
      </c>
      <c r="C44" s="4" t="inlineStr">
        <is>
          <t>EU</t>
        </is>
      </c>
      <c r="D44" s="4" t="inlineStr">
        <is>
          <t>To what extent may the Commission inspect private correspondence, personal devices and employees’ personal data during a dawn raid, and does the sealed-envelope procedure extend beyond legally privileged material?</t>
        </is>
      </c>
      <c r="E44" s="4">
        <f>IF(LEN('Q51'!A16)&gt;0,"Yes","No")</f>
        <v/>
      </c>
      <c r="F44" s="4">
        <f>IF(COUNTA('Q51'!B21:B35)&gt;0,"Yes","No")</f>
        <v/>
      </c>
      <c r="G44" s="4">
        <f>IF('Q51'!B66="Yes","Completed",IF(COUNTA('Q51'!D39:D58)&gt;0,"In review","Not started"))</f>
        <v/>
      </c>
      <c r="H44" s="4">
        <f>'Q51'!B67</f>
        <v/>
      </c>
      <c r="I44" s="4">
        <f>'Q51'!D67</f>
        <v/>
      </c>
      <c r="J44" s="4">
        <f>'Q51'!B61</f>
        <v/>
      </c>
      <c r="K44" s="4">
        <f>'Q51'!B62</f>
        <v/>
      </c>
      <c r="L44" s="4">
        <f>HYPERLINK("#'Q51'!A1","Open")</f>
        <v/>
      </c>
    </row>
    <row r="45" ht="54" customHeight="1">
      <c r="A45" s="4" t="n">
        <v>52</v>
      </c>
      <c r="B45" s="4" t="inlineStr">
        <is>
          <t>Dawn raids — legal professional privilege</t>
        </is>
      </c>
      <c r="C45" s="4" t="inlineStr">
        <is>
          <t>France</t>
        </is>
      </c>
      <c r="D45" s="4" t="inlineStr">
        <is>
          <t>Under French law, to what extent are communications between a company and its lawyers protected during a competition dawn raid, how can the company challenge the seizure of allegedly privileged material, and what remedies are available if privileged documents have been seized (including return, destruction, or exclusion from the investigation)?</t>
        </is>
      </c>
      <c r="E45" s="4">
        <f>IF(LEN('Q52'!A16)&gt;0,"Yes","No")</f>
        <v/>
      </c>
      <c r="F45" s="4">
        <f>IF(COUNTA('Q52'!B21:B35)&gt;0,"Yes","No")</f>
        <v/>
      </c>
      <c r="G45" s="4">
        <f>IF('Q52'!B66="Yes","Completed",IF(COUNTA('Q52'!D39:D58)&gt;0,"In review","Not started"))</f>
        <v/>
      </c>
      <c r="H45" s="4">
        <f>'Q52'!B67</f>
        <v/>
      </c>
      <c r="I45" s="4">
        <f>'Q52'!D67</f>
        <v/>
      </c>
      <c r="J45" s="4">
        <f>'Q52'!B61</f>
        <v/>
      </c>
      <c r="K45" s="4">
        <f>'Q52'!B62</f>
        <v/>
      </c>
      <c r="L45" s="4">
        <f>HYPERLINK("#'Q52'!A1","Open")</f>
        <v/>
      </c>
    </row>
    <row r="46" ht="54" customHeight="1">
      <c r="A46" s="4" t="n">
        <v>53</v>
      </c>
      <c r="B46" s="4" t="inlineStr">
        <is>
          <t>Dawn raids — grounds for an inspection</t>
        </is>
      </c>
      <c r="C46" s="4" t="inlineStr">
        <is>
          <t>EU</t>
        </is>
      </c>
      <c r="D46" s="4" t="inlineStr">
        <is>
          <t>What evidentiary threshold must the European Commission meet to justify a dawn raid, including the requirement for “sufficiently serious indicia”?</t>
        </is>
      </c>
      <c r="E46" s="4">
        <f>IF(LEN('Q53'!A16)&gt;0,"Yes","No")</f>
        <v/>
      </c>
      <c r="F46" s="4">
        <f>IF(COUNTA('Q53'!B21:B35)&gt;0,"Yes","No")</f>
        <v/>
      </c>
      <c r="G46" s="4">
        <f>IF('Q53'!B66="Yes","Completed",IF(COUNTA('Q53'!D39:D58)&gt;0,"In review","Not started"))</f>
        <v/>
      </c>
      <c r="H46" s="4">
        <f>'Q53'!B67</f>
        <v/>
      </c>
      <c r="I46" s="4">
        <f>'Q53'!D67</f>
        <v/>
      </c>
      <c r="J46" s="4">
        <f>'Q53'!B61</f>
        <v/>
      </c>
      <c r="K46" s="4">
        <f>'Q53'!B62</f>
        <v/>
      </c>
      <c r="L46" s="4">
        <f>HYPERLINK("#'Q53'!A1","Open")</f>
        <v/>
      </c>
    </row>
    <row r="47" ht="54" customHeight="1">
      <c r="A47" s="4" t="n">
        <v>54</v>
      </c>
      <c r="B47" s="4" t="inlineStr">
        <is>
          <t>Dawn raids — grounds for an inspection</t>
        </is>
      </c>
      <c r="C47" s="4" t="inlineStr">
        <is>
          <t>EU</t>
        </is>
      </c>
      <c r="D47" s="4" t="inlineStr">
        <is>
          <t>What is an undertaking entitled to know about the indicia underpinning an inspection decision, beyond its subject matter and purpose under Article 20(4) of Regulation 1/2003?</t>
        </is>
      </c>
      <c r="E47" s="4">
        <f>IF(LEN('Q54'!A16)&gt;0,"Yes","No")</f>
        <v/>
      </c>
      <c r="F47" s="4">
        <f>IF(COUNTA('Q54'!B21:B35)&gt;0,"Yes","No")</f>
        <v/>
      </c>
      <c r="G47" s="4">
        <f>IF('Q54'!B66="Yes","Completed",IF(COUNTA('Q54'!D39:D58)&gt;0,"In review","Not started"))</f>
        <v/>
      </c>
      <c r="H47" s="4">
        <f>'Q54'!B67</f>
        <v/>
      </c>
      <c r="I47" s="4">
        <f>'Q54'!D67</f>
        <v/>
      </c>
      <c r="J47" s="4">
        <f>'Q54'!B61</f>
        <v/>
      </c>
      <c r="K47" s="4">
        <f>'Q54'!B62</f>
        <v/>
      </c>
      <c r="L47" s="4">
        <f>HYPERLINK("#'Q54'!A1","Open")</f>
        <v/>
      </c>
    </row>
  </sheetData>
  <autoFilter ref="A3:L47"/>
  <mergeCells count="1">
    <mergeCell ref="A1:L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K48"/>
  <sheetViews>
    <sheetView showGridLines="0" workbookViewId="0">
      <pane ySplit="4" topLeftCell="A5" activePane="bottomLeft" state="frozen"/>
      <selection pane="bottomLeft" activeCell="A1" sqref="A1"/>
    </sheetView>
  </sheetViews>
  <sheetFormatPr baseColWidth="8" defaultRowHeight="15"/>
  <cols>
    <col width="12" customWidth="1" min="1" max="1"/>
    <col width="30" customWidth="1" min="2" max="2"/>
    <col width="13" customWidth="1" min="3" max="3"/>
    <col width="12" customWidth="1" min="4" max="4"/>
    <col width="16" customWidth="1" min="5" max="5"/>
    <col width="14" customWidth="1" min="6" max="6"/>
    <col width="13" customWidth="1" min="7" max="7"/>
    <col width="16" customWidth="1" min="8" max="8"/>
    <col width="16" customWidth="1" min="9" max="9"/>
    <col width="20" customWidth="1" min="10" max="10"/>
    <col width="46" customWidth="1" min="11" max="11"/>
  </cols>
  <sheetData>
    <row r="1">
      <c r="A1" s="6" t="inlineStr">
        <is>
          <t>Scoring Summary</t>
        </is>
      </c>
      <c r="B1" s="3" t="n"/>
      <c r="C1" s="3" t="n"/>
      <c r="D1" s="3" t="n"/>
      <c r="E1" s="3" t="n"/>
      <c r="F1" s="3" t="n"/>
      <c r="G1" s="3" t="n"/>
      <c r="H1" s="3" t="n"/>
      <c r="I1" s="3" t="n"/>
      <c r="J1" s="3" t="n"/>
      <c r="K1" s="3" t="n"/>
    </row>
    <row r="2">
      <c r="A2" s="3" t="inlineStr">
        <is>
          <t>Team-facing summary. Experts only need to complete the question tabs; this sheet pulls verdicts together.</t>
        </is>
      </c>
      <c r="B2" s="3" t="n"/>
      <c r="C2" s="3" t="n"/>
      <c r="D2" s="3" t="n"/>
      <c r="E2" s="3" t="n"/>
      <c r="F2" s="3" t="n"/>
      <c r="G2" s="3" t="n"/>
      <c r="H2" s="3" t="n"/>
      <c r="I2" s="3" t="n"/>
      <c r="J2" s="3" t="n"/>
      <c r="K2" s="3" t="n"/>
    </row>
    <row r="3">
      <c r="A3" s="3" t="n"/>
      <c r="B3" s="3" t="n"/>
      <c r="C3" s="3" t="n"/>
      <c r="D3" s="3" t="n"/>
      <c r="E3" s="3" t="n"/>
      <c r="F3" s="3" t="n"/>
      <c r="G3" s="3" t="n"/>
      <c r="H3" s="3" t="n"/>
      <c r="I3" s="3" t="n"/>
      <c r="J3" s="3" t="n"/>
      <c r="K3" s="3" t="n"/>
    </row>
    <row r="4">
      <c r="A4" s="7" t="inlineStr">
        <is>
          <t>Question ID</t>
        </is>
      </c>
      <c r="B4" s="7" t="inlineStr">
        <is>
          <t>Topic</t>
        </is>
      </c>
      <c r="C4" s="7" t="inlineStr">
        <is>
          <t>Total claims</t>
        </is>
      </c>
      <c r="D4" s="7" t="inlineStr">
        <is>
          <t>Supported</t>
        </is>
      </c>
      <c r="E4" s="7" t="inlineStr">
        <is>
          <t>Partly supported</t>
        </is>
      </c>
      <c r="F4" s="7" t="inlineStr">
        <is>
          <t>Not supported</t>
        </is>
      </c>
      <c r="G4" s="7" t="inlineStr">
        <is>
          <t>Wrong source</t>
        </is>
      </c>
      <c r="H4" s="7" t="inlineStr">
        <is>
          <t>Missing citation</t>
        </is>
      </c>
      <c r="I4" s="7" t="inlineStr">
        <is>
          <t>Not legal claim</t>
        </is>
      </c>
      <c r="J4" s="7" t="inlineStr">
        <is>
          <t>Final verdict</t>
        </is>
      </c>
      <c r="K4" s="7" t="inlineStr">
        <is>
          <t>Expert notes</t>
        </is>
      </c>
    </row>
    <row r="5">
      <c r="A5" s="4" t="n">
        <v>1</v>
      </c>
      <c r="B5" s="4" t="inlineStr">
        <is>
          <t>Food delivery — market definition</t>
        </is>
      </c>
      <c r="C5" s="4">
        <f>COUNTA('Q01'!B39:B58)</f>
        <v/>
      </c>
      <c r="D5" s="4">
        <f>COUNTIF('Q01'!D39:D58,"Supported")</f>
        <v/>
      </c>
      <c r="E5" s="4">
        <f>COUNTIF('Q01'!D39:D58,"Partly supported")</f>
        <v/>
      </c>
      <c r="F5" s="4">
        <f>COUNTIF('Q01'!D39:D58,"Not supported")</f>
        <v/>
      </c>
      <c r="G5" s="4">
        <f>COUNTIF('Q01'!D39:D58,"Wrong source")</f>
        <v/>
      </c>
      <c r="H5" s="4">
        <f>COUNTIF('Q01'!D39:D58,"Missing citation")</f>
        <v/>
      </c>
      <c r="I5" s="4">
        <f>COUNTIF('Q01'!D39:D58,"Not a legal claim")</f>
        <v/>
      </c>
      <c r="J5" s="4">
        <f>'Q01'!B61</f>
        <v/>
      </c>
      <c r="K5" s="4">
        <f>'Q01'!B62</f>
        <v/>
      </c>
    </row>
    <row r="6">
      <c r="A6" s="4" t="n">
        <v>2</v>
      </c>
      <c r="B6" s="4" t="inlineStr">
        <is>
          <t>Food delivery — multi-sided platforms</t>
        </is>
      </c>
      <c r="C6" s="4">
        <f>COUNTA('Q02'!B39:B58)</f>
        <v/>
      </c>
      <c r="D6" s="4">
        <f>COUNTIF('Q02'!D39:D58,"Supported")</f>
        <v/>
      </c>
      <c r="E6" s="4">
        <f>COUNTIF('Q02'!D39:D58,"Partly supported")</f>
        <v/>
      </c>
      <c r="F6" s="4">
        <f>COUNTIF('Q02'!D39:D58,"Not supported")</f>
        <v/>
      </c>
      <c r="G6" s="4">
        <f>COUNTIF('Q02'!D39:D58,"Wrong source")</f>
        <v/>
      </c>
      <c r="H6" s="4">
        <f>COUNTIF('Q02'!D39:D58,"Missing citation")</f>
        <v/>
      </c>
      <c r="I6" s="4">
        <f>COUNTIF('Q02'!D39:D58,"Not a legal claim")</f>
        <v/>
      </c>
      <c r="J6" s="4">
        <f>'Q02'!B61</f>
        <v/>
      </c>
      <c r="K6" s="4">
        <f>'Q02'!B62</f>
        <v/>
      </c>
    </row>
    <row r="7">
      <c r="A7" s="4" t="n">
        <v>3</v>
      </c>
      <c r="B7" s="4" t="inlineStr">
        <is>
          <t>Food delivery — market boundary</t>
        </is>
      </c>
      <c r="C7" s="4">
        <f>COUNTA('Q03'!B39:B58)</f>
        <v/>
      </c>
      <c r="D7" s="4">
        <f>COUNTIF('Q03'!D39:D58,"Supported")</f>
        <v/>
      </c>
      <c r="E7" s="4">
        <f>COUNTIF('Q03'!D39:D58,"Partly supported")</f>
        <v/>
      </c>
      <c r="F7" s="4">
        <f>COUNTIF('Q03'!D39:D58,"Not supported")</f>
        <v/>
      </c>
      <c r="G7" s="4">
        <f>COUNTIF('Q03'!D39:D58,"Wrong source")</f>
        <v/>
      </c>
      <c r="H7" s="4">
        <f>COUNTIF('Q03'!D39:D58,"Missing citation")</f>
        <v/>
      </c>
      <c r="I7" s="4">
        <f>COUNTIF('Q03'!D39:D58,"Not a legal claim")</f>
        <v/>
      </c>
      <c r="J7" s="4">
        <f>'Q03'!B61</f>
        <v/>
      </c>
      <c r="K7" s="4">
        <f>'Q03'!B62</f>
        <v/>
      </c>
    </row>
    <row r="8">
      <c r="A8" s="4" t="n">
        <v>4</v>
      </c>
      <c r="B8" s="4" t="inlineStr">
        <is>
          <t>Food delivery — failing-firm defence</t>
        </is>
      </c>
      <c r="C8" s="4">
        <f>COUNTA('Q04'!B39:B58)</f>
        <v/>
      </c>
      <c r="D8" s="4">
        <f>COUNTIF('Q04'!D39:D58,"Supported")</f>
        <v/>
      </c>
      <c r="E8" s="4">
        <f>COUNTIF('Q04'!D39:D58,"Partly supported")</f>
        <v/>
      </c>
      <c r="F8" s="4">
        <f>COUNTIF('Q04'!D39:D58,"Not supported")</f>
        <v/>
      </c>
      <c r="G8" s="4">
        <f>COUNTIF('Q04'!D39:D58,"Wrong source")</f>
        <v/>
      </c>
      <c r="H8" s="4">
        <f>COUNTIF('Q04'!D39:D58,"Missing citation")</f>
        <v/>
      </c>
      <c r="I8" s="4">
        <f>COUNTIF('Q04'!D39:D58,"Not a legal claim")</f>
        <v/>
      </c>
      <c r="J8" s="4">
        <f>'Q04'!B61</f>
        <v/>
      </c>
      <c r="K8" s="4">
        <f>'Q04'!B62</f>
        <v/>
      </c>
    </row>
    <row r="9">
      <c r="A9" s="4" t="n">
        <v>5</v>
      </c>
      <c r="B9" s="4" t="inlineStr">
        <is>
          <t>Food delivery — COVID-19</t>
        </is>
      </c>
      <c r="C9" s="4">
        <f>COUNTA('Q05'!B39:B58)</f>
        <v/>
      </c>
      <c r="D9" s="4">
        <f>COUNTIF('Q05'!D39:D58,"Supported")</f>
        <v/>
      </c>
      <c r="E9" s="4">
        <f>COUNTIF('Q05'!D39:D58,"Partly supported")</f>
        <v/>
      </c>
      <c r="F9" s="4">
        <f>COUNTIF('Q05'!D39:D58,"Not supported")</f>
        <v/>
      </c>
      <c r="G9" s="4">
        <f>COUNTIF('Q05'!D39:D58,"Wrong source")</f>
        <v/>
      </c>
      <c r="H9" s="4">
        <f>COUNTIF('Q05'!D39:D58,"Missing citation")</f>
        <v/>
      </c>
      <c r="I9" s="4">
        <f>COUNTIF('Q05'!D39:D58,"Not a legal claim")</f>
        <v/>
      </c>
      <c r="J9" s="4">
        <f>'Q05'!B61</f>
        <v/>
      </c>
      <c r="K9" s="4">
        <f>'Q05'!B62</f>
        <v/>
      </c>
    </row>
    <row r="10">
      <c r="A10" s="4" t="n">
        <v>6</v>
      </c>
      <c r="B10" s="4" t="inlineStr">
        <is>
          <t>Food delivery — potential competition</t>
        </is>
      </c>
      <c r="C10" s="4">
        <f>COUNTA('Q06'!B39:B58)</f>
        <v/>
      </c>
      <c r="D10" s="4">
        <f>COUNTIF('Q06'!D39:D58,"Supported")</f>
        <v/>
      </c>
      <c r="E10" s="4">
        <f>COUNTIF('Q06'!D39:D58,"Partly supported")</f>
        <v/>
      </c>
      <c r="F10" s="4">
        <f>COUNTIF('Q06'!D39:D58,"Not supported")</f>
        <v/>
      </c>
      <c r="G10" s="4">
        <f>COUNTIF('Q06'!D39:D58,"Wrong source")</f>
        <v/>
      </c>
      <c r="H10" s="4">
        <f>COUNTIF('Q06'!D39:D58,"Missing citation")</f>
        <v/>
      </c>
      <c r="I10" s="4">
        <f>COUNTIF('Q06'!D39:D58,"Not a legal claim")</f>
        <v/>
      </c>
      <c r="J10" s="4">
        <f>'Q06'!B61</f>
        <v/>
      </c>
      <c r="K10" s="4">
        <f>'Q06'!B62</f>
        <v/>
      </c>
    </row>
    <row r="11">
      <c r="A11" s="4" t="n">
        <v>7</v>
      </c>
      <c r="B11" s="4" t="inlineStr">
        <is>
          <t>Food delivery — no-poach agreements</t>
        </is>
      </c>
      <c r="C11" s="4">
        <f>COUNTA('Q07'!B39:B58)</f>
        <v/>
      </c>
      <c r="D11" s="4">
        <f>COUNTIF('Q07'!D39:D58,"Supported")</f>
        <v/>
      </c>
      <c r="E11" s="4">
        <f>COUNTIF('Q07'!D39:D58,"Partly supported")</f>
        <v/>
      </c>
      <c r="F11" s="4">
        <f>COUNTIF('Q07'!D39:D58,"Not supported")</f>
        <v/>
      </c>
      <c r="G11" s="4">
        <f>COUNTIF('Q07'!D39:D58,"Wrong source")</f>
        <v/>
      </c>
      <c r="H11" s="4">
        <f>COUNTIF('Q07'!D39:D58,"Missing citation")</f>
        <v/>
      </c>
      <c r="I11" s="4">
        <f>COUNTIF('Q07'!D39:D58,"Not a legal claim")</f>
        <v/>
      </c>
      <c r="J11" s="4">
        <f>'Q07'!B61</f>
        <v/>
      </c>
      <c r="K11" s="4">
        <f>'Q07'!B62</f>
        <v/>
      </c>
    </row>
    <row r="12">
      <c r="A12" s="4" t="n">
        <v>8</v>
      </c>
      <c r="B12" s="4" t="inlineStr">
        <is>
          <t>Food delivery — remedies</t>
        </is>
      </c>
      <c r="C12" s="4">
        <f>COUNTA('Q08'!B39:B58)</f>
        <v/>
      </c>
      <c r="D12" s="4">
        <f>COUNTIF('Q08'!D39:D58,"Supported")</f>
        <v/>
      </c>
      <c r="E12" s="4">
        <f>COUNTIF('Q08'!D39:D58,"Partly supported")</f>
        <v/>
      </c>
      <c r="F12" s="4">
        <f>COUNTIF('Q08'!D39:D58,"Not supported")</f>
        <v/>
      </c>
      <c r="G12" s="4">
        <f>COUNTIF('Q08'!D39:D58,"Wrong source")</f>
        <v/>
      </c>
      <c r="H12" s="4">
        <f>COUNTIF('Q08'!D39:D58,"Missing citation")</f>
        <v/>
      </c>
      <c r="I12" s="4">
        <f>COUNTIF('Q08'!D39:D58,"Not a legal claim")</f>
        <v/>
      </c>
      <c r="J12" s="4">
        <f>'Q08'!B61</f>
        <v/>
      </c>
      <c r="K12" s="4">
        <f>'Q08'!B62</f>
        <v/>
      </c>
    </row>
    <row r="13">
      <c r="A13" s="4" t="n">
        <v>9</v>
      </c>
      <c r="B13" s="4" t="inlineStr">
        <is>
          <t>Food delivery — Spanish practice</t>
        </is>
      </c>
      <c r="C13" s="4">
        <f>COUNTA('Q09'!B39:B58)</f>
        <v/>
      </c>
      <c r="D13" s="4">
        <f>COUNTIF('Q09'!D39:D58,"Supported")</f>
        <v/>
      </c>
      <c r="E13" s="4">
        <f>COUNTIF('Q09'!D39:D58,"Partly supported")</f>
        <v/>
      </c>
      <c r="F13" s="4">
        <f>COUNTIF('Q09'!D39:D58,"Not supported")</f>
        <v/>
      </c>
      <c r="G13" s="4">
        <f>COUNTIF('Q09'!D39:D58,"Wrong source")</f>
        <v/>
      </c>
      <c r="H13" s="4">
        <f>COUNTIF('Q09'!D39:D58,"Missing citation")</f>
        <v/>
      </c>
      <c r="I13" s="4">
        <f>COUNTIF('Q09'!D39:D58,"Not a legal claim")</f>
        <v/>
      </c>
      <c r="J13" s="4">
        <f>'Q09'!B61</f>
        <v/>
      </c>
      <c r="K13" s="4">
        <f>'Q09'!B62</f>
        <v/>
      </c>
    </row>
    <row r="14">
      <c r="A14" s="4" t="n">
        <v>10</v>
      </c>
      <c r="B14" s="4" t="inlineStr">
        <is>
          <t>Food delivery — minority shareholdings</t>
        </is>
      </c>
      <c r="C14" s="4">
        <f>COUNTA('Q10'!B39:B58)</f>
        <v/>
      </c>
      <c r="D14" s="4">
        <f>COUNTIF('Q10'!D39:D58,"Supported")</f>
        <v/>
      </c>
      <c r="E14" s="4">
        <f>COUNTIF('Q10'!D39:D58,"Partly supported")</f>
        <v/>
      </c>
      <c r="F14" s="4">
        <f>COUNTIF('Q10'!D39:D58,"Not supported")</f>
        <v/>
      </c>
      <c r="G14" s="4">
        <f>COUNTIF('Q10'!D39:D58,"Wrong source")</f>
        <v/>
      </c>
      <c r="H14" s="4">
        <f>COUNTIF('Q10'!D39:D58,"Missing citation")</f>
        <v/>
      </c>
      <c r="I14" s="4">
        <f>COUNTIF('Q10'!D39:D58,"Not a legal claim")</f>
        <v/>
      </c>
      <c r="J14" s="4">
        <f>'Q10'!B61</f>
        <v/>
      </c>
      <c r="K14" s="4">
        <f>'Q10'!B62</f>
        <v/>
      </c>
    </row>
    <row r="15">
      <c r="A15" s="4" t="n">
        <v>11</v>
      </c>
      <c r="B15" s="4" t="inlineStr">
        <is>
          <t>Food delivery — evolution of practice</t>
        </is>
      </c>
      <c r="C15" s="4">
        <f>COUNTA('Q11'!B39:B58)</f>
        <v/>
      </c>
      <c r="D15" s="4">
        <f>COUNTIF('Q11'!D39:D58,"Supported")</f>
        <v/>
      </c>
      <c r="E15" s="4">
        <f>COUNTIF('Q11'!D39:D58,"Partly supported")</f>
        <v/>
      </c>
      <c r="F15" s="4">
        <f>COUNTIF('Q11'!D39:D58,"Not supported")</f>
        <v/>
      </c>
      <c r="G15" s="4">
        <f>COUNTIF('Q11'!D39:D58,"Wrong source")</f>
        <v/>
      </c>
      <c r="H15" s="4">
        <f>COUNTIF('Q11'!D39:D58,"Missing citation")</f>
        <v/>
      </c>
      <c r="I15" s="4">
        <f>COUNTIF('Q11'!D39:D58,"Not a legal claim")</f>
        <v/>
      </c>
      <c r="J15" s="4">
        <f>'Q11'!B61</f>
        <v/>
      </c>
      <c r="K15" s="4">
        <f>'Q11'!B62</f>
        <v/>
      </c>
    </row>
    <row r="16">
      <c r="A16" s="4" t="n">
        <v>12</v>
      </c>
      <c r="B16" s="4" t="inlineStr">
        <is>
          <t>Dawn raids — legal professional privilege</t>
        </is>
      </c>
      <c r="C16" s="4">
        <f>COUNTA('Q12'!B39:B58)</f>
        <v/>
      </c>
      <c r="D16" s="4">
        <f>COUNTIF('Q12'!D39:D58,"Supported")</f>
        <v/>
      </c>
      <c r="E16" s="4">
        <f>COUNTIF('Q12'!D39:D58,"Partly supported")</f>
        <v/>
      </c>
      <c r="F16" s="4">
        <f>COUNTIF('Q12'!D39:D58,"Not supported")</f>
        <v/>
      </c>
      <c r="G16" s="4">
        <f>COUNTIF('Q12'!D39:D58,"Wrong source")</f>
        <v/>
      </c>
      <c r="H16" s="4">
        <f>COUNTIF('Q12'!D39:D58,"Missing citation")</f>
        <v/>
      </c>
      <c r="I16" s="4">
        <f>COUNTIF('Q12'!D39:D58,"Not a legal claim")</f>
        <v/>
      </c>
      <c r="J16" s="4">
        <f>'Q12'!B61</f>
        <v/>
      </c>
      <c r="K16" s="4">
        <f>'Q12'!B62</f>
        <v/>
      </c>
    </row>
    <row r="17">
      <c r="A17" s="4" t="n">
        <v>13</v>
      </c>
      <c r="B17" s="4" t="inlineStr">
        <is>
          <t>Dawn raids — personal data</t>
        </is>
      </c>
      <c r="C17" s="4">
        <f>COUNTA('Q13'!B39:B58)</f>
        <v/>
      </c>
      <c r="D17" s="4">
        <f>COUNTIF('Q13'!D39:D58,"Supported")</f>
        <v/>
      </c>
      <c r="E17" s="4">
        <f>COUNTIF('Q13'!D39:D58,"Partly supported")</f>
        <v/>
      </c>
      <c r="F17" s="4">
        <f>COUNTIF('Q13'!D39:D58,"Not supported")</f>
        <v/>
      </c>
      <c r="G17" s="4">
        <f>COUNTIF('Q13'!D39:D58,"Wrong source")</f>
        <v/>
      </c>
      <c r="H17" s="4">
        <f>COUNTIF('Q13'!D39:D58,"Missing citation")</f>
        <v/>
      </c>
      <c r="I17" s="4">
        <f>COUNTIF('Q13'!D39:D58,"Not a legal claim")</f>
        <v/>
      </c>
      <c r="J17" s="4">
        <f>'Q13'!B61</f>
        <v/>
      </c>
      <c r="K17" s="4">
        <f>'Q13'!B62</f>
        <v/>
      </c>
    </row>
    <row r="18">
      <c r="A18" s="4" t="n">
        <v>14</v>
      </c>
      <c r="B18" s="4" t="inlineStr">
        <is>
          <t>Dawn raids — challenging a seizure</t>
        </is>
      </c>
      <c r="C18" s="4">
        <f>COUNTA('Q14'!B39:B58)</f>
        <v/>
      </c>
      <c r="D18" s="4">
        <f>COUNTIF('Q14'!D39:D58,"Supported")</f>
        <v/>
      </c>
      <c r="E18" s="4">
        <f>COUNTIF('Q14'!D39:D58,"Partly supported")</f>
        <v/>
      </c>
      <c r="F18" s="4">
        <f>COUNTIF('Q14'!D39:D58,"Not supported")</f>
        <v/>
      </c>
      <c r="G18" s="4">
        <f>COUNTIF('Q14'!D39:D58,"Wrong source")</f>
        <v/>
      </c>
      <c r="H18" s="4">
        <f>COUNTIF('Q14'!D39:D58,"Missing citation")</f>
        <v/>
      </c>
      <c r="I18" s="4">
        <f>COUNTIF('Q14'!D39:D58,"Not a legal claim")</f>
        <v/>
      </c>
      <c r="J18" s="4">
        <f>'Q14'!B61</f>
        <v/>
      </c>
      <c r="K18" s="4">
        <f>'Q14'!B62</f>
        <v/>
      </c>
    </row>
    <row r="19">
      <c r="A19" s="4" t="n">
        <v>15</v>
      </c>
      <c r="B19" s="4" t="inlineStr">
        <is>
          <t>Dawn raids — legal professional privilege</t>
        </is>
      </c>
      <c r="C19" s="4">
        <f>COUNTA('Q15'!B39:B58)</f>
        <v/>
      </c>
      <c r="D19" s="4">
        <f>COUNTIF('Q15'!D39:D58,"Supported")</f>
        <v/>
      </c>
      <c r="E19" s="4">
        <f>COUNTIF('Q15'!D39:D58,"Partly supported")</f>
        <v/>
      </c>
      <c r="F19" s="4">
        <f>COUNTIF('Q15'!D39:D58,"Not supported")</f>
        <v/>
      </c>
      <c r="G19" s="4">
        <f>COUNTIF('Q15'!D39:D58,"Wrong source")</f>
        <v/>
      </c>
      <c r="H19" s="4">
        <f>COUNTIF('Q15'!D39:D58,"Missing citation")</f>
        <v/>
      </c>
      <c r="I19" s="4">
        <f>COUNTIF('Q15'!D39:D58,"Not a legal claim")</f>
        <v/>
      </c>
      <c r="J19" s="4">
        <f>'Q15'!B61</f>
        <v/>
      </c>
      <c r="K19" s="4">
        <f>'Q15'!B62</f>
        <v/>
      </c>
    </row>
    <row r="20">
      <c r="A20" s="4" t="n">
        <v>16</v>
      </c>
      <c r="B20" s="4" t="inlineStr">
        <is>
          <t>Dawn raids — personal data</t>
        </is>
      </c>
      <c r="C20" s="4">
        <f>COUNTA('Q16'!B39:B58)</f>
        <v/>
      </c>
      <c r="D20" s="4">
        <f>COUNTIF('Q16'!D39:D58,"Supported")</f>
        <v/>
      </c>
      <c r="E20" s="4">
        <f>COUNTIF('Q16'!D39:D58,"Partly supported")</f>
        <v/>
      </c>
      <c r="F20" s="4">
        <f>COUNTIF('Q16'!D39:D58,"Not supported")</f>
        <v/>
      </c>
      <c r="G20" s="4">
        <f>COUNTIF('Q16'!D39:D58,"Wrong source")</f>
        <v/>
      </c>
      <c r="H20" s="4">
        <f>COUNTIF('Q16'!D39:D58,"Missing citation")</f>
        <v/>
      </c>
      <c r="I20" s="4">
        <f>COUNTIF('Q16'!D39:D58,"Not a legal claim")</f>
        <v/>
      </c>
      <c r="J20" s="4">
        <f>'Q16'!B61</f>
        <v/>
      </c>
      <c r="K20" s="4">
        <f>'Q16'!B62</f>
        <v/>
      </c>
    </row>
    <row r="21">
      <c r="A21" s="4" t="n">
        <v>17</v>
      </c>
      <c r="B21" s="4" t="inlineStr">
        <is>
          <t>Dawn raids — challenging a seizure</t>
        </is>
      </c>
      <c r="C21" s="4">
        <f>COUNTA('Q17'!B39:B58)</f>
        <v/>
      </c>
      <c r="D21" s="4">
        <f>COUNTIF('Q17'!D39:D58,"Supported")</f>
        <v/>
      </c>
      <c r="E21" s="4">
        <f>COUNTIF('Q17'!D39:D58,"Partly supported")</f>
        <v/>
      </c>
      <c r="F21" s="4">
        <f>COUNTIF('Q17'!D39:D58,"Not supported")</f>
        <v/>
      </c>
      <c r="G21" s="4">
        <f>COUNTIF('Q17'!D39:D58,"Wrong source")</f>
        <v/>
      </c>
      <c r="H21" s="4">
        <f>COUNTIF('Q17'!D39:D58,"Missing citation")</f>
        <v/>
      </c>
      <c r="I21" s="4">
        <f>COUNTIF('Q17'!D39:D58,"Not a legal claim")</f>
        <v/>
      </c>
      <c r="J21" s="4">
        <f>'Q17'!B61</f>
        <v/>
      </c>
      <c r="K21" s="4">
        <f>'Q17'!B62</f>
        <v/>
      </c>
    </row>
    <row r="22">
      <c r="A22" s="4" t="n">
        <v>18</v>
      </c>
      <c r="B22" s="4" t="inlineStr">
        <is>
          <t>Dawn raids — legal professional privilege</t>
        </is>
      </c>
      <c r="C22" s="4">
        <f>COUNTA('Q18'!B39:B58)</f>
        <v/>
      </c>
      <c r="D22" s="4">
        <f>COUNTIF('Q18'!D39:D58,"Supported")</f>
        <v/>
      </c>
      <c r="E22" s="4">
        <f>COUNTIF('Q18'!D39:D58,"Partly supported")</f>
        <v/>
      </c>
      <c r="F22" s="4">
        <f>COUNTIF('Q18'!D39:D58,"Not supported")</f>
        <v/>
      </c>
      <c r="G22" s="4">
        <f>COUNTIF('Q18'!D39:D58,"Wrong source")</f>
        <v/>
      </c>
      <c r="H22" s="4">
        <f>COUNTIF('Q18'!D39:D58,"Missing citation")</f>
        <v/>
      </c>
      <c r="I22" s="4">
        <f>COUNTIF('Q18'!D39:D58,"Not a legal claim")</f>
        <v/>
      </c>
      <c r="J22" s="4">
        <f>'Q18'!B61</f>
        <v/>
      </c>
      <c r="K22" s="4">
        <f>'Q18'!B62</f>
        <v/>
      </c>
    </row>
    <row r="23">
      <c r="A23" s="4" t="n">
        <v>22</v>
      </c>
      <c r="B23" s="4" t="inlineStr">
        <is>
          <t>Food delivery — data access</t>
        </is>
      </c>
      <c r="C23" s="4">
        <f>COUNTA('Q22'!B39:B58)</f>
        <v/>
      </c>
      <c r="D23" s="4">
        <f>COUNTIF('Q22'!D39:D58,"Supported")</f>
        <v/>
      </c>
      <c r="E23" s="4">
        <f>COUNTIF('Q22'!D39:D58,"Partly supported")</f>
        <v/>
      </c>
      <c r="F23" s="4">
        <f>COUNTIF('Q22'!D39:D58,"Not supported")</f>
        <v/>
      </c>
      <c r="G23" s="4">
        <f>COUNTIF('Q22'!D39:D58,"Wrong source")</f>
        <v/>
      </c>
      <c r="H23" s="4">
        <f>COUNTIF('Q22'!D39:D58,"Missing citation")</f>
        <v/>
      </c>
      <c r="I23" s="4">
        <f>COUNTIF('Q22'!D39:D58,"Not a legal claim")</f>
        <v/>
      </c>
      <c r="J23" s="4">
        <f>'Q22'!B61</f>
        <v/>
      </c>
      <c r="K23" s="4">
        <f>'Q22'!B62</f>
        <v/>
      </c>
    </row>
    <row r="24">
      <c r="A24" s="4" t="n">
        <v>23</v>
      </c>
      <c r="B24" s="4" t="inlineStr">
        <is>
          <t>Food delivery — own fleet vs marketplace</t>
        </is>
      </c>
      <c r="C24" s="4">
        <f>COUNTA('Q23'!B39:B58)</f>
        <v/>
      </c>
      <c r="D24" s="4">
        <f>COUNTIF('Q23'!D39:D58,"Supported")</f>
        <v/>
      </c>
      <c r="E24" s="4">
        <f>COUNTIF('Q23'!D39:D58,"Partly supported")</f>
        <v/>
      </c>
      <c r="F24" s="4">
        <f>COUNTIF('Q23'!D39:D58,"Not supported")</f>
        <v/>
      </c>
      <c r="G24" s="4">
        <f>COUNTIF('Q23'!D39:D58,"Wrong source")</f>
        <v/>
      </c>
      <c r="H24" s="4">
        <f>COUNTIF('Q23'!D39:D58,"Missing citation")</f>
        <v/>
      </c>
      <c r="I24" s="4">
        <f>COUNTIF('Q23'!D39:D58,"Not a legal claim")</f>
        <v/>
      </c>
      <c r="J24" s="4">
        <f>'Q23'!B61</f>
        <v/>
      </c>
      <c r="K24" s="4">
        <f>'Q23'!B62</f>
        <v/>
      </c>
    </row>
    <row r="25">
      <c r="A25" s="4" t="n">
        <v>24</v>
      </c>
      <c r="B25" s="4" t="inlineStr">
        <is>
          <t>Food delivery — which authority reviews</t>
        </is>
      </c>
      <c r="C25" s="4">
        <f>COUNTA('Q24'!B39:B58)</f>
        <v/>
      </c>
      <c r="D25" s="4">
        <f>COUNTIF('Q24'!D39:D58,"Supported")</f>
        <v/>
      </c>
      <c r="E25" s="4">
        <f>COUNTIF('Q24'!D39:D58,"Partly supported")</f>
        <v/>
      </c>
      <c r="F25" s="4">
        <f>COUNTIF('Q24'!D39:D58,"Not supported")</f>
        <v/>
      </c>
      <c r="G25" s="4">
        <f>COUNTIF('Q24'!D39:D58,"Wrong source")</f>
        <v/>
      </c>
      <c r="H25" s="4">
        <f>COUNTIF('Q24'!D39:D58,"Missing citation")</f>
        <v/>
      </c>
      <c r="I25" s="4">
        <f>COUNTIF('Q24'!D39:D58,"Not a legal claim")</f>
        <v/>
      </c>
      <c r="J25" s="4">
        <f>'Q24'!B61</f>
        <v/>
      </c>
      <c r="K25" s="4">
        <f>'Q24'!B62</f>
        <v/>
      </c>
    </row>
    <row r="26">
      <c r="A26" s="4" t="n">
        <v>25</v>
      </c>
      <c r="B26" s="4" t="inlineStr">
        <is>
          <t>Dawn raids — legal professional privilege</t>
        </is>
      </c>
      <c r="C26" s="4">
        <f>COUNTA('Q25'!B39:B58)</f>
        <v/>
      </c>
      <c r="D26" s="4">
        <f>COUNTIF('Q25'!D39:D58,"Supported")</f>
        <v/>
      </c>
      <c r="E26" s="4">
        <f>COUNTIF('Q25'!D39:D58,"Partly supported")</f>
        <v/>
      </c>
      <c r="F26" s="4">
        <f>COUNTIF('Q25'!D39:D58,"Not supported")</f>
        <v/>
      </c>
      <c r="G26" s="4">
        <f>COUNTIF('Q25'!D39:D58,"Wrong source")</f>
        <v/>
      </c>
      <c r="H26" s="4">
        <f>COUNTIF('Q25'!D39:D58,"Missing citation")</f>
        <v/>
      </c>
      <c r="I26" s="4">
        <f>COUNTIF('Q25'!D39:D58,"Not a legal claim")</f>
        <v/>
      </c>
      <c r="J26" s="4">
        <f>'Q25'!B61</f>
        <v/>
      </c>
      <c r="K26" s="4">
        <f>'Q25'!B62</f>
        <v/>
      </c>
    </row>
    <row r="27">
      <c r="A27" s="4" t="n">
        <v>26</v>
      </c>
      <c r="B27" s="4" t="inlineStr">
        <is>
          <t>Dawn raids — legal professional privilege</t>
        </is>
      </c>
      <c r="C27" s="4">
        <f>COUNTA('Q26'!B39:B58)</f>
        <v/>
      </c>
      <c r="D27" s="4">
        <f>COUNTIF('Q26'!D39:D58,"Supported")</f>
        <v/>
      </c>
      <c r="E27" s="4">
        <f>COUNTIF('Q26'!D39:D58,"Partly supported")</f>
        <v/>
      </c>
      <c r="F27" s="4">
        <f>COUNTIF('Q26'!D39:D58,"Not supported")</f>
        <v/>
      </c>
      <c r="G27" s="4">
        <f>COUNTIF('Q26'!D39:D58,"Wrong source")</f>
        <v/>
      </c>
      <c r="H27" s="4">
        <f>COUNTIF('Q26'!D39:D58,"Missing citation")</f>
        <v/>
      </c>
      <c r="I27" s="4">
        <f>COUNTIF('Q26'!D39:D58,"Not a legal claim")</f>
        <v/>
      </c>
      <c r="J27" s="4">
        <f>'Q26'!B61</f>
        <v/>
      </c>
      <c r="K27" s="4">
        <f>'Q26'!B62</f>
        <v/>
      </c>
    </row>
    <row r="28">
      <c r="A28" s="4" t="n">
        <v>27</v>
      </c>
      <c r="B28" s="4" t="inlineStr">
        <is>
          <t>Dawn raids — challenging a seizure</t>
        </is>
      </c>
      <c r="C28" s="4">
        <f>COUNTA('Q27'!B39:B58)</f>
        <v/>
      </c>
      <c r="D28" s="4">
        <f>COUNTIF('Q27'!D39:D58,"Supported")</f>
        <v/>
      </c>
      <c r="E28" s="4">
        <f>COUNTIF('Q27'!D39:D58,"Partly supported")</f>
        <v/>
      </c>
      <c r="F28" s="4">
        <f>COUNTIF('Q27'!D39:D58,"Not supported")</f>
        <v/>
      </c>
      <c r="G28" s="4">
        <f>COUNTIF('Q27'!D39:D58,"Wrong source")</f>
        <v/>
      </c>
      <c r="H28" s="4">
        <f>COUNTIF('Q27'!D39:D58,"Missing citation")</f>
        <v/>
      </c>
      <c r="I28" s="4">
        <f>COUNTIF('Q27'!D39:D58,"Not a legal claim")</f>
        <v/>
      </c>
      <c r="J28" s="4">
        <f>'Q27'!B61</f>
        <v/>
      </c>
      <c r="K28" s="4">
        <f>'Q27'!B62</f>
        <v/>
      </c>
    </row>
    <row r="29">
      <c r="A29" s="4" t="n">
        <v>28</v>
      </c>
      <c r="B29" s="4" t="inlineStr">
        <is>
          <t>Dawn raids — the inspection decision</t>
        </is>
      </c>
      <c r="C29" s="4">
        <f>COUNTA('Q28'!B39:B58)</f>
        <v/>
      </c>
      <c r="D29" s="4">
        <f>COUNTIF('Q28'!D39:D58,"Supported")</f>
        <v/>
      </c>
      <c r="E29" s="4">
        <f>COUNTIF('Q28'!D39:D58,"Partly supported")</f>
        <v/>
      </c>
      <c r="F29" s="4">
        <f>COUNTIF('Q28'!D39:D58,"Not supported")</f>
        <v/>
      </c>
      <c r="G29" s="4">
        <f>COUNTIF('Q28'!D39:D58,"Wrong source")</f>
        <v/>
      </c>
      <c r="H29" s="4">
        <f>COUNTIF('Q28'!D39:D58,"Missing citation")</f>
        <v/>
      </c>
      <c r="I29" s="4">
        <f>COUNTIF('Q28'!D39:D58,"Not a legal claim")</f>
        <v/>
      </c>
      <c r="J29" s="4">
        <f>'Q28'!B61</f>
        <v/>
      </c>
      <c r="K29" s="4">
        <f>'Q28'!B62</f>
        <v/>
      </c>
    </row>
    <row r="30">
      <c r="A30" s="4" t="n">
        <v>29</v>
      </c>
      <c r="B30" s="4" t="inlineStr">
        <is>
          <t>Dawn raids — the inspection decision</t>
        </is>
      </c>
      <c r="C30" s="4">
        <f>COUNTA('Q29'!B39:B58)</f>
        <v/>
      </c>
      <c r="D30" s="4">
        <f>COUNTIF('Q29'!D39:D58,"Supported")</f>
        <v/>
      </c>
      <c r="E30" s="4">
        <f>COUNTIF('Q29'!D39:D58,"Partly supported")</f>
        <v/>
      </c>
      <c r="F30" s="4">
        <f>COUNTIF('Q29'!D39:D58,"Not supported")</f>
        <v/>
      </c>
      <c r="G30" s="4">
        <f>COUNTIF('Q29'!D39:D58,"Wrong source")</f>
        <v/>
      </c>
      <c r="H30" s="4">
        <f>COUNTIF('Q29'!D39:D58,"Missing citation")</f>
        <v/>
      </c>
      <c r="I30" s="4">
        <f>COUNTIF('Q29'!D39:D58,"Not a legal claim")</f>
        <v/>
      </c>
      <c r="J30" s="4">
        <f>'Q29'!B61</f>
        <v/>
      </c>
      <c r="K30" s="4">
        <f>'Q29'!B62</f>
        <v/>
      </c>
    </row>
    <row r="31">
      <c r="A31" s="4" t="n">
        <v>30</v>
      </c>
      <c r="B31" s="4" t="inlineStr">
        <is>
          <t>Dawn raids — the inspection decision</t>
        </is>
      </c>
      <c r="C31" s="4">
        <f>COUNTA('Q30'!B39:B58)</f>
        <v/>
      </c>
      <c r="D31" s="4">
        <f>COUNTIF('Q30'!D39:D58,"Supported")</f>
        <v/>
      </c>
      <c r="E31" s="4">
        <f>COUNTIF('Q30'!D39:D58,"Partly supported")</f>
        <v/>
      </c>
      <c r="F31" s="4">
        <f>COUNTIF('Q30'!D39:D58,"Not supported")</f>
        <v/>
      </c>
      <c r="G31" s="4">
        <f>COUNTIF('Q30'!D39:D58,"Wrong source")</f>
        <v/>
      </c>
      <c r="H31" s="4">
        <f>COUNTIF('Q30'!D39:D58,"Missing citation")</f>
        <v/>
      </c>
      <c r="I31" s="4">
        <f>COUNTIF('Q30'!D39:D58,"Not a legal claim")</f>
        <v/>
      </c>
      <c r="J31" s="4">
        <f>'Q30'!B61</f>
        <v/>
      </c>
      <c r="K31" s="4">
        <f>'Q30'!B62</f>
        <v/>
      </c>
    </row>
    <row r="32">
      <c r="A32" s="4" t="n">
        <v>34</v>
      </c>
      <c r="B32" s="4" t="inlineStr">
        <is>
          <t>Dawn raids — obstruction and seals</t>
        </is>
      </c>
      <c r="C32" s="4">
        <f>COUNTA('Q34'!B39:B58)</f>
        <v/>
      </c>
      <c r="D32" s="4">
        <f>COUNTIF('Q34'!D39:D58,"Supported")</f>
        <v/>
      </c>
      <c r="E32" s="4">
        <f>COUNTIF('Q34'!D39:D58,"Partly supported")</f>
        <v/>
      </c>
      <c r="F32" s="4">
        <f>COUNTIF('Q34'!D39:D58,"Not supported")</f>
        <v/>
      </c>
      <c r="G32" s="4">
        <f>COUNTIF('Q34'!D39:D58,"Wrong source")</f>
        <v/>
      </c>
      <c r="H32" s="4">
        <f>COUNTIF('Q34'!D39:D58,"Missing citation")</f>
        <v/>
      </c>
      <c r="I32" s="4">
        <f>COUNTIF('Q34'!D39:D58,"Not a legal claim")</f>
        <v/>
      </c>
      <c r="J32" s="4">
        <f>'Q34'!B61</f>
        <v/>
      </c>
      <c r="K32" s="4">
        <f>'Q34'!B62</f>
        <v/>
      </c>
    </row>
    <row r="33">
      <c r="A33" s="4" t="n">
        <v>35</v>
      </c>
      <c r="B33" s="4" t="inlineStr">
        <is>
          <t>Dawn raids — obstruction and seals</t>
        </is>
      </c>
      <c r="C33" s="4">
        <f>COUNTA('Q35'!B39:B58)</f>
        <v/>
      </c>
      <c r="D33" s="4">
        <f>COUNTIF('Q35'!D39:D58,"Supported")</f>
        <v/>
      </c>
      <c r="E33" s="4">
        <f>COUNTIF('Q35'!D39:D58,"Partly supported")</f>
        <v/>
      </c>
      <c r="F33" s="4">
        <f>COUNTIF('Q35'!D39:D58,"Not supported")</f>
        <v/>
      </c>
      <c r="G33" s="4">
        <f>COUNTIF('Q35'!D39:D58,"Wrong source")</f>
        <v/>
      </c>
      <c r="H33" s="4">
        <f>COUNTIF('Q35'!D39:D58,"Missing citation")</f>
        <v/>
      </c>
      <c r="I33" s="4">
        <f>COUNTIF('Q35'!D39:D58,"Not a legal claim")</f>
        <v/>
      </c>
      <c r="J33" s="4">
        <f>'Q35'!B61</f>
        <v/>
      </c>
      <c r="K33" s="4">
        <f>'Q35'!B62</f>
        <v/>
      </c>
    </row>
    <row r="34">
      <c r="A34" s="4" t="n">
        <v>36</v>
      </c>
      <c r="B34" s="4" t="inlineStr">
        <is>
          <t>Dawn raids — obstruction and seals</t>
        </is>
      </c>
      <c r="C34" s="4">
        <f>COUNTA('Q36'!B39:B58)</f>
        <v/>
      </c>
      <c r="D34" s="4">
        <f>COUNTIF('Q36'!D39:D58,"Supported")</f>
        <v/>
      </c>
      <c r="E34" s="4">
        <f>COUNTIF('Q36'!D39:D58,"Partly supported")</f>
        <v/>
      </c>
      <c r="F34" s="4">
        <f>COUNTIF('Q36'!D39:D58,"Not supported")</f>
        <v/>
      </c>
      <c r="G34" s="4">
        <f>COUNTIF('Q36'!D39:D58,"Wrong source")</f>
        <v/>
      </c>
      <c r="H34" s="4">
        <f>COUNTIF('Q36'!D39:D58,"Missing citation")</f>
        <v/>
      </c>
      <c r="I34" s="4">
        <f>COUNTIF('Q36'!D39:D58,"Not a legal claim")</f>
        <v/>
      </c>
      <c r="J34" s="4">
        <f>'Q36'!B61</f>
        <v/>
      </c>
      <c r="K34" s="4">
        <f>'Q36'!B62</f>
        <v/>
      </c>
    </row>
    <row r="35">
      <c r="A35" s="4" t="n">
        <v>38</v>
      </c>
      <c r="B35" s="4" t="inlineStr">
        <is>
          <t>Dawn raids — questioning staff</t>
        </is>
      </c>
      <c r="C35" s="4">
        <f>COUNTA('Q38'!B39:B58)</f>
        <v/>
      </c>
      <c r="D35" s="4">
        <f>COUNTIF('Q38'!D39:D58,"Supported")</f>
        <v/>
      </c>
      <c r="E35" s="4">
        <f>COUNTIF('Q38'!D39:D58,"Partly supported")</f>
        <v/>
      </c>
      <c r="F35" s="4">
        <f>COUNTIF('Q38'!D39:D58,"Not supported")</f>
        <v/>
      </c>
      <c r="G35" s="4">
        <f>COUNTIF('Q38'!D39:D58,"Wrong source")</f>
        <v/>
      </c>
      <c r="H35" s="4">
        <f>COUNTIF('Q38'!D39:D58,"Missing citation")</f>
        <v/>
      </c>
      <c r="I35" s="4">
        <f>COUNTIF('Q38'!D39:D58,"Not a legal claim")</f>
        <v/>
      </c>
      <c r="J35" s="4">
        <f>'Q38'!B61</f>
        <v/>
      </c>
      <c r="K35" s="4">
        <f>'Q38'!B62</f>
        <v/>
      </c>
    </row>
    <row r="36">
      <c r="A36" s="4" t="n">
        <v>39</v>
      </c>
      <c r="B36" s="4" t="inlineStr">
        <is>
          <t>Dawn raids — questioning staff</t>
        </is>
      </c>
      <c r="C36" s="4">
        <f>COUNTA('Q39'!B39:B58)</f>
        <v/>
      </c>
      <c r="D36" s="4">
        <f>COUNTIF('Q39'!D39:D58,"Supported")</f>
        <v/>
      </c>
      <c r="E36" s="4">
        <f>COUNTIF('Q39'!D39:D58,"Partly supported")</f>
        <v/>
      </c>
      <c r="F36" s="4">
        <f>COUNTIF('Q39'!D39:D58,"Not supported")</f>
        <v/>
      </c>
      <c r="G36" s="4">
        <f>COUNTIF('Q39'!D39:D58,"Wrong source")</f>
        <v/>
      </c>
      <c r="H36" s="4">
        <f>COUNTIF('Q39'!D39:D58,"Missing citation")</f>
        <v/>
      </c>
      <c r="I36" s="4">
        <f>COUNTIF('Q39'!D39:D58,"Not a legal claim")</f>
        <v/>
      </c>
      <c r="J36" s="4">
        <f>'Q39'!B61</f>
        <v/>
      </c>
      <c r="K36" s="4">
        <f>'Q39'!B62</f>
        <v/>
      </c>
    </row>
    <row r="37">
      <c r="A37" s="4" t="n">
        <v>41</v>
      </c>
      <c r="B37" s="4" t="inlineStr">
        <is>
          <t>Dawn raids — electronic data</t>
        </is>
      </c>
      <c r="C37" s="4">
        <f>COUNTA('Q41'!B39:B58)</f>
        <v/>
      </c>
      <c r="D37" s="4">
        <f>COUNTIF('Q41'!D39:D58,"Supported")</f>
        <v/>
      </c>
      <c r="E37" s="4">
        <f>COUNTIF('Q41'!D39:D58,"Partly supported")</f>
        <v/>
      </c>
      <c r="F37" s="4">
        <f>COUNTIF('Q41'!D39:D58,"Not supported")</f>
        <v/>
      </c>
      <c r="G37" s="4">
        <f>COUNTIF('Q41'!D39:D58,"Wrong source")</f>
        <v/>
      </c>
      <c r="H37" s="4">
        <f>COUNTIF('Q41'!D39:D58,"Missing citation")</f>
        <v/>
      </c>
      <c r="I37" s="4">
        <f>COUNTIF('Q41'!D39:D58,"Not a legal claim")</f>
        <v/>
      </c>
      <c r="J37" s="4">
        <f>'Q41'!B61</f>
        <v/>
      </c>
      <c r="K37" s="4">
        <f>'Q41'!B62</f>
        <v/>
      </c>
    </row>
    <row r="38">
      <c r="A38" s="4" t="n">
        <v>42</v>
      </c>
      <c r="B38" s="4" t="inlineStr">
        <is>
          <t>Dawn raids — electronic data</t>
        </is>
      </c>
      <c r="C38" s="4">
        <f>COUNTA('Q42'!B39:B58)</f>
        <v/>
      </c>
      <c r="D38" s="4">
        <f>COUNTIF('Q42'!D39:D58,"Supported")</f>
        <v/>
      </c>
      <c r="E38" s="4">
        <f>COUNTIF('Q42'!D39:D58,"Partly supported")</f>
        <v/>
      </c>
      <c r="F38" s="4">
        <f>COUNTIF('Q42'!D39:D58,"Not supported")</f>
        <v/>
      </c>
      <c r="G38" s="4">
        <f>COUNTIF('Q42'!D39:D58,"Wrong source")</f>
        <v/>
      </c>
      <c r="H38" s="4">
        <f>COUNTIF('Q42'!D39:D58,"Missing citation")</f>
        <v/>
      </c>
      <c r="I38" s="4">
        <f>COUNTIF('Q42'!D39:D58,"Not a legal claim")</f>
        <v/>
      </c>
      <c r="J38" s="4">
        <f>'Q42'!B61</f>
        <v/>
      </c>
      <c r="K38" s="4">
        <f>'Q42'!B62</f>
        <v/>
      </c>
    </row>
    <row r="39">
      <c r="A39" s="4" t="n">
        <v>43</v>
      </c>
      <c r="B39" s="4" t="inlineStr">
        <is>
          <t>Dawn raids — electronic data</t>
        </is>
      </c>
      <c r="C39" s="4">
        <f>COUNTA('Q43'!B39:B58)</f>
        <v/>
      </c>
      <c r="D39" s="4">
        <f>COUNTIF('Q43'!D39:D58,"Supported")</f>
        <v/>
      </c>
      <c r="E39" s="4">
        <f>COUNTIF('Q43'!D39:D58,"Partly supported")</f>
        <v/>
      </c>
      <c r="F39" s="4">
        <f>COUNTIF('Q43'!D39:D58,"Not supported")</f>
        <v/>
      </c>
      <c r="G39" s="4">
        <f>COUNTIF('Q43'!D39:D58,"Wrong source")</f>
        <v/>
      </c>
      <c r="H39" s="4">
        <f>COUNTIF('Q43'!D39:D58,"Missing citation")</f>
        <v/>
      </c>
      <c r="I39" s="4">
        <f>COUNTIF('Q43'!D39:D58,"Not a legal claim")</f>
        <v/>
      </c>
      <c r="J39" s="4">
        <f>'Q43'!B61</f>
        <v/>
      </c>
      <c r="K39" s="4">
        <f>'Q43'!B62</f>
        <v/>
      </c>
    </row>
    <row r="40">
      <c r="A40" s="4" t="n">
        <v>45</v>
      </c>
      <c r="B40" s="4" t="inlineStr">
        <is>
          <t>Dawn raids — evidence found by accident</t>
        </is>
      </c>
      <c r="C40" s="4">
        <f>COUNTA('Q45'!B39:B58)</f>
        <v/>
      </c>
      <c r="D40" s="4">
        <f>COUNTIF('Q45'!D39:D58,"Supported")</f>
        <v/>
      </c>
      <c r="E40" s="4">
        <f>COUNTIF('Q45'!D39:D58,"Partly supported")</f>
        <v/>
      </c>
      <c r="F40" s="4">
        <f>COUNTIF('Q45'!D39:D58,"Not supported")</f>
        <v/>
      </c>
      <c r="G40" s="4">
        <f>COUNTIF('Q45'!D39:D58,"Wrong source")</f>
        <v/>
      </c>
      <c r="H40" s="4">
        <f>COUNTIF('Q45'!D39:D58,"Missing citation")</f>
        <v/>
      </c>
      <c r="I40" s="4">
        <f>COUNTIF('Q45'!D39:D58,"Not a legal claim")</f>
        <v/>
      </c>
      <c r="J40" s="4">
        <f>'Q45'!B61</f>
        <v/>
      </c>
      <c r="K40" s="4">
        <f>'Q45'!B62</f>
        <v/>
      </c>
    </row>
    <row r="41">
      <c r="A41" s="4" t="n">
        <v>46</v>
      </c>
      <c r="B41" s="4" t="inlineStr">
        <is>
          <t>Dawn raids — evidence found by accident</t>
        </is>
      </c>
      <c r="C41" s="4">
        <f>COUNTA('Q46'!B39:B58)</f>
        <v/>
      </c>
      <c r="D41" s="4">
        <f>COUNTIF('Q46'!D39:D58,"Supported")</f>
        <v/>
      </c>
      <c r="E41" s="4">
        <f>COUNTIF('Q46'!D39:D58,"Partly supported")</f>
        <v/>
      </c>
      <c r="F41" s="4">
        <f>COUNTIF('Q46'!D39:D58,"Not supported")</f>
        <v/>
      </c>
      <c r="G41" s="4">
        <f>COUNTIF('Q46'!D39:D58,"Wrong source")</f>
        <v/>
      </c>
      <c r="H41" s="4">
        <f>COUNTIF('Q46'!D39:D58,"Missing citation")</f>
        <v/>
      </c>
      <c r="I41" s="4">
        <f>COUNTIF('Q46'!D39:D58,"Not a legal claim")</f>
        <v/>
      </c>
      <c r="J41" s="4">
        <f>'Q46'!B61</f>
        <v/>
      </c>
      <c r="K41" s="4">
        <f>'Q46'!B62</f>
        <v/>
      </c>
    </row>
    <row r="42">
      <c r="A42" s="4" t="n">
        <v>47</v>
      </c>
      <c r="B42" s="4" t="inlineStr">
        <is>
          <t>Dawn raids — premises and the courts</t>
        </is>
      </c>
      <c r="C42" s="4">
        <f>COUNTA('Q47'!B39:B58)</f>
        <v/>
      </c>
      <c r="D42" s="4">
        <f>COUNTIF('Q47'!D39:D58,"Supported")</f>
        <v/>
      </c>
      <c r="E42" s="4">
        <f>COUNTIF('Q47'!D39:D58,"Partly supported")</f>
        <v/>
      </c>
      <c r="F42" s="4">
        <f>COUNTIF('Q47'!D39:D58,"Not supported")</f>
        <v/>
      </c>
      <c r="G42" s="4">
        <f>COUNTIF('Q47'!D39:D58,"Wrong source")</f>
        <v/>
      </c>
      <c r="H42" s="4">
        <f>COUNTIF('Q47'!D39:D58,"Missing citation")</f>
        <v/>
      </c>
      <c r="I42" s="4">
        <f>COUNTIF('Q47'!D39:D58,"Not a legal claim")</f>
        <v/>
      </c>
      <c r="J42" s="4">
        <f>'Q47'!B61</f>
        <v/>
      </c>
      <c r="K42" s="4">
        <f>'Q47'!B62</f>
        <v/>
      </c>
    </row>
    <row r="43">
      <c r="A43" s="4" t="n">
        <v>48</v>
      </c>
      <c r="B43" s="4" t="inlineStr">
        <is>
          <t>Dawn raids — premises and the courts</t>
        </is>
      </c>
      <c r="C43" s="4">
        <f>COUNTA('Q48'!B39:B58)</f>
        <v/>
      </c>
      <c r="D43" s="4">
        <f>COUNTIF('Q48'!D39:D58,"Supported")</f>
        <v/>
      </c>
      <c r="E43" s="4">
        <f>COUNTIF('Q48'!D39:D58,"Partly supported")</f>
        <v/>
      </c>
      <c r="F43" s="4">
        <f>COUNTIF('Q48'!D39:D58,"Not supported")</f>
        <v/>
      </c>
      <c r="G43" s="4">
        <f>COUNTIF('Q48'!D39:D58,"Wrong source")</f>
        <v/>
      </c>
      <c r="H43" s="4">
        <f>COUNTIF('Q48'!D39:D58,"Missing citation")</f>
        <v/>
      </c>
      <c r="I43" s="4">
        <f>COUNTIF('Q48'!D39:D58,"Not a legal claim")</f>
        <v/>
      </c>
      <c r="J43" s="4">
        <f>'Q48'!B61</f>
        <v/>
      </c>
      <c r="K43" s="4">
        <f>'Q48'!B62</f>
        <v/>
      </c>
    </row>
    <row r="44">
      <c r="A44" s="4" t="n">
        <v>49</v>
      </c>
      <c r="B44" s="4" t="inlineStr">
        <is>
          <t>Dawn raids — premises and the courts</t>
        </is>
      </c>
      <c r="C44" s="4">
        <f>COUNTA('Q49'!B39:B58)</f>
        <v/>
      </c>
      <c r="D44" s="4">
        <f>COUNTIF('Q49'!D39:D58,"Supported")</f>
        <v/>
      </c>
      <c r="E44" s="4">
        <f>COUNTIF('Q49'!D39:D58,"Partly supported")</f>
        <v/>
      </c>
      <c r="F44" s="4">
        <f>COUNTIF('Q49'!D39:D58,"Not supported")</f>
        <v/>
      </c>
      <c r="G44" s="4">
        <f>COUNTIF('Q49'!D39:D58,"Wrong source")</f>
        <v/>
      </c>
      <c r="H44" s="4">
        <f>COUNTIF('Q49'!D39:D58,"Missing citation")</f>
        <v/>
      </c>
      <c r="I44" s="4">
        <f>COUNTIF('Q49'!D39:D58,"Not a legal claim")</f>
        <v/>
      </c>
      <c r="J44" s="4">
        <f>'Q49'!B61</f>
        <v/>
      </c>
      <c r="K44" s="4">
        <f>'Q49'!B62</f>
        <v/>
      </c>
    </row>
    <row r="45">
      <c r="A45" s="4" t="n">
        <v>51</v>
      </c>
      <c r="B45" s="4" t="inlineStr">
        <is>
          <t>Dawn raids — personal data</t>
        </is>
      </c>
      <c r="C45" s="4">
        <f>COUNTA('Q51'!B39:B58)</f>
        <v/>
      </c>
      <c r="D45" s="4">
        <f>COUNTIF('Q51'!D39:D58,"Supported")</f>
        <v/>
      </c>
      <c r="E45" s="4">
        <f>COUNTIF('Q51'!D39:D58,"Partly supported")</f>
        <v/>
      </c>
      <c r="F45" s="4">
        <f>COUNTIF('Q51'!D39:D58,"Not supported")</f>
        <v/>
      </c>
      <c r="G45" s="4">
        <f>COUNTIF('Q51'!D39:D58,"Wrong source")</f>
        <v/>
      </c>
      <c r="H45" s="4">
        <f>COUNTIF('Q51'!D39:D58,"Missing citation")</f>
        <v/>
      </c>
      <c r="I45" s="4">
        <f>COUNTIF('Q51'!D39:D58,"Not a legal claim")</f>
        <v/>
      </c>
      <c r="J45" s="4">
        <f>'Q51'!B61</f>
        <v/>
      </c>
      <c r="K45" s="4">
        <f>'Q51'!B62</f>
        <v/>
      </c>
    </row>
    <row r="46">
      <c r="A46" s="4" t="n">
        <v>52</v>
      </c>
      <c r="B46" s="4" t="inlineStr">
        <is>
          <t>Dawn raids — legal professional privilege</t>
        </is>
      </c>
      <c r="C46" s="4">
        <f>COUNTA('Q52'!B39:B58)</f>
        <v/>
      </c>
      <c r="D46" s="4">
        <f>COUNTIF('Q52'!D39:D58,"Supported")</f>
        <v/>
      </c>
      <c r="E46" s="4">
        <f>COUNTIF('Q52'!D39:D58,"Partly supported")</f>
        <v/>
      </c>
      <c r="F46" s="4">
        <f>COUNTIF('Q52'!D39:D58,"Not supported")</f>
        <v/>
      </c>
      <c r="G46" s="4">
        <f>COUNTIF('Q52'!D39:D58,"Wrong source")</f>
        <v/>
      </c>
      <c r="H46" s="4">
        <f>COUNTIF('Q52'!D39:D58,"Missing citation")</f>
        <v/>
      </c>
      <c r="I46" s="4">
        <f>COUNTIF('Q52'!D39:D58,"Not a legal claim")</f>
        <v/>
      </c>
      <c r="J46" s="4">
        <f>'Q52'!B61</f>
        <v/>
      </c>
      <c r="K46" s="4">
        <f>'Q52'!B62</f>
        <v/>
      </c>
    </row>
    <row r="47">
      <c r="A47" s="4" t="n">
        <v>53</v>
      </c>
      <c r="B47" s="4" t="inlineStr">
        <is>
          <t>Dawn raids — grounds for an inspection</t>
        </is>
      </c>
      <c r="C47" s="4">
        <f>COUNTA('Q53'!B39:B58)</f>
        <v/>
      </c>
      <c r="D47" s="4">
        <f>COUNTIF('Q53'!D39:D58,"Supported")</f>
        <v/>
      </c>
      <c r="E47" s="4">
        <f>COUNTIF('Q53'!D39:D58,"Partly supported")</f>
        <v/>
      </c>
      <c r="F47" s="4">
        <f>COUNTIF('Q53'!D39:D58,"Not supported")</f>
        <v/>
      </c>
      <c r="G47" s="4">
        <f>COUNTIF('Q53'!D39:D58,"Wrong source")</f>
        <v/>
      </c>
      <c r="H47" s="4">
        <f>COUNTIF('Q53'!D39:D58,"Missing citation")</f>
        <v/>
      </c>
      <c r="I47" s="4">
        <f>COUNTIF('Q53'!D39:D58,"Not a legal claim")</f>
        <v/>
      </c>
      <c r="J47" s="4">
        <f>'Q53'!B61</f>
        <v/>
      </c>
      <c r="K47" s="4">
        <f>'Q53'!B62</f>
        <v/>
      </c>
    </row>
    <row r="48">
      <c r="A48" s="4" t="n">
        <v>54</v>
      </c>
      <c r="B48" s="4" t="inlineStr">
        <is>
          <t>Dawn raids — grounds for an inspection</t>
        </is>
      </c>
      <c r="C48" s="4">
        <f>COUNTA('Q54'!B39:B58)</f>
        <v/>
      </c>
      <c r="D48" s="4">
        <f>COUNTIF('Q54'!D39:D58,"Supported")</f>
        <v/>
      </c>
      <c r="E48" s="4">
        <f>COUNTIF('Q54'!D39:D58,"Partly supported")</f>
        <v/>
      </c>
      <c r="F48" s="4">
        <f>COUNTIF('Q54'!D39:D58,"Not supported")</f>
        <v/>
      </c>
      <c r="G48" s="4">
        <f>COUNTIF('Q54'!D39:D58,"Wrong source")</f>
        <v/>
      </c>
      <c r="H48" s="4">
        <f>COUNTIF('Q54'!D39:D58,"Missing citation")</f>
        <v/>
      </c>
      <c r="I48" s="4">
        <f>COUNTIF('Q54'!D39:D58,"Not a legal claim")</f>
        <v/>
      </c>
      <c r="J48" s="4">
        <f>'Q54'!B61</f>
        <v/>
      </c>
      <c r="K48" s="4">
        <f>'Q54'!B62</f>
        <v/>
      </c>
    </row>
  </sheetData>
  <autoFilter ref="A4:K48"/>
  <mergeCells count="2">
    <mergeCell ref="A2:K2"/>
    <mergeCell ref="A1:K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J72"/>
  <sheetViews>
    <sheetView showGridLines="0" workbookViewId="0">
      <pane ySplit="21" topLeftCell="A22" activePane="bottomLeft" state="frozen"/>
      <selection pane="bottomLeft" activeCell="A1" sqref="A1"/>
    </sheetView>
  </sheetViews>
  <sheetFormatPr baseColWidth="8" defaultRowHeight="15"/>
  <cols>
    <col width="12" customWidth="1" min="1" max="1"/>
    <col width="34" customWidth="1" min="2" max="2"/>
    <col width="22" customWidth="1" min="3" max="3"/>
    <col width="18" customWidth="1" min="4" max="4"/>
    <col width="20" customWidth="1" min="5" max="5"/>
    <col width="30" customWidth="1" min="6" max="6"/>
    <col width="34" customWidth="1" min="7" max="7"/>
    <col width="18" customWidth="1" min="8" max="8"/>
    <col width="18" customWidth="1" min="9" max="9"/>
    <col width="30" customWidth="1" min="10" max="10"/>
  </cols>
  <sheetData>
    <row r="1" ht="28" customHeight="1">
      <c r="A1" s="6" t="inlineStr">
        <is>
          <t>Q01 — Expert Review</t>
        </is>
      </c>
      <c r="B1" s="3" t="n"/>
      <c r="C1" s="3" t="n"/>
      <c r="D1" s="3" t="n"/>
      <c r="E1" s="3" t="n"/>
      <c r="F1" s="3" t="n"/>
      <c r="G1" s="3" t="n"/>
      <c r="H1" s="3" t="n"/>
      <c r="I1" s="3" t="n"/>
      <c r="J1" s="3" t="n"/>
    </row>
    <row r="2">
      <c r="A2" s="3" t="n"/>
      <c r="B2" s="3" t="n"/>
      <c r="C2" s="3" t="n"/>
      <c r="D2" s="3" t="n"/>
      <c r="E2" s="3" t="n"/>
      <c r="F2" s="3" t="n"/>
      <c r="G2" s="3" t="n"/>
      <c r="H2" s="3" t="n"/>
      <c r="I2" s="3" t="n"/>
      <c r="J2" s="3" t="n"/>
    </row>
    <row r="3">
      <c r="A3" s="8" t="inlineStr">
        <is>
          <t>Question metadata</t>
        </is>
      </c>
      <c r="B3" s="3" t="n"/>
      <c r="C3" s="3" t="n"/>
      <c r="D3" s="3" t="n"/>
      <c r="E3" s="3" t="n"/>
      <c r="F3" s="3" t="n"/>
      <c r="G3" s="3" t="n"/>
      <c r="H3" s="3" t="n"/>
      <c r="I3" s="3" t="n"/>
      <c r="J3" s="3" t="n"/>
    </row>
    <row r="4">
      <c r="A4" s="9" t="inlineStr">
        <is>
          <t>Question ID</t>
        </is>
      </c>
      <c r="B4" s="3" t="n">
        <v>1</v>
      </c>
      <c r="C4" s="3" t="n"/>
      <c r="D4" s="3" t="n"/>
      <c r="E4" s="3" t="n"/>
      <c r="F4" s="3" t="n"/>
      <c r="G4" s="3" t="n"/>
      <c r="H4" s="3" t="n"/>
      <c r="I4" s="3" t="n"/>
      <c r="J4" s="3" t="n"/>
    </row>
    <row r="5">
      <c r="A5" s="9" t="inlineStr">
        <is>
          <t>Topic</t>
        </is>
      </c>
      <c r="B5" s="3" t="inlineStr">
        <is>
          <t>Food delivery — market definition</t>
        </is>
      </c>
      <c r="C5" s="3" t="n"/>
      <c r="D5" s="3" t="n"/>
      <c r="E5" s="3" t="n"/>
      <c r="F5" s="3" t="n"/>
      <c r="G5" s="3" t="n"/>
      <c r="H5" s="3" t="n"/>
      <c r="I5" s="3" t="n"/>
      <c r="J5" s="3" t="n"/>
    </row>
    <row r="6">
      <c r="A6" s="9" t="inlineStr">
        <is>
          <t>Scope</t>
        </is>
      </c>
      <c r="B6" s="3" t="inlineStr">
        <is>
          <t>EU + UK + ES</t>
        </is>
      </c>
      <c r="C6" s="3" t="n"/>
      <c r="D6" s="3" t="n"/>
      <c r="E6" s="3" t="n"/>
      <c r="F6" s="3" t="n"/>
      <c r="G6" s="3" t="n"/>
      <c r="H6" s="3" t="n"/>
      <c r="I6" s="3" t="n"/>
      <c r="J6" s="3" t="n"/>
    </row>
    <row r="7">
      <c r="A7" s="9" t="inlineStr">
        <is>
          <t>Original reviewer</t>
        </is>
      </c>
      <c r="B7" s="3" t="inlineStr">
        <is>
          <t>Carolina</t>
        </is>
      </c>
      <c r="C7" s="3" t="n"/>
      <c r="D7" s="3" t="n"/>
      <c r="E7" s="3" t="n"/>
      <c r="F7" s="3" t="n"/>
      <c r="G7" s="3" t="n"/>
      <c r="H7" s="3" t="n"/>
      <c r="I7" s="3" t="n"/>
      <c r="J7" s="3" t="n"/>
    </row>
    <row r="8">
      <c r="A8" s="9" t="inlineStr">
        <is>
          <t>Original status</t>
        </is>
      </c>
      <c r="B8" s="3" t="inlineStr">
        <is>
          <t>Approved</t>
        </is>
      </c>
      <c r="C8" s="3" t="n"/>
      <c r="D8" s="3" t="n"/>
      <c r="E8" s="3" t="n"/>
      <c r="F8" s="3" t="n"/>
      <c r="G8" s="3" t="n"/>
      <c r="H8" s="3" t="n"/>
      <c r="I8" s="3" t="n"/>
      <c r="J8" s="3" t="n"/>
    </row>
    <row r="9">
      <c r="A9" s="3" t="n"/>
      <c r="B9" s="3" t="n"/>
      <c r="C9" s="3" t="n"/>
      <c r="D9" s="3" t="n"/>
      <c r="E9" s="3" t="n"/>
      <c r="F9" s="3" t="n"/>
      <c r="G9" s="3" t="n"/>
      <c r="H9" s="3" t="n"/>
      <c r="I9" s="3" t="n"/>
      <c r="J9" s="3" t="n"/>
    </row>
    <row r="10" ht="45" customHeight="1">
      <c r="A10" s="9" t="inlineStr">
        <is>
          <t>Question</t>
        </is>
      </c>
      <c r="B10" s="3" t="inlineStr">
        <is>
          <t>The relevant market in a food-delivery acquisition — how have the Commission and national authorities defined the relevant product and geographic markets, and on what rationales?</t>
        </is>
      </c>
      <c r="C10" s="3" t="n"/>
      <c r="D10" s="3" t="n"/>
      <c r="E10" s="3" t="n"/>
      <c r="F10" s="3" t="n"/>
      <c r="G10" s="3" t="n"/>
      <c r="H10" s="3" t="n"/>
      <c r="I10" s="3" t="n"/>
      <c r="J10" s="3" t="n"/>
    </row>
    <row r="11">
      <c r="A11" s="3" t="n"/>
      <c r="B11" s="3" t="n"/>
      <c r="C11" s="3" t="n"/>
      <c r="D11" s="3" t="n"/>
      <c r="E11" s="3" t="n"/>
      <c r="F11" s="3" t="n"/>
      <c r="G11" s="3" t="n"/>
      <c r="H11" s="3" t="n"/>
      <c r="I11" s="3" t="n"/>
      <c r="J11" s="3" t="n"/>
    </row>
    <row r="12">
      <c r="A12" s="3" t="n"/>
      <c r="B12" s="3" t="n"/>
      <c r="C12" s="3" t="n"/>
      <c r="D12" s="3" t="n"/>
      <c r="E12" s="3" t="n"/>
      <c r="F12" s="3" t="n"/>
      <c r="G12" s="3" t="n"/>
      <c r="H12" s="3" t="n"/>
      <c r="I12" s="3" t="n"/>
      <c r="J12" s="3" t="n"/>
    </row>
    <row r="13">
      <c r="A13" s="3" t="n"/>
      <c r="B13" s="3" t="n"/>
      <c r="C13" s="3" t="n"/>
      <c r="D13" s="3" t="n"/>
      <c r="E13" s="3" t="n"/>
      <c r="F13" s="3" t="n"/>
      <c r="G13" s="3" t="n"/>
      <c r="H13" s="3" t="n"/>
      <c r="I13" s="3" t="n"/>
      <c r="J13" s="3" t="n"/>
    </row>
    <row r="14">
      <c r="A14" s="8" t="inlineStr">
        <is>
          <t>Generated answer</t>
        </is>
      </c>
      <c r="B14" s="3" t="n"/>
      <c r="C14" s="3" t="n"/>
      <c r="D14" s="3" t="n"/>
      <c r="E14" s="3" t="n"/>
      <c r="F14" s="3" t="n"/>
      <c r="G14" s="3" t="n"/>
      <c r="H14" s="3" t="n"/>
      <c r="I14" s="3" t="n"/>
      <c r="J14" s="3" t="n"/>
    </row>
    <row r="15">
      <c r="A15" s="10" t="inlineStr">
        <is>
          <t>Paste the generated answer below.</t>
        </is>
      </c>
      <c r="B15" s="3" t="n"/>
      <c r="C15" s="3" t="n"/>
      <c r="D15" s="3" t="n"/>
      <c r="E15" s="3" t="n"/>
      <c r="F15" s="3" t="n"/>
      <c r="G15" s="3" t="n"/>
      <c r="H15" s="3" t="n"/>
      <c r="I15" s="3" t="n"/>
      <c r="J15" s="3" t="n"/>
    </row>
    <row r="16" ht="90" customHeight="1">
      <c r="A16" s="3" t="inlineStr"/>
      <c r="B16" s="3" t="n"/>
      <c r="C16" s="3" t="n"/>
      <c r="D16" s="3" t="n"/>
      <c r="E16" s="3" t="n"/>
      <c r="F16" s="3" t="n"/>
      <c r="G16" s="3" t="n"/>
      <c r="H16" s="3" t="n"/>
      <c r="I16" s="3" t="n"/>
      <c r="J16" s="3" t="n"/>
    </row>
    <row r="17" ht="30" customHeight="1">
      <c r="A17" s="3" t="n"/>
      <c r="B17" s="3" t="n"/>
      <c r="C17" s="3" t="n"/>
      <c r="D17" s="3" t="n"/>
      <c r="E17" s="3" t="n"/>
      <c r="F17" s="3" t="n"/>
      <c r="G17" s="3" t="n"/>
      <c r="H17" s="3" t="n"/>
      <c r="I17" s="3" t="n"/>
      <c r="J17" s="3" t="n"/>
    </row>
    <row r="18" ht="30" customHeight="1">
      <c r="A18" s="3" t="n"/>
      <c r="B18" s="3" t="n"/>
      <c r="C18" s="3" t="n"/>
      <c r="D18" s="3" t="n"/>
      <c r="E18" s="3" t="n"/>
      <c r="F18" s="3" t="n"/>
      <c r="G18" s="3" t="n"/>
      <c r="H18" s="3" t="n"/>
      <c r="I18" s="3" t="n"/>
      <c r="J18" s="3" t="n"/>
    </row>
    <row r="19">
      <c r="A19" s="9" t="inlineStr">
        <is>
          <t>Run ID</t>
        </is>
      </c>
      <c r="B19" s="3" t="inlineStr"/>
      <c r="C19" s="9" t="inlineStr">
        <is>
          <t>Run date</t>
        </is>
      </c>
      <c r="D19" s="3" t="inlineStr"/>
      <c r="E19" s="9" t="inlineStr">
        <is>
          <t>Model / prompt version</t>
        </is>
      </c>
      <c r="F19" s="3" t="inlineStr"/>
      <c r="G19" s="9" t="inlineStr">
        <is>
          <t>Corpus snapshot</t>
        </is>
      </c>
      <c r="H19" s="3" t="inlineStr"/>
      <c r="I19" s="3" t="n"/>
      <c r="J19" s="3" t="n"/>
    </row>
    <row r="20">
      <c r="A20" s="8" t="inlineStr">
        <is>
          <t>Retrieval set review</t>
        </is>
      </c>
      <c r="B20" s="3" t="n"/>
      <c r="C20" s="3" t="n"/>
      <c r="D20" s="3" t="n"/>
      <c r="E20" s="3" t="n"/>
      <c r="F20" s="3" t="n"/>
      <c r="G20" s="3" t="n"/>
      <c r="H20" s="3" t="n"/>
      <c r="I20" s="3" t="n"/>
      <c r="J20" s="3" t="n"/>
    </row>
    <row r="21">
      <c r="A21" s="11" t="inlineStr">
        <is>
          <t>Rank</t>
        </is>
      </c>
      <c r="B21" s="11" t="inlineStr">
        <is>
          <t>Retrieved source</t>
        </is>
      </c>
      <c r="C21" s="11" t="inlineStr">
        <is>
          <t>Source type</t>
        </is>
      </c>
      <c r="D21" s="11" t="inlineStr">
        <is>
          <t>Jurisdiction</t>
        </is>
      </c>
      <c r="E21" s="11" t="inlineStr">
        <is>
          <t>URL / Document ID</t>
        </is>
      </c>
      <c r="F21" s="11" t="inlineStr">
        <is>
          <t>Returned by engine?</t>
        </is>
      </c>
      <c r="G21" s="11" t="inlineStr">
        <is>
          <t>Required source?</t>
        </is>
      </c>
      <c r="H21" s="11" t="inlineStr">
        <is>
          <t>Trap?</t>
        </is>
      </c>
      <c r="I21" s="11" t="inlineStr">
        <is>
          <t>Expert verdict</t>
        </is>
      </c>
      <c r="J21" s="11" t="inlineStr">
        <is>
          <t>Notes</t>
        </is>
      </c>
    </row>
    <row r="22" ht="44" customHeight="1">
      <c r="A22" s="4" t="n">
        <v>1</v>
      </c>
      <c r="B22" s="4" t="n"/>
      <c r="C22" s="4" t="n"/>
      <c r="D22" s="4" t="n"/>
      <c r="E22" s="4" t="n"/>
      <c r="F22" s="4" t="n"/>
      <c r="G22" s="4" t="n"/>
      <c r="H22" s="4" t="n"/>
      <c r="I22" s="4" t="n"/>
      <c r="J22" s="4" t="n"/>
    </row>
    <row r="23" ht="44" customHeight="1">
      <c r="A23" s="4" t="n">
        <v>2</v>
      </c>
      <c r="B23" s="4" t="n"/>
      <c r="C23" s="4" t="n"/>
      <c r="D23" s="4" t="n"/>
      <c r="E23" s="4" t="n"/>
      <c r="F23" s="4" t="n"/>
      <c r="G23" s="4" t="n"/>
      <c r="H23" s="4" t="n"/>
      <c r="I23" s="4" t="n"/>
      <c r="J23" s="4" t="n"/>
    </row>
    <row r="24" ht="44" customHeight="1">
      <c r="A24" s="4" t="n">
        <v>3</v>
      </c>
      <c r="B24" s="4" t="n"/>
      <c r="C24" s="4" t="n"/>
      <c r="D24" s="4" t="n"/>
      <c r="E24" s="4" t="n"/>
      <c r="F24" s="4" t="n"/>
      <c r="G24" s="4" t="n"/>
      <c r="H24" s="4" t="n"/>
      <c r="I24" s="4" t="n"/>
      <c r="J24" s="4" t="n"/>
    </row>
    <row r="25" ht="44" customHeight="1">
      <c r="A25" s="4" t="n">
        <v>4</v>
      </c>
      <c r="B25" s="4" t="n"/>
      <c r="C25" s="4" t="n"/>
      <c r="D25" s="4" t="n"/>
      <c r="E25" s="4" t="n"/>
      <c r="F25" s="4" t="n"/>
      <c r="G25" s="4" t="n"/>
      <c r="H25" s="4" t="n"/>
      <c r="I25" s="4" t="n"/>
      <c r="J25" s="4" t="n"/>
    </row>
    <row r="26" ht="44" customHeight="1">
      <c r="A26" s="4" t="n">
        <v>5</v>
      </c>
      <c r="B26" s="4" t="n"/>
      <c r="C26" s="4" t="n"/>
      <c r="D26" s="4" t="n"/>
      <c r="E26" s="4" t="n"/>
      <c r="F26" s="4" t="n"/>
      <c r="G26" s="4" t="n"/>
      <c r="H26" s="4" t="n"/>
      <c r="I26" s="4" t="n"/>
      <c r="J26" s="4" t="n"/>
    </row>
    <row r="27" ht="44" customHeight="1">
      <c r="A27" s="4" t="n">
        <v>6</v>
      </c>
      <c r="B27" s="4" t="n"/>
      <c r="C27" s="4" t="n"/>
      <c r="D27" s="4" t="n"/>
      <c r="E27" s="4" t="n"/>
      <c r="F27" s="4" t="n"/>
      <c r="G27" s="4" t="n"/>
      <c r="H27" s="4" t="n"/>
      <c r="I27" s="4" t="n"/>
      <c r="J27" s="4" t="n"/>
    </row>
    <row r="28" ht="44" customHeight="1">
      <c r="A28" s="4" t="n">
        <v>7</v>
      </c>
      <c r="B28" s="4" t="n"/>
      <c r="C28" s="4" t="n"/>
      <c r="D28" s="4" t="n"/>
      <c r="E28" s="4" t="n"/>
      <c r="F28" s="4" t="n"/>
      <c r="G28" s="4" t="n"/>
      <c r="H28" s="4" t="n"/>
      <c r="I28" s="4" t="n"/>
      <c r="J28" s="4" t="n"/>
    </row>
    <row r="29" ht="44" customHeight="1">
      <c r="A29" s="4" t="n">
        <v>8</v>
      </c>
      <c r="B29" s="4" t="n"/>
      <c r="C29" s="4" t="n"/>
      <c r="D29" s="4" t="n"/>
      <c r="E29" s="4" t="n"/>
      <c r="F29" s="4" t="n"/>
      <c r="G29" s="4" t="n"/>
      <c r="H29" s="4" t="n"/>
      <c r="I29" s="4" t="n"/>
      <c r="J29" s="4" t="n"/>
    </row>
    <row r="30" ht="44" customHeight="1">
      <c r="A30" s="4" t="n">
        <v>9</v>
      </c>
      <c r="B30" s="4" t="n"/>
      <c r="C30" s="4" t="n"/>
      <c r="D30" s="4" t="n"/>
      <c r="E30" s="4" t="n"/>
      <c r="F30" s="4" t="n"/>
      <c r="G30" s="4" t="n"/>
      <c r="H30" s="4" t="n"/>
      <c r="I30" s="4" t="n"/>
      <c r="J30" s="4" t="n"/>
    </row>
    <row r="31" ht="44" customHeight="1">
      <c r="A31" s="4" t="n">
        <v>10</v>
      </c>
      <c r="B31" s="4" t="n"/>
      <c r="C31" s="4" t="n"/>
      <c r="D31" s="4" t="n"/>
      <c r="E31" s="4" t="n"/>
      <c r="F31" s="4" t="n"/>
      <c r="G31" s="4" t="n"/>
      <c r="H31" s="4" t="n"/>
      <c r="I31" s="4" t="n"/>
      <c r="J31" s="4" t="n"/>
    </row>
    <row r="32" ht="44" customHeight="1">
      <c r="A32" s="4" t="n">
        <v>11</v>
      </c>
      <c r="B32" s="4" t="n"/>
      <c r="C32" s="4" t="n"/>
      <c r="D32" s="4" t="n"/>
      <c r="E32" s="4" t="n"/>
      <c r="F32" s="4" t="n"/>
      <c r="G32" s="4" t="n"/>
      <c r="H32" s="4" t="n"/>
      <c r="I32" s="4" t="n"/>
      <c r="J32" s="4" t="n"/>
    </row>
    <row r="33" ht="44" customHeight="1">
      <c r="A33" s="4" t="n">
        <v>12</v>
      </c>
      <c r="B33" s="4" t="n"/>
      <c r="C33" s="4" t="n"/>
      <c r="D33" s="4" t="n"/>
      <c r="E33" s="4" t="n"/>
      <c r="F33" s="4" t="n"/>
      <c r="G33" s="4" t="n"/>
      <c r="H33" s="4" t="n"/>
      <c r="I33" s="4" t="n"/>
      <c r="J33" s="4" t="n"/>
    </row>
    <row r="34" ht="44" customHeight="1">
      <c r="A34" s="4" t="n">
        <v>13</v>
      </c>
      <c r="B34" s="4" t="n"/>
      <c r="C34" s="4" t="n"/>
      <c r="D34" s="4" t="n"/>
      <c r="E34" s="4" t="n"/>
      <c r="F34" s="4" t="n"/>
      <c r="G34" s="4" t="n"/>
      <c r="H34" s="4" t="n"/>
      <c r="I34" s="4" t="n"/>
      <c r="J34" s="4" t="n"/>
    </row>
    <row r="35" ht="44" customHeight="1">
      <c r="A35" s="4" t="n">
        <v>14</v>
      </c>
      <c r="B35" s="4" t="n"/>
      <c r="C35" s="4" t="n"/>
      <c r="D35" s="4" t="n"/>
      <c r="E35" s="4" t="n"/>
      <c r="F35" s="4" t="n"/>
      <c r="G35" s="4" t="n"/>
      <c r="H35" s="4" t="n"/>
      <c r="I35" s="4" t="n"/>
      <c r="J35" s="4" t="n"/>
    </row>
    <row r="36" ht="44" customHeight="1">
      <c r="A36" s="4" t="n">
        <v>15</v>
      </c>
      <c r="B36" s="4" t="n"/>
      <c r="C36" s="4" t="n"/>
      <c r="D36" s="4" t="n"/>
      <c r="E36" s="4" t="n"/>
      <c r="F36" s="4" t="n"/>
      <c r="G36" s="4" t="n"/>
      <c r="H36" s="4" t="n"/>
      <c r="I36" s="4" t="n"/>
      <c r="J36" s="4" t="n"/>
    </row>
    <row r="37">
      <c r="A37" s="3" t="n"/>
      <c r="B37" s="3" t="n"/>
      <c r="C37" s="3" t="n"/>
      <c r="D37" s="3" t="n"/>
      <c r="E37" s="3" t="n"/>
      <c r="F37" s="3" t="n"/>
      <c r="G37" s="3" t="n"/>
      <c r="H37" s="3" t="n"/>
      <c r="I37" s="3" t="n"/>
      <c r="J37" s="3" t="n"/>
    </row>
    <row r="38">
      <c r="A38" s="8" t="inlineStr">
        <is>
          <t>Claim-by-claim review</t>
        </is>
      </c>
      <c r="B38" s="3" t="n"/>
      <c r="C38" s="3" t="n"/>
      <c r="D38" s="3" t="n"/>
      <c r="E38" s="3" t="n"/>
      <c r="F38" s="3" t="n"/>
      <c r="G38" s="3" t="n"/>
      <c r="H38" s="3" t="n"/>
      <c r="I38" s="3" t="n"/>
      <c r="J38" s="3" t="n"/>
    </row>
    <row r="39">
      <c r="A39" s="11" t="inlineStr">
        <is>
          <t>Claim ID</t>
        </is>
      </c>
      <c r="B39" s="11" t="inlineStr">
        <is>
          <t>Claim from answer</t>
        </is>
      </c>
      <c r="C39" s="11" t="inlineStr">
        <is>
          <t>Citation used</t>
        </is>
      </c>
      <c r="D39" s="11" t="inlineStr">
        <is>
          <t>Expert verdict</t>
        </is>
      </c>
      <c r="E39" s="11" t="inlineStr">
        <is>
          <t>Issue type</t>
        </is>
      </c>
      <c r="F39" s="11" t="inlineStr">
        <is>
          <t>Cited passage / source note</t>
        </is>
      </c>
      <c r="G39" s="11" t="inlineStr">
        <is>
          <t>Required fix / comment</t>
        </is>
      </c>
      <c r="H39" s="11" t="inlineStr">
        <is>
          <t>Reviewer</t>
        </is>
      </c>
      <c r="I39" s="11" t="n"/>
      <c r="J39" s="11" t="n"/>
    </row>
    <row r="40" ht="54" customHeight="1">
      <c r="A40" s="4" t="n">
        <v>1</v>
      </c>
      <c r="B40" s="4" t="n"/>
      <c r="C40" s="4" t="n"/>
      <c r="D40" s="4" t="n"/>
      <c r="E40" s="4" t="n"/>
      <c r="F40" s="4" t="n"/>
      <c r="G40" s="4" t="n"/>
      <c r="H40" s="4" t="n"/>
      <c r="I40" s="3" t="n"/>
      <c r="J40" s="3" t="n"/>
    </row>
    <row r="41" ht="54" customHeight="1">
      <c r="A41" s="4" t="n">
        <v>2</v>
      </c>
      <c r="B41" s="4" t="n"/>
      <c r="C41" s="4" t="n"/>
      <c r="D41" s="4" t="n"/>
      <c r="E41" s="4" t="n"/>
      <c r="F41" s="4" t="n"/>
      <c r="G41" s="4" t="n"/>
      <c r="H41" s="4" t="n"/>
      <c r="I41" s="3" t="n"/>
      <c r="J41" s="3" t="n"/>
    </row>
    <row r="42" ht="54" customHeight="1">
      <c r="A42" s="4" t="n">
        <v>3</v>
      </c>
      <c r="B42" s="4" t="n"/>
      <c r="C42" s="4" t="n"/>
      <c r="D42" s="4" t="n"/>
      <c r="E42" s="4" t="n"/>
      <c r="F42" s="4" t="n"/>
      <c r="G42" s="4" t="n"/>
      <c r="H42" s="4" t="n"/>
      <c r="I42" s="3" t="n"/>
      <c r="J42" s="3" t="n"/>
    </row>
    <row r="43" ht="54" customHeight="1">
      <c r="A43" s="4" t="n">
        <v>4</v>
      </c>
      <c r="B43" s="4" t="n"/>
      <c r="C43" s="4" t="n"/>
      <c r="D43" s="4" t="n"/>
      <c r="E43" s="4" t="n"/>
      <c r="F43" s="4" t="n"/>
      <c r="G43" s="4" t="n"/>
      <c r="H43" s="4" t="n"/>
      <c r="I43" s="3" t="n"/>
      <c r="J43" s="3" t="n"/>
    </row>
    <row r="44" ht="54" customHeight="1">
      <c r="A44" s="4" t="n">
        <v>5</v>
      </c>
      <c r="B44" s="4" t="n"/>
      <c r="C44" s="4" t="n"/>
      <c r="D44" s="4" t="n"/>
      <c r="E44" s="4" t="n"/>
      <c r="F44" s="4" t="n"/>
      <c r="G44" s="4" t="n"/>
      <c r="H44" s="4" t="n"/>
      <c r="I44" s="3" t="n"/>
      <c r="J44" s="3" t="n"/>
    </row>
    <row r="45" ht="54" customHeight="1">
      <c r="A45" s="4" t="n">
        <v>6</v>
      </c>
      <c r="B45" s="4" t="n"/>
      <c r="C45" s="4" t="n"/>
      <c r="D45" s="4" t="n"/>
      <c r="E45" s="4" t="n"/>
      <c r="F45" s="4" t="n"/>
      <c r="G45" s="4" t="n"/>
      <c r="H45" s="4" t="n"/>
      <c r="I45" s="3" t="n"/>
      <c r="J45" s="3" t="n"/>
    </row>
    <row r="46" ht="54" customHeight="1">
      <c r="A46" s="4" t="n">
        <v>7</v>
      </c>
      <c r="B46" s="4" t="n"/>
      <c r="C46" s="4" t="n"/>
      <c r="D46" s="4" t="n"/>
      <c r="E46" s="4" t="n"/>
      <c r="F46" s="4" t="n"/>
      <c r="G46" s="4" t="n"/>
      <c r="H46" s="4" t="n"/>
      <c r="I46" s="3" t="n"/>
      <c r="J46" s="3" t="n"/>
    </row>
    <row r="47" ht="54" customHeight="1">
      <c r="A47" s="4" t="n">
        <v>8</v>
      </c>
      <c r="B47" s="4" t="n"/>
      <c r="C47" s="4" t="n"/>
      <c r="D47" s="4" t="n"/>
      <c r="E47" s="4" t="n"/>
      <c r="F47" s="4" t="n"/>
      <c r="G47" s="4" t="n"/>
      <c r="H47" s="4" t="n"/>
      <c r="I47" s="3" t="n"/>
      <c r="J47" s="3" t="n"/>
    </row>
    <row r="48" ht="54" customHeight="1">
      <c r="A48" s="4" t="n">
        <v>9</v>
      </c>
      <c r="B48" s="4" t="n"/>
      <c r="C48" s="4" t="n"/>
      <c r="D48" s="4" t="n"/>
      <c r="E48" s="4" t="n"/>
      <c r="F48" s="4" t="n"/>
      <c r="G48" s="4" t="n"/>
      <c r="H48" s="4" t="n"/>
      <c r="I48" s="3" t="n"/>
      <c r="J48" s="3" t="n"/>
    </row>
    <row r="49" ht="54" customHeight="1">
      <c r="A49" s="4" t="n">
        <v>10</v>
      </c>
      <c r="B49" s="4" t="n"/>
      <c r="C49" s="4" t="n"/>
      <c r="D49" s="4" t="n"/>
      <c r="E49" s="4" t="n"/>
      <c r="F49" s="4" t="n"/>
      <c r="G49" s="4" t="n"/>
      <c r="H49" s="4" t="n"/>
      <c r="I49" s="3" t="n"/>
      <c r="J49" s="3" t="n"/>
    </row>
    <row r="50" ht="54" customHeight="1">
      <c r="A50" s="4" t="n">
        <v>11</v>
      </c>
      <c r="B50" s="4" t="n"/>
      <c r="C50" s="4" t="n"/>
      <c r="D50" s="4" t="n"/>
      <c r="E50" s="4" t="n"/>
      <c r="F50" s="4" t="n"/>
      <c r="G50" s="4" t="n"/>
      <c r="H50" s="4" t="n"/>
      <c r="I50" s="3" t="n"/>
      <c r="J50" s="3" t="n"/>
    </row>
    <row r="51" ht="54" customHeight="1">
      <c r="A51" s="4" t="n">
        <v>12</v>
      </c>
      <c r="B51" s="4" t="n"/>
      <c r="C51" s="4" t="n"/>
      <c r="D51" s="4" t="n"/>
      <c r="E51" s="4" t="n"/>
      <c r="F51" s="4" t="n"/>
      <c r="G51" s="4" t="n"/>
      <c r="H51" s="4" t="n"/>
      <c r="I51" s="3" t="n"/>
      <c r="J51" s="3" t="n"/>
    </row>
    <row r="52" ht="54" customHeight="1">
      <c r="A52" s="4" t="n">
        <v>13</v>
      </c>
      <c r="B52" s="4" t="n"/>
      <c r="C52" s="4" t="n"/>
      <c r="D52" s="4" t="n"/>
      <c r="E52" s="4" t="n"/>
      <c r="F52" s="4" t="n"/>
      <c r="G52" s="4" t="n"/>
      <c r="H52" s="4" t="n"/>
      <c r="I52" s="3" t="n"/>
      <c r="J52" s="3" t="n"/>
    </row>
    <row r="53" ht="54" customHeight="1">
      <c r="A53" s="4" t="n">
        <v>14</v>
      </c>
      <c r="B53" s="4" t="n"/>
      <c r="C53" s="4" t="n"/>
      <c r="D53" s="4" t="n"/>
      <c r="E53" s="4" t="n"/>
      <c r="F53" s="4" t="n"/>
      <c r="G53" s="4" t="n"/>
      <c r="H53" s="4" t="n"/>
      <c r="I53" s="3" t="n"/>
      <c r="J53" s="3" t="n"/>
    </row>
    <row r="54" ht="54" customHeight="1">
      <c r="A54" s="4" t="n">
        <v>15</v>
      </c>
      <c r="B54" s="4" t="n"/>
      <c r="C54" s="4" t="n"/>
      <c r="D54" s="4" t="n"/>
      <c r="E54" s="4" t="n"/>
      <c r="F54" s="4" t="n"/>
      <c r="G54" s="4" t="n"/>
      <c r="H54" s="4" t="n"/>
      <c r="I54" s="3" t="n"/>
      <c r="J54" s="3" t="n"/>
    </row>
    <row r="55" ht="54" customHeight="1">
      <c r="A55" s="4" t="n">
        <v>16</v>
      </c>
      <c r="B55" s="4" t="n"/>
      <c r="C55" s="4" t="n"/>
      <c r="D55" s="4" t="n"/>
      <c r="E55" s="4" t="n"/>
      <c r="F55" s="4" t="n"/>
      <c r="G55" s="4" t="n"/>
      <c r="H55" s="4" t="n"/>
      <c r="I55" s="3" t="n"/>
      <c r="J55" s="3" t="n"/>
    </row>
    <row r="56" ht="54" customHeight="1">
      <c r="A56" s="4" t="n">
        <v>17</v>
      </c>
      <c r="B56" s="4" t="n"/>
      <c r="C56" s="4" t="n"/>
      <c r="D56" s="4" t="n"/>
      <c r="E56" s="4" t="n"/>
      <c r="F56" s="4" t="n"/>
      <c r="G56" s="4" t="n"/>
      <c r="H56" s="4" t="n"/>
      <c r="I56" s="3" t="n"/>
      <c r="J56" s="3" t="n"/>
    </row>
    <row r="57" ht="54" customHeight="1">
      <c r="A57" s="4" t="n">
        <v>18</v>
      </c>
      <c r="B57" s="4" t="n"/>
      <c r="C57" s="4" t="n"/>
      <c r="D57" s="4" t="n"/>
      <c r="E57" s="4" t="n"/>
      <c r="F57" s="4" t="n"/>
      <c r="G57" s="4" t="n"/>
      <c r="H57" s="4" t="n"/>
      <c r="I57" s="3" t="n"/>
      <c r="J57" s="3" t="n"/>
    </row>
    <row r="58" ht="54" customHeight="1">
      <c r="A58" s="4" t="n">
        <v>19</v>
      </c>
      <c r="B58" s="4" t="n"/>
      <c r="C58" s="4" t="n"/>
      <c r="D58" s="4" t="n"/>
      <c r="E58" s="4" t="n"/>
      <c r="F58" s="4" t="n"/>
      <c r="G58" s="4" t="n"/>
      <c r="H58" s="4" t="n"/>
      <c r="I58" s="3" t="n"/>
      <c r="J58" s="3" t="n"/>
    </row>
    <row r="59" ht="54" customHeight="1">
      <c r="A59" s="4" t="n">
        <v>20</v>
      </c>
      <c r="B59" s="4" t="n"/>
      <c r="C59" s="4" t="n"/>
      <c r="D59" s="4" t="n"/>
      <c r="E59" s="4" t="n"/>
      <c r="F59" s="4" t="n"/>
      <c r="G59" s="4" t="n"/>
      <c r="H59" s="4" t="n"/>
      <c r="I59" s="3" t="n"/>
      <c r="J59" s="3" t="n"/>
    </row>
    <row r="60">
      <c r="A60" s="3" t="n"/>
      <c r="B60" s="3" t="n"/>
      <c r="C60" s="3" t="n"/>
      <c r="D60" s="3" t="n"/>
      <c r="E60" s="3" t="n"/>
      <c r="F60" s="3" t="n"/>
      <c r="G60" s="3" t="n"/>
      <c r="H60" s="3" t="n"/>
      <c r="I60" s="3" t="n"/>
      <c r="J60" s="3" t="n"/>
    </row>
    <row r="61">
      <c r="A61" s="8" t="inlineStr">
        <is>
          <t>Final expert verdict</t>
        </is>
      </c>
      <c r="B61" s="3" t="n"/>
      <c r="C61" s="3" t="n"/>
      <c r="D61" s="3" t="n"/>
      <c r="E61" s="3" t="n"/>
      <c r="F61" s="3" t="n"/>
      <c r="G61" s="3" t="n"/>
      <c r="H61" s="3" t="n"/>
      <c r="I61" s="3" t="n"/>
      <c r="J61" s="3" t="n"/>
    </row>
    <row r="62">
      <c r="A62" s="12" t="inlineStr">
        <is>
          <t>Is the answer acceptable?</t>
        </is>
      </c>
      <c r="B62" s="4" t="inlineStr"/>
      <c r="C62" s="4" t="n"/>
      <c r="D62" s="4" t="n"/>
      <c r="E62" s="4" t="n"/>
      <c r="F62" s="4" t="n"/>
      <c r="G62" s="4" t="n"/>
      <c r="H62" s="4" t="n"/>
      <c r="I62" s="3" t="n"/>
      <c r="J62" s="3" t="n"/>
    </row>
    <row r="63" ht="54" customHeight="1">
      <c r="A63" s="12" t="inlineStr">
        <is>
          <t>Overall comment / required fixes</t>
        </is>
      </c>
      <c r="B63" s="4" t="n"/>
      <c r="C63" s="4" t="n"/>
      <c r="D63" s="4" t="n"/>
      <c r="E63" s="4" t="n"/>
      <c r="F63" s="4" t="n"/>
      <c r="G63" s="4" t="n"/>
      <c r="H63" s="4" t="n"/>
      <c r="I63" s="3" t="n"/>
      <c r="J63" s="3" t="n"/>
    </row>
    <row r="64">
      <c r="A64" s="4" t="n"/>
      <c r="B64" s="4" t="n"/>
      <c r="C64" s="4" t="n"/>
      <c r="D64" s="4" t="n"/>
      <c r="E64" s="4" t="n"/>
      <c r="F64" s="4" t="n"/>
      <c r="G64" s="4" t="n"/>
      <c r="H64" s="4" t="n"/>
      <c r="I64" s="3" t="n"/>
      <c r="J64" s="3" t="n"/>
    </row>
    <row r="65">
      <c r="A65" s="12" t="inlineStr">
        <is>
          <t>Missing key sources?</t>
        </is>
      </c>
      <c r="B65" s="4" t="n"/>
      <c r="C65" s="4" t="n"/>
      <c r="D65" s="4" t="n"/>
      <c r="E65" s="4" t="n"/>
      <c r="F65" s="4" t="n"/>
      <c r="G65" s="4" t="n"/>
      <c r="H65" s="4" t="n"/>
      <c r="I65" s="3" t="n"/>
      <c r="J65" s="3" t="n"/>
    </row>
    <row r="66">
      <c r="A66" s="12" t="inlineStr">
        <is>
          <t>Review completed?</t>
        </is>
      </c>
      <c r="B66" s="4" t="inlineStr"/>
      <c r="C66" s="4" t="n"/>
      <c r="D66" s="4" t="n"/>
      <c r="E66" s="4" t="n"/>
      <c r="F66" s="4" t="n"/>
      <c r="G66" s="4" t="n"/>
      <c r="H66" s="4" t="n"/>
      <c r="I66" s="3" t="n"/>
      <c r="J66" s="3" t="n"/>
    </row>
    <row r="67">
      <c r="A67" s="12" t="inlineStr">
        <is>
          <t>Reviewer</t>
        </is>
      </c>
      <c r="B67" s="4" t="n"/>
      <c r="C67" s="12" t="inlineStr">
        <is>
          <t>Review date</t>
        </is>
      </c>
      <c r="D67" s="5" t="inlineStr"/>
      <c r="E67" s="4" t="n"/>
      <c r="F67" s="4" t="n"/>
      <c r="G67" s="4" t="n"/>
      <c r="H67" s="4" t="n"/>
      <c r="I67" s="3" t="n"/>
      <c r="J67" s="3" t="n"/>
    </row>
    <row r="68">
      <c r="A68" s="3" t="n"/>
      <c r="B68" s="3" t="n"/>
      <c r="C68" s="3" t="n"/>
      <c r="D68" s="3" t="n"/>
      <c r="E68" s="3" t="n"/>
      <c r="F68" s="3" t="n"/>
      <c r="G68" s="3" t="n"/>
      <c r="H68" s="3" t="n"/>
      <c r="I68" s="3" t="n"/>
      <c r="J68" s="3" t="n"/>
    </row>
    <row r="69">
      <c r="A69" s="8" t="inlineStr">
        <is>
          <t>Original source notes</t>
        </is>
      </c>
      <c r="B69" s="3" t="n"/>
      <c r="C69" s="3" t="n"/>
      <c r="D69" s="3" t="n"/>
      <c r="E69" s="3" t="n"/>
      <c r="F69" s="3" t="n"/>
      <c r="G69" s="3" t="n"/>
      <c r="H69" s="3" t="n"/>
      <c r="I69" s="3" t="n"/>
      <c r="J69" s="3" t="n"/>
    </row>
    <row r="70">
      <c r="A70" s="12" t="inlineStr">
        <is>
          <t>WAB notes</t>
        </is>
      </c>
      <c r="B70" s="4" t="inlineStr"/>
      <c r="C70" s="4" t="n"/>
      <c r="D70" s="4" t="n"/>
      <c r="E70" s="4" t="n"/>
      <c r="F70" s="4" t="n"/>
      <c r="G70" s="4" t="n"/>
      <c r="H70" s="4" t="n"/>
      <c r="I70" s="3" t="n"/>
      <c r="J70" s="3" t="n"/>
    </row>
    <row r="71" ht="54" customHeight="1">
      <c r="A71" s="12" t="inlineStr">
        <is>
          <t>Reviewer notes from question approval</t>
        </is>
      </c>
      <c r="B71" s="4" t="inlineStr"/>
      <c r="C71" s="4" t="n"/>
      <c r="D71" s="4" t="n"/>
      <c r="E71" s="4" t="n"/>
      <c r="F71" s="4" t="n"/>
      <c r="G71" s="4" t="n"/>
      <c r="H71" s="4" t="n"/>
      <c r="I71" s="3" t="n"/>
      <c r="J71" s="3" t="n"/>
    </row>
    <row r="72">
      <c r="A72" s="4" t="n"/>
      <c r="B72" s="4" t="n"/>
      <c r="C72" s="4" t="n"/>
      <c r="D72" s="4" t="n"/>
      <c r="E72" s="4" t="n"/>
      <c r="F72" s="4" t="n"/>
      <c r="G72" s="4" t="n"/>
      <c r="H72" s="4" t="n"/>
      <c r="I72" s="3" t="n"/>
      <c r="J72" s="3" t="n"/>
    </row>
  </sheetData>
  <autoFilter ref="A21:J36"/>
  <mergeCells count="20">
    <mergeCell ref="B65:H65"/>
    <mergeCell ref="B71:H72"/>
    <mergeCell ref="B6:H6"/>
    <mergeCell ref="A20:J20"/>
    <mergeCell ref="A1:H1"/>
    <mergeCell ref="B5:H5"/>
    <mergeCell ref="A61:H61"/>
    <mergeCell ref="A69:H69"/>
    <mergeCell ref="B4:H4"/>
    <mergeCell ref="B62:H62"/>
    <mergeCell ref="B7:H7"/>
    <mergeCell ref="B66:H66"/>
    <mergeCell ref="A3:H3"/>
    <mergeCell ref="A16:H18"/>
    <mergeCell ref="B70:H70"/>
    <mergeCell ref="A14:H14"/>
    <mergeCell ref="B63:H64"/>
    <mergeCell ref="B8:H8"/>
    <mergeCell ref="B10:H12"/>
    <mergeCell ref="A38:H38"/>
  </mergeCells>
  <dataValidations count="9">
    <dataValidation sqref="C22:C36" showDropDown="0" showInputMessage="0" showErrorMessage="0" allowBlank="1" type="list">
      <formula1>=Lists!$F$2:$F$5</formula1>
    </dataValidation>
    <dataValidation sqref="F22:F36" showDropDown="0" showInputMessage="0" showErrorMessage="0" allowBlank="1" type="list">
      <formula1>=Lists!$G$2:$G$4</formula1>
    </dataValidation>
    <dataValidation sqref="G22:G36" showDropDown="0" showInputMessage="0" showErrorMessage="0" allowBlank="1" type="list">
      <formula1>=Lists!$G$2:$G$4</formula1>
    </dataValidation>
    <dataValidation sqref="H22:H36" showDropDown="0" showInputMessage="0" showErrorMessage="0" allowBlank="1" type="list">
      <formula1>=Lists!$G$2:$G$4</formula1>
    </dataValidation>
    <dataValidation sqref="I22:I36" showDropDown="0" showInputMessage="0" showErrorMessage="0" allowBlank="1" type="list">
      <formula1>=Lists!$H$2:$H$6</formula1>
    </dataValidation>
    <dataValidation sqref="D40:D59" showDropDown="0" showInputMessage="0" showErrorMessage="0" allowBlank="1" type="list">
      <formula1>=Lists!$D$2:$D$7</formula1>
    </dataValidation>
    <dataValidation sqref="E40:E59" showDropDown="0" showInputMessage="0" showErrorMessage="0" allowBlank="1" type="list">
      <formula1>=Lists!$E$2:$E$8</formula1>
    </dataValidation>
    <dataValidation sqref="B62" showDropDown="0" showInputMessage="0" showErrorMessage="0" allowBlank="1" type="list">
      <formula1>=Lists!$C$2:$C$4</formula1>
    </dataValidation>
    <dataValidation sqref="B66" showDropDown="0" showInputMessage="0" showErrorMessage="0" allowBlank="1" type="list">
      <formula1>=Lists!$A$2:$A$3</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J72"/>
  <sheetViews>
    <sheetView showGridLines="0" workbookViewId="0">
      <pane ySplit="21" topLeftCell="A22" activePane="bottomLeft" state="frozen"/>
      <selection pane="bottomLeft" activeCell="A1" sqref="A1"/>
    </sheetView>
  </sheetViews>
  <sheetFormatPr baseColWidth="8" defaultRowHeight="15"/>
  <cols>
    <col width="12" customWidth="1" min="1" max="1"/>
    <col width="34" customWidth="1" min="2" max="2"/>
    <col width="22" customWidth="1" min="3" max="3"/>
    <col width="18" customWidth="1" min="4" max="4"/>
    <col width="20" customWidth="1" min="5" max="5"/>
    <col width="30" customWidth="1" min="6" max="6"/>
    <col width="34" customWidth="1" min="7" max="7"/>
    <col width="18" customWidth="1" min="8" max="8"/>
    <col width="18" customWidth="1" min="9" max="9"/>
    <col width="30" customWidth="1" min="10" max="10"/>
  </cols>
  <sheetData>
    <row r="1" ht="28" customHeight="1">
      <c r="A1" s="6" t="inlineStr">
        <is>
          <t>Q02 — Expert Review</t>
        </is>
      </c>
      <c r="B1" s="3" t="n"/>
      <c r="C1" s="3" t="n"/>
      <c r="D1" s="3" t="n"/>
      <c r="E1" s="3" t="n"/>
      <c r="F1" s="3" t="n"/>
      <c r="G1" s="3" t="n"/>
      <c r="H1" s="3" t="n"/>
      <c r="I1" s="3" t="n"/>
      <c r="J1" s="3" t="n"/>
    </row>
    <row r="2">
      <c r="A2" s="3" t="n"/>
      <c r="B2" s="3" t="n"/>
      <c r="C2" s="3" t="n"/>
      <c r="D2" s="3" t="n"/>
      <c r="E2" s="3" t="n"/>
      <c r="F2" s="3" t="n"/>
      <c r="G2" s="3" t="n"/>
      <c r="H2" s="3" t="n"/>
      <c r="I2" s="3" t="n"/>
      <c r="J2" s="3" t="n"/>
    </row>
    <row r="3">
      <c r="A3" s="8" t="inlineStr">
        <is>
          <t>Question metadata</t>
        </is>
      </c>
      <c r="B3" s="3" t="n"/>
      <c r="C3" s="3" t="n"/>
      <c r="D3" s="3" t="n"/>
      <c r="E3" s="3" t="n"/>
      <c r="F3" s="3" t="n"/>
      <c r="G3" s="3" t="n"/>
      <c r="H3" s="3" t="n"/>
      <c r="I3" s="3" t="n"/>
      <c r="J3" s="3" t="n"/>
    </row>
    <row r="4">
      <c r="A4" s="9" t="inlineStr">
        <is>
          <t>Question ID</t>
        </is>
      </c>
      <c r="B4" s="3" t="n">
        <v>2</v>
      </c>
      <c r="C4" s="3" t="n"/>
      <c r="D4" s="3" t="n"/>
      <c r="E4" s="3" t="n"/>
      <c r="F4" s="3" t="n"/>
      <c r="G4" s="3" t="n"/>
      <c r="H4" s="3" t="n"/>
      <c r="I4" s="3" t="n"/>
      <c r="J4" s="3" t="n"/>
    </row>
    <row r="5">
      <c r="A5" s="9" t="inlineStr">
        <is>
          <t>Topic</t>
        </is>
      </c>
      <c r="B5" s="3" t="inlineStr">
        <is>
          <t>Food delivery — multi-sided platforms</t>
        </is>
      </c>
      <c r="C5" s="3" t="n"/>
      <c r="D5" s="3" t="n"/>
      <c r="E5" s="3" t="n"/>
      <c r="F5" s="3" t="n"/>
      <c r="G5" s="3" t="n"/>
      <c r="H5" s="3" t="n"/>
      <c r="I5" s="3" t="n"/>
      <c r="J5" s="3" t="n"/>
    </row>
    <row r="6">
      <c r="A6" s="9" t="inlineStr">
        <is>
          <t>Scope</t>
        </is>
      </c>
      <c r="B6" s="3" t="inlineStr">
        <is>
          <t>EU + UK + ES</t>
        </is>
      </c>
      <c r="C6" s="3" t="n"/>
      <c r="D6" s="3" t="n"/>
      <c r="E6" s="3" t="n"/>
      <c r="F6" s="3" t="n"/>
      <c r="G6" s="3" t="n"/>
      <c r="H6" s="3" t="n"/>
      <c r="I6" s="3" t="n"/>
      <c r="J6" s="3" t="n"/>
    </row>
    <row r="7">
      <c r="A7" s="9" t="inlineStr">
        <is>
          <t>Original reviewer</t>
        </is>
      </c>
      <c r="B7" s="3" t="inlineStr">
        <is>
          <t>Carolina</t>
        </is>
      </c>
      <c r="C7" s="3" t="n"/>
      <c r="D7" s="3" t="n"/>
      <c r="E7" s="3" t="n"/>
      <c r="F7" s="3" t="n"/>
      <c r="G7" s="3" t="n"/>
      <c r="H7" s="3" t="n"/>
      <c r="I7" s="3" t="n"/>
      <c r="J7" s="3" t="n"/>
    </row>
    <row r="8">
      <c r="A8" s="9" t="inlineStr">
        <is>
          <t>Original status</t>
        </is>
      </c>
      <c r="B8" s="3" t="inlineStr">
        <is>
          <t>Approved</t>
        </is>
      </c>
      <c r="C8" s="3" t="n"/>
      <c r="D8" s="3" t="n"/>
      <c r="E8" s="3" t="n"/>
      <c r="F8" s="3" t="n"/>
      <c r="G8" s="3" t="n"/>
      <c r="H8" s="3" t="n"/>
      <c r="I8" s="3" t="n"/>
      <c r="J8" s="3" t="n"/>
    </row>
    <row r="9">
      <c r="A9" s="3" t="n"/>
      <c r="B9" s="3" t="n"/>
      <c r="C9" s="3" t="n"/>
      <c r="D9" s="3" t="n"/>
      <c r="E9" s="3" t="n"/>
      <c r="F9" s="3" t="n"/>
      <c r="G9" s="3" t="n"/>
      <c r="H9" s="3" t="n"/>
      <c r="I9" s="3" t="n"/>
      <c r="J9" s="3" t="n"/>
    </row>
    <row r="10" ht="45" customHeight="1">
      <c r="A10" s="9" t="inlineStr">
        <is>
          <t>Question</t>
        </is>
      </c>
      <c r="B10" s="3" t="inlineStr">
        <is>
          <t>Food delivery as a multi-sided platform — have authorities analysed these platforms as two- or multi-sided markets, and which sides actually entered the analysis?</t>
        </is>
      </c>
      <c r="C10" s="3" t="n"/>
      <c r="D10" s="3" t="n"/>
      <c r="E10" s="3" t="n"/>
      <c r="F10" s="3" t="n"/>
      <c r="G10" s="3" t="n"/>
      <c r="H10" s="3" t="n"/>
      <c r="I10" s="3" t="n"/>
      <c r="J10" s="3" t="n"/>
    </row>
    <row r="11">
      <c r="A11" s="3" t="n"/>
      <c r="B11" s="3" t="n"/>
      <c r="C11" s="3" t="n"/>
      <c r="D11" s="3" t="n"/>
      <c r="E11" s="3" t="n"/>
      <c r="F11" s="3" t="n"/>
      <c r="G11" s="3" t="n"/>
      <c r="H11" s="3" t="n"/>
      <c r="I11" s="3" t="n"/>
      <c r="J11" s="3" t="n"/>
    </row>
    <row r="12">
      <c r="A12" s="3" t="n"/>
      <c r="B12" s="3" t="n"/>
      <c r="C12" s="3" t="n"/>
      <c r="D12" s="3" t="n"/>
      <c r="E12" s="3" t="n"/>
      <c r="F12" s="3" t="n"/>
      <c r="G12" s="3" t="n"/>
      <c r="H12" s="3" t="n"/>
      <c r="I12" s="3" t="n"/>
      <c r="J12" s="3" t="n"/>
    </row>
    <row r="13">
      <c r="A13" s="3" t="n"/>
      <c r="B13" s="3" t="n"/>
      <c r="C13" s="3" t="n"/>
      <c r="D13" s="3" t="n"/>
      <c r="E13" s="3" t="n"/>
      <c r="F13" s="3" t="n"/>
      <c r="G13" s="3" t="n"/>
      <c r="H13" s="3" t="n"/>
      <c r="I13" s="3" t="n"/>
      <c r="J13" s="3" t="n"/>
    </row>
    <row r="14">
      <c r="A14" s="8" t="inlineStr">
        <is>
          <t>Generated answer</t>
        </is>
      </c>
      <c r="B14" s="3" t="n"/>
      <c r="C14" s="3" t="n"/>
      <c r="D14" s="3" t="n"/>
      <c r="E14" s="3" t="n"/>
      <c r="F14" s="3" t="n"/>
      <c r="G14" s="3" t="n"/>
      <c r="H14" s="3" t="n"/>
      <c r="I14" s="3" t="n"/>
      <c r="J14" s="3" t="n"/>
    </row>
    <row r="15">
      <c r="A15" s="10" t="inlineStr">
        <is>
          <t>Paste the generated answer below.</t>
        </is>
      </c>
      <c r="B15" s="3" t="n"/>
      <c r="C15" s="3" t="n"/>
      <c r="D15" s="3" t="n"/>
      <c r="E15" s="3" t="n"/>
      <c r="F15" s="3" t="n"/>
      <c r="G15" s="3" t="n"/>
      <c r="H15" s="3" t="n"/>
      <c r="I15" s="3" t="n"/>
      <c r="J15" s="3" t="n"/>
    </row>
    <row r="16" ht="90" customHeight="1">
      <c r="A16" s="3" t="inlineStr"/>
      <c r="B16" s="3" t="n"/>
      <c r="C16" s="3" t="n"/>
      <c r="D16" s="3" t="n"/>
      <c r="E16" s="3" t="n"/>
      <c r="F16" s="3" t="n"/>
      <c r="G16" s="3" t="n"/>
      <c r="H16" s="3" t="n"/>
      <c r="I16" s="3" t="n"/>
      <c r="J16" s="3" t="n"/>
    </row>
    <row r="17" ht="30" customHeight="1">
      <c r="A17" s="3" t="n"/>
      <c r="B17" s="3" t="n"/>
      <c r="C17" s="3" t="n"/>
      <c r="D17" s="3" t="n"/>
      <c r="E17" s="3" t="n"/>
      <c r="F17" s="3" t="n"/>
      <c r="G17" s="3" t="n"/>
      <c r="H17" s="3" t="n"/>
      <c r="I17" s="3" t="n"/>
      <c r="J17" s="3" t="n"/>
    </row>
    <row r="18" ht="30" customHeight="1">
      <c r="A18" s="3" t="n"/>
      <c r="B18" s="3" t="n"/>
      <c r="C18" s="3" t="n"/>
      <c r="D18" s="3" t="n"/>
      <c r="E18" s="3" t="n"/>
      <c r="F18" s="3" t="n"/>
      <c r="G18" s="3" t="n"/>
      <c r="H18" s="3" t="n"/>
      <c r="I18" s="3" t="n"/>
      <c r="J18" s="3" t="n"/>
    </row>
    <row r="19">
      <c r="A19" s="9" t="inlineStr">
        <is>
          <t>Run ID</t>
        </is>
      </c>
      <c r="B19" s="3" t="inlineStr"/>
      <c r="C19" s="9" t="inlineStr">
        <is>
          <t>Run date</t>
        </is>
      </c>
      <c r="D19" s="3" t="inlineStr"/>
      <c r="E19" s="9" t="inlineStr">
        <is>
          <t>Model / prompt version</t>
        </is>
      </c>
      <c r="F19" s="3" t="inlineStr"/>
      <c r="G19" s="9" t="inlineStr">
        <is>
          <t>Corpus snapshot</t>
        </is>
      </c>
      <c r="H19" s="3" t="inlineStr"/>
      <c r="I19" s="3" t="n"/>
      <c r="J19" s="3" t="n"/>
    </row>
    <row r="20">
      <c r="A20" s="8" t="inlineStr">
        <is>
          <t>Retrieval set review</t>
        </is>
      </c>
      <c r="B20" s="3" t="n"/>
      <c r="C20" s="3" t="n"/>
      <c r="D20" s="3" t="n"/>
      <c r="E20" s="3" t="n"/>
      <c r="F20" s="3" t="n"/>
      <c r="G20" s="3" t="n"/>
      <c r="H20" s="3" t="n"/>
      <c r="I20" s="3" t="n"/>
      <c r="J20" s="3" t="n"/>
    </row>
    <row r="21">
      <c r="A21" s="11" t="inlineStr">
        <is>
          <t>Rank</t>
        </is>
      </c>
      <c r="B21" s="11" t="inlineStr">
        <is>
          <t>Retrieved source</t>
        </is>
      </c>
      <c r="C21" s="11" t="inlineStr">
        <is>
          <t>Source type</t>
        </is>
      </c>
      <c r="D21" s="11" t="inlineStr">
        <is>
          <t>Jurisdiction</t>
        </is>
      </c>
      <c r="E21" s="11" t="inlineStr">
        <is>
          <t>URL / Document ID</t>
        </is>
      </c>
      <c r="F21" s="11" t="inlineStr">
        <is>
          <t>Returned by engine?</t>
        </is>
      </c>
      <c r="G21" s="11" t="inlineStr">
        <is>
          <t>Required source?</t>
        </is>
      </c>
      <c r="H21" s="11" t="inlineStr">
        <is>
          <t>Trap?</t>
        </is>
      </c>
      <c r="I21" s="11" t="inlineStr">
        <is>
          <t>Expert verdict</t>
        </is>
      </c>
      <c r="J21" s="11" t="inlineStr">
        <is>
          <t>Notes</t>
        </is>
      </c>
    </row>
    <row r="22" ht="44" customHeight="1">
      <c r="A22" s="4" t="n">
        <v>1</v>
      </c>
      <c r="B22" s="4" t="n"/>
      <c r="C22" s="4" t="n"/>
      <c r="D22" s="4" t="n"/>
      <c r="E22" s="4" t="n"/>
      <c r="F22" s="4" t="n"/>
      <c r="G22" s="4" t="n"/>
      <c r="H22" s="4" t="n"/>
      <c r="I22" s="4" t="n"/>
      <c r="J22" s="4" t="n"/>
    </row>
    <row r="23" ht="44" customHeight="1">
      <c r="A23" s="4" t="n">
        <v>2</v>
      </c>
      <c r="B23" s="4" t="n"/>
      <c r="C23" s="4" t="n"/>
      <c r="D23" s="4" t="n"/>
      <c r="E23" s="4" t="n"/>
      <c r="F23" s="4" t="n"/>
      <c r="G23" s="4" t="n"/>
      <c r="H23" s="4" t="n"/>
      <c r="I23" s="4" t="n"/>
      <c r="J23" s="4" t="n"/>
    </row>
    <row r="24" ht="44" customHeight="1">
      <c r="A24" s="4" t="n">
        <v>3</v>
      </c>
      <c r="B24" s="4" t="n"/>
      <c r="C24" s="4" t="n"/>
      <c r="D24" s="4" t="n"/>
      <c r="E24" s="4" t="n"/>
      <c r="F24" s="4" t="n"/>
      <c r="G24" s="4" t="n"/>
      <c r="H24" s="4" t="n"/>
      <c r="I24" s="4" t="n"/>
      <c r="J24" s="4" t="n"/>
    </row>
    <row r="25" ht="44" customHeight="1">
      <c r="A25" s="4" t="n">
        <v>4</v>
      </c>
      <c r="B25" s="4" t="n"/>
      <c r="C25" s="4" t="n"/>
      <c r="D25" s="4" t="n"/>
      <c r="E25" s="4" t="n"/>
      <c r="F25" s="4" t="n"/>
      <c r="G25" s="4" t="n"/>
      <c r="H25" s="4" t="n"/>
      <c r="I25" s="4" t="n"/>
      <c r="J25" s="4" t="n"/>
    </row>
    <row r="26" ht="44" customHeight="1">
      <c r="A26" s="4" t="n">
        <v>5</v>
      </c>
      <c r="B26" s="4" t="n"/>
      <c r="C26" s="4" t="n"/>
      <c r="D26" s="4" t="n"/>
      <c r="E26" s="4" t="n"/>
      <c r="F26" s="4" t="n"/>
      <c r="G26" s="4" t="n"/>
      <c r="H26" s="4" t="n"/>
      <c r="I26" s="4" t="n"/>
      <c r="J26" s="4" t="n"/>
    </row>
    <row r="27" ht="44" customHeight="1">
      <c r="A27" s="4" t="n">
        <v>6</v>
      </c>
      <c r="B27" s="4" t="n"/>
      <c r="C27" s="4" t="n"/>
      <c r="D27" s="4" t="n"/>
      <c r="E27" s="4" t="n"/>
      <c r="F27" s="4" t="n"/>
      <c r="G27" s="4" t="n"/>
      <c r="H27" s="4" t="n"/>
      <c r="I27" s="4" t="n"/>
      <c r="J27" s="4" t="n"/>
    </row>
    <row r="28" ht="44" customHeight="1">
      <c r="A28" s="4" t="n">
        <v>7</v>
      </c>
      <c r="B28" s="4" t="n"/>
      <c r="C28" s="4" t="n"/>
      <c r="D28" s="4" t="n"/>
      <c r="E28" s="4" t="n"/>
      <c r="F28" s="4" t="n"/>
      <c r="G28" s="4" t="n"/>
      <c r="H28" s="4" t="n"/>
      <c r="I28" s="4" t="n"/>
      <c r="J28" s="4" t="n"/>
    </row>
    <row r="29" ht="44" customHeight="1">
      <c r="A29" s="4" t="n">
        <v>8</v>
      </c>
      <c r="B29" s="4" t="n"/>
      <c r="C29" s="4" t="n"/>
      <c r="D29" s="4" t="n"/>
      <c r="E29" s="4" t="n"/>
      <c r="F29" s="4" t="n"/>
      <c r="G29" s="4" t="n"/>
      <c r="H29" s="4" t="n"/>
      <c r="I29" s="4" t="n"/>
      <c r="J29" s="4" t="n"/>
    </row>
    <row r="30" ht="44" customHeight="1">
      <c r="A30" s="4" t="n">
        <v>9</v>
      </c>
      <c r="B30" s="4" t="n"/>
      <c r="C30" s="4" t="n"/>
      <c r="D30" s="4" t="n"/>
      <c r="E30" s="4" t="n"/>
      <c r="F30" s="4" t="n"/>
      <c r="G30" s="4" t="n"/>
      <c r="H30" s="4" t="n"/>
      <c r="I30" s="4" t="n"/>
      <c r="J30" s="4" t="n"/>
    </row>
    <row r="31" ht="44" customHeight="1">
      <c r="A31" s="4" t="n">
        <v>10</v>
      </c>
      <c r="B31" s="4" t="n"/>
      <c r="C31" s="4" t="n"/>
      <c r="D31" s="4" t="n"/>
      <c r="E31" s="4" t="n"/>
      <c r="F31" s="4" t="n"/>
      <c r="G31" s="4" t="n"/>
      <c r="H31" s="4" t="n"/>
      <c r="I31" s="4" t="n"/>
      <c r="J31" s="4" t="n"/>
    </row>
    <row r="32" ht="44" customHeight="1">
      <c r="A32" s="4" t="n">
        <v>11</v>
      </c>
      <c r="B32" s="4" t="n"/>
      <c r="C32" s="4" t="n"/>
      <c r="D32" s="4" t="n"/>
      <c r="E32" s="4" t="n"/>
      <c r="F32" s="4" t="n"/>
      <c r="G32" s="4" t="n"/>
      <c r="H32" s="4" t="n"/>
      <c r="I32" s="4" t="n"/>
      <c r="J32" s="4" t="n"/>
    </row>
    <row r="33" ht="44" customHeight="1">
      <c r="A33" s="4" t="n">
        <v>12</v>
      </c>
      <c r="B33" s="4" t="n"/>
      <c r="C33" s="4" t="n"/>
      <c r="D33" s="4" t="n"/>
      <c r="E33" s="4" t="n"/>
      <c r="F33" s="4" t="n"/>
      <c r="G33" s="4" t="n"/>
      <c r="H33" s="4" t="n"/>
      <c r="I33" s="4" t="n"/>
      <c r="J33" s="4" t="n"/>
    </row>
    <row r="34" ht="44" customHeight="1">
      <c r="A34" s="4" t="n">
        <v>13</v>
      </c>
      <c r="B34" s="4" t="n"/>
      <c r="C34" s="4" t="n"/>
      <c r="D34" s="4" t="n"/>
      <c r="E34" s="4" t="n"/>
      <c r="F34" s="4" t="n"/>
      <c r="G34" s="4" t="n"/>
      <c r="H34" s="4" t="n"/>
      <c r="I34" s="4" t="n"/>
      <c r="J34" s="4" t="n"/>
    </row>
    <row r="35" ht="44" customHeight="1">
      <c r="A35" s="4" t="n">
        <v>14</v>
      </c>
      <c r="B35" s="4" t="n"/>
      <c r="C35" s="4" t="n"/>
      <c r="D35" s="4" t="n"/>
      <c r="E35" s="4" t="n"/>
      <c r="F35" s="4" t="n"/>
      <c r="G35" s="4" t="n"/>
      <c r="H35" s="4" t="n"/>
      <c r="I35" s="4" t="n"/>
      <c r="J35" s="4" t="n"/>
    </row>
    <row r="36" ht="44" customHeight="1">
      <c r="A36" s="4" t="n">
        <v>15</v>
      </c>
      <c r="B36" s="4" t="n"/>
      <c r="C36" s="4" t="n"/>
      <c r="D36" s="4" t="n"/>
      <c r="E36" s="4" t="n"/>
      <c r="F36" s="4" t="n"/>
      <c r="G36" s="4" t="n"/>
      <c r="H36" s="4" t="n"/>
      <c r="I36" s="4" t="n"/>
      <c r="J36" s="4" t="n"/>
    </row>
    <row r="37">
      <c r="A37" s="3" t="n"/>
      <c r="B37" s="3" t="n"/>
      <c r="C37" s="3" t="n"/>
      <c r="D37" s="3" t="n"/>
      <c r="E37" s="3" t="n"/>
      <c r="F37" s="3" t="n"/>
      <c r="G37" s="3" t="n"/>
      <c r="H37" s="3" t="n"/>
      <c r="I37" s="3" t="n"/>
      <c r="J37" s="3" t="n"/>
    </row>
    <row r="38">
      <c r="A38" s="8" t="inlineStr">
        <is>
          <t>Claim-by-claim review</t>
        </is>
      </c>
      <c r="B38" s="3" t="n"/>
      <c r="C38" s="3" t="n"/>
      <c r="D38" s="3" t="n"/>
      <c r="E38" s="3" t="n"/>
      <c r="F38" s="3" t="n"/>
      <c r="G38" s="3" t="n"/>
      <c r="H38" s="3" t="n"/>
      <c r="I38" s="3" t="n"/>
      <c r="J38" s="3" t="n"/>
    </row>
    <row r="39">
      <c r="A39" s="11" t="inlineStr">
        <is>
          <t>Claim ID</t>
        </is>
      </c>
      <c r="B39" s="11" t="inlineStr">
        <is>
          <t>Claim from answer</t>
        </is>
      </c>
      <c r="C39" s="11" t="inlineStr">
        <is>
          <t>Citation used</t>
        </is>
      </c>
      <c r="D39" s="11" t="inlineStr">
        <is>
          <t>Expert verdict</t>
        </is>
      </c>
      <c r="E39" s="11" t="inlineStr">
        <is>
          <t>Issue type</t>
        </is>
      </c>
      <c r="F39" s="11" t="inlineStr">
        <is>
          <t>Cited passage / source note</t>
        </is>
      </c>
      <c r="G39" s="11" t="inlineStr">
        <is>
          <t>Required fix / comment</t>
        </is>
      </c>
      <c r="H39" s="11" t="inlineStr">
        <is>
          <t>Reviewer</t>
        </is>
      </c>
      <c r="I39" s="11" t="n"/>
      <c r="J39" s="11" t="n"/>
    </row>
    <row r="40" ht="54" customHeight="1">
      <c r="A40" s="4" t="n">
        <v>1</v>
      </c>
      <c r="B40" s="4" t="n"/>
      <c r="C40" s="4" t="n"/>
      <c r="D40" s="4" t="n"/>
      <c r="E40" s="4" t="n"/>
      <c r="F40" s="4" t="n"/>
      <c r="G40" s="4" t="n"/>
      <c r="H40" s="4" t="n"/>
      <c r="I40" s="3" t="n"/>
      <c r="J40" s="3" t="n"/>
    </row>
    <row r="41" ht="54" customHeight="1">
      <c r="A41" s="4" t="n">
        <v>2</v>
      </c>
      <c r="B41" s="4" t="n"/>
      <c r="C41" s="4" t="n"/>
      <c r="D41" s="4" t="n"/>
      <c r="E41" s="4" t="n"/>
      <c r="F41" s="4" t="n"/>
      <c r="G41" s="4" t="n"/>
      <c r="H41" s="4" t="n"/>
      <c r="I41" s="3" t="n"/>
      <c r="J41" s="3" t="n"/>
    </row>
    <row r="42" ht="54" customHeight="1">
      <c r="A42" s="4" t="n">
        <v>3</v>
      </c>
      <c r="B42" s="4" t="n"/>
      <c r="C42" s="4" t="n"/>
      <c r="D42" s="4" t="n"/>
      <c r="E42" s="4" t="n"/>
      <c r="F42" s="4" t="n"/>
      <c r="G42" s="4" t="n"/>
      <c r="H42" s="4" t="n"/>
      <c r="I42" s="3" t="n"/>
      <c r="J42" s="3" t="n"/>
    </row>
    <row r="43" ht="54" customHeight="1">
      <c r="A43" s="4" t="n">
        <v>4</v>
      </c>
      <c r="B43" s="4" t="n"/>
      <c r="C43" s="4" t="n"/>
      <c r="D43" s="4" t="n"/>
      <c r="E43" s="4" t="n"/>
      <c r="F43" s="4" t="n"/>
      <c r="G43" s="4" t="n"/>
      <c r="H43" s="4" t="n"/>
      <c r="I43" s="3" t="n"/>
      <c r="J43" s="3" t="n"/>
    </row>
    <row r="44" ht="54" customHeight="1">
      <c r="A44" s="4" t="n">
        <v>5</v>
      </c>
      <c r="B44" s="4" t="n"/>
      <c r="C44" s="4" t="n"/>
      <c r="D44" s="4" t="n"/>
      <c r="E44" s="4" t="n"/>
      <c r="F44" s="4" t="n"/>
      <c r="G44" s="4" t="n"/>
      <c r="H44" s="4" t="n"/>
      <c r="I44" s="3" t="n"/>
      <c r="J44" s="3" t="n"/>
    </row>
    <row r="45" ht="54" customHeight="1">
      <c r="A45" s="4" t="n">
        <v>6</v>
      </c>
      <c r="B45" s="4" t="n"/>
      <c r="C45" s="4" t="n"/>
      <c r="D45" s="4" t="n"/>
      <c r="E45" s="4" t="n"/>
      <c r="F45" s="4" t="n"/>
      <c r="G45" s="4" t="n"/>
      <c r="H45" s="4" t="n"/>
      <c r="I45" s="3" t="n"/>
      <c r="J45" s="3" t="n"/>
    </row>
    <row r="46" ht="54" customHeight="1">
      <c r="A46" s="4" t="n">
        <v>7</v>
      </c>
      <c r="B46" s="4" t="n"/>
      <c r="C46" s="4" t="n"/>
      <c r="D46" s="4" t="n"/>
      <c r="E46" s="4" t="n"/>
      <c r="F46" s="4" t="n"/>
      <c r="G46" s="4" t="n"/>
      <c r="H46" s="4" t="n"/>
      <c r="I46" s="3" t="n"/>
      <c r="J46" s="3" t="n"/>
    </row>
    <row r="47" ht="54" customHeight="1">
      <c r="A47" s="4" t="n">
        <v>8</v>
      </c>
      <c r="B47" s="4" t="n"/>
      <c r="C47" s="4" t="n"/>
      <c r="D47" s="4" t="n"/>
      <c r="E47" s="4" t="n"/>
      <c r="F47" s="4" t="n"/>
      <c r="G47" s="4" t="n"/>
      <c r="H47" s="4" t="n"/>
      <c r="I47" s="3" t="n"/>
      <c r="J47" s="3" t="n"/>
    </row>
    <row r="48" ht="54" customHeight="1">
      <c r="A48" s="4" t="n">
        <v>9</v>
      </c>
      <c r="B48" s="4" t="n"/>
      <c r="C48" s="4" t="n"/>
      <c r="D48" s="4" t="n"/>
      <c r="E48" s="4" t="n"/>
      <c r="F48" s="4" t="n"/>
      <c r="G48" s="4" t="n"/>
      <c r="H48" s="4" t="n"/>
      <c r="I48" s="3" t="n"/>
      <c r="J48" s="3" t="n"/>
    </row>
    <row r="49" ht="54" customHeight="1">
      <c r="A49" s="4" t="n">
        <v>10</v>
      </c>
      <c r="B49" s="4" t="n"/>
      <c r="C49" s="4" t="n"/>
      <c r="D49" s="4" t="n"/>
      <c r="E49" s="4" t="n"/>
      <c r="F49" s="4" t="n"/>
      <c r="G49" s="4" t="n"/>
      <c r="H49" s="4" t="n"/>
      <c r="I49" s="3" t="n"/>
      <c r="J49" s="3" t="n"/>
    </row>
    <row r="50" ht="54" customHeight="1">
      <c r="A50" s="4" t="n">
        <v>11</v>
      </c>
      <c r="B50" s="4" t="n"/>
      <c r="C50" s="4" t="n"/>
      <c r="D50" s="4" t="n"/>
      <c r="E50" s="4" t="n"/>
      <c r="F50" s="4" t="n"/>
      <c r="G50" s="4" t="n"/>
      <c r="H50" s="4" t="n"/>
      <c r="I50" s="3" t="n"/>
      <c r="J50" s="3" t="n"/>
    </row>
    <row r="51" ht="54" customHeight="1">
      <c r="A51" s="4" t="n">
        <v>12</v>
      </c>
      <c r="B51" s="4" t="n"/>
      <c r="C51" s="4" t="n"/>
      <c r="D51" s="4" t="n"/>
      <c r="E51" s="4" t="n"/>
      <c r="F51" s="4" t="n"/>
      <c r="G51" s="4" t="n"/>
      <c r="H51" s="4" t="n"/>
      <c r="I51" s="3" t="n"/>
      <c r="J51" s="3" t="n"/>
    </row>
    <row r="52" ht="54" customHeight="1">
      <c r="A52" s="4" t="n">
        <v>13</v>
      </c>
      <c r="B52" s="4" t="n"/>
      <c r="C52" s="4" t="n"/>
      <c r="D52" s="4" t="n"/>
      <c r="E52" s="4" t="n"/>
      <c r="F52" s="4" t="n"/>
      <c r="G52" s="4" t="n"/>
      <c r="H52" s="4" t="n"/>
      <c r="I52" s="3" t="n"/>
      <c r="J52" s="3" t="n"/>
    </row>
    <row r="53" ht="54" customHeight="1">
      <c r="A53" s="4" t="n">
        <v>14</v>
      </c>
      <c r="B53" s="4" t="n"/>
      <c r="C53" s="4" t="n"/>
      <c r="D53" s="4" t="n"/>
      <c r="E53" s="4" t="n"/>
      <c r="F53" s="4" t="n"/>
      <c r="G53" s="4" t="n"/>
      <c r="H53" s="4" t="n"/>
      <c r="I53" s="3" t="n"/>
      <c r="J53" s="3" t="n"/>
    </row>
    <row r="54" ht="54" customHeight="1">
      <c r="A54" s="4" t="n">
        <v>15</v>
      </c>
      <c r="B54" s="4" t="n"/>
      <c r="C54" s="4" t="n"/>
      <c r="D54" s="4" t="n"/>
      <c r="E54" s="4" t="n"/>
      <c r="F54" s="4" t="n"/>
      <c r="G54" s="4" t="n"/>
      <c r="H54" s="4" t="n"/>
      <c r="I54" s="3" t="n"/>
      <c r="J54" s="3" t="n"/>
    </row>
    <row r="55" ht="54" customHeight="1">
      <c r="A55" s="4" t="n">
        <v>16</v>
      </c>
      <c r="B55" s="4" t="n"/>
      <c r="C55" s="4" t="n"/>
      <c r="D55" s="4" t="n"/>
      <c r="E55" s="4" t="n"/>
      <c r="F55" s="4" t="n"/>
      <c r="G55" s="4" t="n"/>
      <c r="H55" s="4" t="n"/>
      <c r="I55" s="3" t="n"/>
      <c r="J55" s="3" t="n"/>
    </row>
    <row r="56" ht="54" customHeight="1">
      <c r="A56" s="4" t="n">
        <v>17</v>
      </c>
      <c r="B56" s="4" t="n"/>
      <c r="C56" s="4" t="n"/>
      <c r="D56" s="4" t="n"/>
      <c r="E56" s="4" t="n"/>
      <c r="F56" s="4" t="n"/>
      <c r="G56" s="4" t="n"/>
      <c r="H56" s="4" t="n"/>
      <c r="I56" s="3" t="n"/>
      <c r="J56" s="3" t="n"/>
    </row>
    <row r="57" ht="54" customHeight="1">
      <c r="A57" s="4" t="n">
        <v>18</v>
      </c>
      <c r="B57" s="4" t="n"/>
      <c r="C57" s="4" t="n"/>
      <c r="D57" s="4" t="n"/>
      <c r="E57" s="4" t="n"/>
      <c r="F57" s="4" t="n"/>
      <c r="G57" s="4" t="n"/>
      <c r="H57" s="4" t="n"/>
      <c r="I57" s="3" t="n"/>
      <c r="J57" s="3" t="n"/>
    </row>
    <row r="58" ht="54" customHeight="1">
      <c r="A58" s="4" t="n">
        <v>19</v>
      </c>
      <c r="B58" s="4" t="n"/>
      <c r="C58" s="4" t="n"/>
      <c r="D58" s="4" t="n"/>
      <c r="E58" s="4" t="n"/>
      <c r="F58" s="4" t="n"/>
      <c r="G58" s="4" t="n"/>
      <c r="H58" s="4" t="n"/>
      <c r="I58" s="3" t="n"/>
      <c r="J58" s="3" t="n"/>
    </row>
    <row r="59" ht="54" customHeight="1">
      <c r="A59" s="4" t="n">
        <v>20</v>
      </c>
      <c r="B59" s="4" t="n"/>
      <c r="C59" s="4" t="n"/>
      <c r="D59" s="4" t="n"/>
      <c r="E59" s="4" t="n"/>
      <c r="F59" s="4" t="n"/>
      <c r="G59" s="4" t="n"/>
      <c r="H59" s="4" t="n"/>
      <c r="I59" s="3" t="n"/>
      <c r="J59" s="3" t="n"/>
    </row>
    <row r="60">
      <c r="A60" s="3" t="n"/>
      <c r="B60" s="3" t="n"/>
      <c r="C60" s="3" t="n"/>
      <c r="D60" s="3" t="n"/>
      <c r="E60" s="3" t="n"/>
      <c r="F60" s="3" t="n"/>
      <c r="G60" s="3" t="n"/>
      <c r="H60" s="3" t="n"/>
      <c r="I60" s="3" t="n"/>
      <c r="J60" s="3" t="n"/>
    </row>
    <row r="61">
      <c r="A61" s="8" t="inlineStr">
        <is>
          <t>Final expert verdict</t>
        </is>
      </c>
      <c r="B61" s="3" t="n"/>
      <c r="C61" s="3" t="n"/>
      <c r="D61" s="3" t="n"/>
      <c r="E61" s="3" t="n"/>
      <c r="F61" s="3" t="n"/>
      <c r="G61" s="3" t="n"/>
      <c r="H61" s="3" t="n"/>
      <c r="I61" s="3" t="n"/>
      <c r="J61" s="3" t="n"/>
    </row>
    <row r="62">
      <c r="A62" s="12" t="inlineStr">
        <is>
          <t>Is the answer acceptable?</t>
        </is>
      </c>
      <c r="B62" s="4" t="inlineStr"/>
      <c r="C62" s="4" t="n"/>
      <c r="D62" s="4" t="n"/>
      <c r="E62" s="4" t="n"/>
      <c r="F62" s="4" t="n"/>
      <c r="G62" s="4" t="n"/>
      <c r="H62" s="4" t="n"/>
      <c r="I62" s="3" t="n"/>
      <c r="J62" s="3" t="n"/>
    </row>
    <row r="63" ht="54" customHeight="1">
      <c r="A63" s="12" t="inlineStr">
        <is>
          <t>Overall comment / required fixes</t>
        </is>
      </c>
      <c r="B63" s="4" t="n"/>
      <c r="C63" s="4" t="n"/>
      <c r="D63" s="4" t="n"/>
      <c r="E63" s="4" t="n"/>
      <c r="F63" s="4" t="n"/>
      <c r="G63" s="4" t="n"/>
      <c r="H63" s="4" t="n"/>
      <c r="I63" s="3" t="n"/>
      <c r="J63" s="3" t="n"/>
    </row>
    <row r="64">
      <c r="A64" s="4" t="n"/>
      <c r="B64" s="4" t="n"/>
      <c r="C64" s="4" t="n"/>
      <c r="D64" s="4" t="n"/>
      <c r="E64" s="4" t="n"/>
      <c r="F64" s="4" t="n"/>
      <c r="G64" s="4" t="n"/>
      <c r="H64" s="4" t="n"/>
      <c r="I64" s="3" t="n"/>
      <c r="J64" s="3" t="n"/>
    </row>
    <row r="65">
      <c r="A65" s="12" t="inlineStr">
        <is>
          <t>Missing key sources?</t>
        </is>
      </c>
      <c r="B65" s="4" t="n"/>
      <c r="C65" s="4" t="n"/>
      <c r="D65" s="4" t="n"/>
      <c r="E65" s="4" t="n"/>
      <c r="F65" s="4" t="n"/>
      <c r="G65" s="4" t="n"/>
      <c r="H65" s="4" t="n"/>
      <c r="I65" s="3" t="n"/>
      <c r="J65" s="3" t="n"/>
    </row>
    <row r="66">
      <c r="A66" s="12" t="inlineStr">
        <is>
          <t>Review completed?</t>
        </is>
      </c>
      <c r="B66" s="4" t="inlineStr"/>
      <c r="C66" s="4" t="n"/>
      <c r="D66" s="4" t="n"/>
      <c r="E66" s="4" t="n"/>
      <c r="F66" s="4" t="n"/>
      <c r="G66" s="4" t="n"/>
      <c r="H66" s="4" t="n"/>
      <c r="I66" s="3" t="n"/>
      <c r="J66" s="3" t="n"/>
    </row>
    <row r="67">
      <c r="A67" s="12" t="inlineStr">
        <is>
          <t>Reviewer</t>
        </is>
      </c>
      <c r="B67" s="4" t="n"/>
      <c r="C67" s="12" t="inlineStr">
        <is>
          <t>Review date</t>
        </is>
      </c>
      <c r="D67" s="5" t="inlineStr"/>
      <c r="E67" s="4" t="n"/>
      <c r="F67" s="4" t="n"/>
      <c r="G67" s="4" t="n"/>
      <c r="H67" s="4" t="n"/>
      <c r="I67" s="3" t="n"/>
      <c r="J67" s="3" t="n"/>
    </row>
    <row r="68">
      <c r="A68" s="3" t="n"/>
      <c r="B68" s="3" t="n"/>
      <c r="C68" s="3" t="n"/>
      <c r="D68" s="3" t="n"/>
      <c r="E68" s="3" t="n"/>
      <c r="F68" s="3" t="n"/>
      <c r="G68" s="3" t="n"/>
      <c r="H68" s="3" t="n"/>
      <c r="I68" s="3" t="n"/>
      <c r="J68" s="3" t="n"/>
    </row>
    <row r="69">
      <c r="A69" s="8" t="inlineStr">
        <is>
          <t>Original source notes</t>
        </is>
      </c>
      <c r="B69" s="3" t="n"/>
      <c r="C69" s="3" t="n"/>
      <c r="D69" s="3" t="n"/>
      <c r="E69" s="3" t="n"/>
      <c r="F69" s="3" t="n"/>
      <c r="G69" s="3" t="n"/>
      <c r="H69" s="3" t="n"/>
      <c r="I69" s="3" t="n"/>
      <c r="J69" s="3" t="n"/>
    </row>
    <row r="70">
      <c r="A70" s="12" t="inlineStr">
        <is>
          <t>WAB notes</t>
        </is>
      </c>
      <c r="B70" s="4" t="inlineStr"/>
      <c r="C70" s="4" t="n"/>
      <c r="D70" s="4" t="n"/>
      <c r="E70" s="4" t="n"/>
      <c r="F70" s="4" t="n"/>
      <c r="G70" s="4" t="n"/>
      <c r="H70" s="4" t="n"/>
      <c r="I70" s="3" t="n"/>
      <c r="J70" s="3" t="n"/>
    </row>
    <row r="71" ht="54" customHeight="1">
      <c r="A71" s="12" t="inlineStr">
        <is>
          <t>Reviewer notes from question approval</t>
        </is>
      </c>
      <c r="B71" s="4" t="inlineStr"/>
      <c r="C71" s="4" t="n"/>
      <c r="D71" s="4" t="n"/>
      <c r="E71" s="4" t="n"/>
      <c r="F71" s="4" t="n"/>
      <c r="G71" s="4" t="n"/>
      <c r="H71" s="4" t="n"/>
      <c r="I71" s="3" t="n"/>
      <c r="J71" s="3" t="n"/>
    </row>
    <row r="72">
      <c r="A72" s="4" t="n"/>
      <c r="B72" s="4" t="n"/>
      <c r="C72" s="4" t="n"/>
      <c r="D72" s="4" t="n"/>
      <c r="E72" s="4" t="n"/>
      <c r="F72" s="4" t="n"/>
      <c r="G72" s="4" t="n"/>
      <c r="H72" s="4" t="n"/>
      <c r="I72" s="3" t="n"/>
      <c r="J72" s="3" t="n"/>
    </row>
  </sheetData>
  <autoFilter ref="A21:J36"/>
  <mergeCells count="20">
    <mergeCell ref="B65:H65"/>
    <mergeCell ref="B71:H72"/>
    <mergeCell ref="B6:H6"/>
    <mergeCell ref="A20:J20"/>
    <mergeCell ref="A1:H1"/>
    <mergeCell ref="B5:H5"/>
    <mergeCell ref="A61:H61"/>
    <mergeCell ref="A69:H69"/>
    <mergeCell ref="B4:H4"/>
    <mergeCell ref="B62:H62"/>
    <mergeCell ref="B7:H7"/>
    <mergeCell ref="B66:H66"/>
    <mergeCell ref="A3:H3"/>
    <mergeCell ref="A16:H18"/>
    <mergeCell ref="B70:H70"/>
    <mergeCell ref="A14:H14"/>
    <mergeCell ref="B63:H64"/>
    <mergeCell ref="B8:H8"/>
    <mergeCell ref="B10:H12"/>
    <mergeCell ref="A38:H38"/>
  </mergeCells>
  <dataValidations count="9">
    <dataValidation sqref="C22:C36" showDropDown="0" showInputMessage="0" showErrorMessage="0" allowBlank="1" type="list">
      <formula1>=Lists!$F$2:$F$5</formula1>
    </dataValidation>
    <dataValidation sqref="F22:F36" showDropDown="0" showInputMessage="0" showErrorMessage="0" allowBlank="1" type="list">
      <formula1>=Lists!$G$2:$G$4</formula1>
    </dataValidation>
    <dataValidation sqref="G22:G36" showDropDown="0" showInputMessage="0" showErrorMessage="0" allowBlank="1" type="list">
      <formula1>=Lists!$G$2:$G$4</formula1>
    </dataValidation>
    <dataValidation sqref="H22:H36" showDropDown="0" showInputMessage="0" showErrorMessage="0" allowBlank="1" type="list">
      <formula1>=Lists!$G$2:$G$4</formula1>
    </dataValidation>
    <dataValidation sqref="I22:I36" showDropDown="0" showInputMessage="0" showErrorMessage="0" allowBlank="1" type="list">
      <formula1>=Lists!$H$2:$H$6</formula1>
    </dataValidation>
    <dataValidation sqref="D40:D59" showDropDown="0" showInputMessage="0" showErrorMessage="0" allowBlank="1" type="list">
      <formula1>=Lists!$D$2:$D$7</formula1>
    </dataValidation>
    <dataValidation sqref="E40:E59" showDropDown="0" showInputMessage="0" showErrorMessage="0" allowBlank="1" type="list">
      <formula1>=Lists!$E$2:$E$8</formula1>
    </dataValidation>
    <dataValidation sqref="B62" showDropDown="0" showInputMessage="0" showErrorMessage="0" allowBlank="1" type="list">
      <formula1>=Lists!$C$2:$C$4</formula1>
    </dataValidation>
    <dataValidation sqref="B66" showDropDown="0" showInputMessage="0" showErrorMessage="0" allowBlank="1" type="list">
      <formula1>=Lists!$A$2:$A$3</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J72"/>
  <sheetViews>
    <sheetView showGridLines="0" workbookViewId="0">
      <pane ySplit="21" topLeftCell="A22" activePane="bottomLeft" state="frozen"/>
      <selection pane="bottomLeft" activeCell="A1" sqref="A1"/>
    </sheetView>
  </sheetViews>
  <sheetFormatPr baseColWidth="8" defaultRowHeight="15"/>
  <cols>
    <col width="12" customWidth="1" min="1" max="1"/>
    <col width="34" customWidth="1" min="2" max="2"/>
    <col width="22" customWidth="1" min="3" max="3"/>
    <col width="18" customWidth="1" min="4" max="4"/>
    <col width="20" customWidth="1" min="5" max="5"/>
    <col width="30" customWidth="1" min="6" max="6"/>
    <col width="34" customWidth="1" min="7" max="7"/>
    <col width="18" customWidth="1" min="8" max="8"/>
    <col width="18" customWidth="1" min="9" max="9"/>
    <col width="30" customWidth="1" min="10" max="10"/>
  </cols>
  <sheetData>
    <row r="1" ht="28" customHeight="1">
      <c r="A1" s="6" t="inlineStr">
        <is>
          <t>Q03 — Expert Review</t>
        </is>
      </c>
      <c r="B1" s="3" t="n"/>
      <c r="C1" s="3" t="n"/>
      <c r="D1" s="3" t="n"/>
      <c r="E1" s="3" t="n"/>
      <c r="F1" s="3" t="n"/>
      <c r="G1" s="3" t="n"/>
      <c r="H1" s="3" t="n"/>
      <c r="I1" s="3" t="n"/>
      <c r="J1" s="3" t="n"/>
    </row>
    <row r="2">
      <c r="A2" s="3" t="n"/>
      <c r="B2" s="3" t="n"/>
      <c r="C2" s="3" t="n"/>
      <c r="D2" s="3" t="n"/>
      <c r="E2" s="3" t="n"/>
      <c r="F2" s="3" t="n"/>
      <c r="G2" s="3" t="n"/>
      <c r="H2" s="3" t="n"/>
      <c r="I2" s="3" t="n"/>
      <c r="J2" s="3" t="n"/>
    </row>
    <row r="3">
      <c r="A3" s="8" t="inlineStr">
        <is>
          <t>Question metadata</t>
        </is>
      </c>
      <c r="B3" s="3" t="n"/>
      <c r="C3" s="3" t="n"/>
      <c r="D3" s="3" t="n"/>
      <c r="E3" s="3" t="n"/>
      <c r="F3" s="3" t="n"/>
      <c r="G3" s="3" t="n"/>
      <c r="H3" s="3" t="n"/>
      <c r="I3" s="3" t="n"/>
      <c r="J3" s="3" t="n"/>
    </row>
    <row r="4">
      <c r="A4" s="9" t="inlineStr">
        <is>
          <t>Question ID</t>
        </is>
      </c>
      <c r="B4" s="3" t="n">
        <v>3</v>
      </c>
      <c r="C4" s="3" t="n"/>
      <c r="D4" s="3" t="n"/>
      <c r="E4" s="3" t="n"/>
      <c r="F4" s="3" t="n"/>
      <c r="G4" s="3" t="n"/>
      <c r="H4" s="3" t="n"/>
      <c r="I4" s="3" t="n"/>
      <c r="J4" s="3" t="n"/>
    </row>
    <row r="5">
      <c r="A5" s="9" t="inlineStr">
        <is>
          <t>Topic</t>
        </is>
      </c>
      <c r="B5" s="3" t="inlineStr">
        <is>
          <t>Food delivery — market boundary</t>
        </is>
      </c>
      <c r="C5" s="3" t="n"/>
      <c r="D5" s="3" t="n"/>
      <c r="E5" s="3" t="n"/>
      <c r="F5" s="3" t="n"/>
      <c r="G5" s="3" t="n"/>
      <c r="H5" s="3" t="n"/>
      <c r="I5" s="3" t="n"/>
      <c r="J5" s="3" t="n"/>
    </row>
    <row r="6">
      <c r="A6" s="9" t="inlineStr">
        <is>
          <t>Scope</t>
        </is>
      </c>
      <c r="B6" s="3" t="inlineStr">
        <is>
          <t>UK (ES colour)</t>
        </is>
      </c>
      <c r="C6" s="3" t="n"/>
      <c r="D6" s="3" t="n"/>
      <c r="E6" s="3" t="n"/>
      <c r="F6" s="3" t="n"/>
      <c r="G6" s="3" t="n"/>
      <c r="H6" s="3" t="n"/>
      <c r="I6" s="3" t="n"/>
      <c r="J6" s="3" t="n"/>
    </row>
    <row r="7">
      <c r="A7" s="9" t="inlineStr">
        <is>
          <t>Original reviewer</t>
        </is>
      </c>
      <c r="B7" s="3" t="inlineStr">
        <is>
          <t>Carolina</t>
        </is>
      </c>
      <c r="C7" s="3" t="n"/>
      <c r="D7" s="3" t="n"/>
      <c r="E7" s="3" t="n"/>
      <c r="F7" s="3" t="n"/>
      <c r="G7" s="3" t="n"/>
      <c r="H7" s="3" t="n"/>
      <c r="I7" s="3" t="n"/>
      <c r="J7" s="3" t="n"/>
    </row>
    <row r="8">
      <c r="A8" s="9" t="inlineStr">
        <is>
          <t>Original status</t>
        </is>
      </c>
      <c r="B8" s="3" t="inlineStr">
        <is>
          <t>Approved</t>
        </is>
      </c>
      <c r="C8" s="3" t="n"/>
      <c r="D8" s="3" t="n"/>
      <c r="E8" s="3" t="n"/>
      <c r="F8" s="3" t="n"/>
      <c r="G8" s="3" t="n"/>
      <c r="H8" s="3" t="n"/>
      <c r="I8" s="3" t="n"/>
      <c r="J8" s="3" t="n"/>
    </row>
    <row r="9">
      <c r="A9" s="3" t="n"/>
      <c r="B9" s="3" t="n"/>
      <c r="C9" s="3" t="n"/>
      <c r="D9" s="3" t="n"/>
      <c r="E9" s="3" t="n"/>
      <c r="F9" s="3" t="n"/>
      <c r="G9" s="3" t="n"/>
      <c r="H9" s="3" t="n"/>
      <c r="I9" s="3" t="n"/>
      <c r="J9" s="3" t="n"/>
    </row>
    <row r="10" ht="45" customHeight="1">
      <c r="A10" s="9" t="inlineStr">
        <is>
          <t>Question</t>
        </is>
      </c>
      <c r="B10" s="3" t="inlineStr">
        <is>
          <t>Grocery, quick commerce, and the market boundary — separate markets from restaurant meal delivery, or one broad on-demand delivery market?</t>
        </is>
      </c>
      <c r="C10" s="3" t="n"/>
      <c r="D10" s="3" t="n"/>
      <c r="E10" s="3" t="n"/>
      <c r="F10" s="3" t="n"/>
      <c r="G10" s="3" t="n"/>
      <c r="H10" s="3" t="n"/>
      <c r="I10" s="3" t="n"/>
      <c r="J10" s="3" t="n"/>
    </row>
    <row r="11">
      <c r="A11" s="3" t="n"/>
      <c r="B11" s="3" t="n"/>
      <c r="C11" s="3" t="n"/>
      <c r="D11" s="3" t="n"/>
      <c r="E11" s="3" t="n"/>
      <c r="F11" s="3" t="n"/>
      <c r="G11" s="3" t="n"/>
      <c r="H11" s="3" t="n"/>
      <c r="I11" s="3" t="n"/>
      <c r="J11" s="3" t="n"/>
    </row>
    <row r="12">
      <c r="A12" s="3" t="n"/>
      <c r="B12" s="3" t="n"/>
      <c r="C12" s="3" t="n"/>
      <c r="D12" s="3" t="n"/>
      <c r="E12" s="3" t="n"/>
      <c r="F12" s="3" t="n"/>
      <c r="G12" s="3" t="n"/>
      <c r="H12" s="3" t="n"/>
      <c r="I12" s="3" t="n"/>
      <c r="J12" s="3" t="n"/>
    </row>
    <row r="13">
      <c r="A13" s="3" t="n"/>
      <c r="B13" s="3" t="n"/>
      <c r="C13" s="3" t="n"/>
      <c r="D13" s="3" t="n"/>
      <c r="E13" s="3" t="n"/>
      <c r="F13" s="3" t="n"/>
      <c r="G13" s="3" t="n"/>
      <c r="H13" s="3" t="n"/>
      <c r="I13" s="3" t="n"/>
      <c r="J13" s="3" t="n"/>
    </row>
    <row r="14">
      <c r="A14" s="8" t="inlineStr">
        <is>
          <t>Generated answer</t>
        </is>
      </c>
      <c r="B14" s="3" t="n"/>
      <c r="C14" s="3" t="n"/>
      <c r="D14" s="3" t="n"/>
      <c r="E14" s="3" t="n"/>
      <c r="F14" s="3" t="n"/>
      <c r="G14" s="3" t="n"/>
      <c r="H14" s="3" t="n"/>
      <c r="I14" s="3" t="n"/>
      <c r="J14" s="3" t="n"/>
    </row>
    <row r="15">
      <c r="A15" s="10" t="inlineStr">
        <is>
          <t>Paste the generated answer below.</t>
        </is>
      </c>
      <c r="B15" s="3" t="n"/>
      <c r="C15" s="3" t="n"/>
      <c r="D15" s="3" t="n"/>
      <c r="E15" s="3" t="n"/>
      <c r="F15" s="3" t="n"/>
      <c r="G15" s="3" t="n"/>
      <c r="H15" s="3" t="n"/>
      <c r="I15" s="3" t="n"/>
      <c r="J15" s="3" t="n"/>
    </row>
    <row r="16" ht="90" customHeight="1">
      <c r="A16" s="3" t="inlineStr"/>
      <c r="B16" s="3" t="n"/>
      <c r="C16" s="3" t="n"/>
      <c r="D16" s="3" t="n"/>
      <c r="E16" s="3" t="n"/>
      <c r="F16" s="3" t="n"/>
      <c r="G16" s="3" t="n"/>
      <c r="H16" s="3" t="n"/>
      <c r="I16" s="3" t="n"/>
      <c r="J16" s="3" t="n"/>
    </row>
    <row r="17" ht="30" customHeight="1">
      <c r="A17" s="3" t="n"/>
      <c r="B17" s="3" t="n"/>
      <c r="C17" s="3" t="n"/>
      <c r="D17" s="3" t="n"/>
      <c r="E17" s="3" t="n"/>
      <c r="F17" s="3" t="n"/>
      <c r="G17" s="3" t="n"/>
      <c r="H17" s="3" t="n"/>
      <c r="I17" s="3" t="n"/>
      <c r="J17" s="3" t="n"/>
    </row>
    <row r="18" ht="30" customHeight="1">
      <c r="A18" s="3" t="n"/>
      <c r="B18" s="3" t="n"/>
      <c r="C18" s="3" t="n"/>
      <c r="D18" s="3" t="n"/>
      <c r="E18" s="3" t="n"/>
      <c r="F18" s="3" t="n"/>
      <c r="G18" s="3" t="n"/>
      <c r="H18" s="3" t="n"/>
      <c r="I18" s="3" t="n"/>
      <c r="J18" s="3" t="n"/>
    </row>
    <row r="19">
      <c r="A19" s="9" t="inlineStr">
        <is>
          <t>Run ID</t>
        </is>
      </c>
      <c r="B19" s="3" t="inlineStr"/>
      <c r="C19" s="9" t="inlineStr">
        <is>
          <t>Run date</t>
        </is>
      </c>
      <c r="D19" s="3" t="inlineStr"/>
      <c r="E19" s="9" t="inlineStr">
        <is>
          <t>Model / prompt version</t>
        </is>
      </c>
      <c r="F19" s="3" t="inlineStr"/>
      <c r="G19" s="9" t="inlineStr">
        <is>
          <t>Corpus snapshot</t>
        </is>
      </c>
      <c r="H19" s="3" t="inlineStr"/>
      <c r="I19" s="3" t="n"/>
      <c r="J19" s="3" t="n"/>
    </row>
    <row r="20">
      <c r="A20" s="8" t="inlineStr">
        <is>
          <t>Retrieval set review</t>
        </is>
      </c>
      <c r="B20" s="3" t="n"/>
      <c r="C20" s="3" t="n"/>
      <c r="D20" s="3" t="n"/>
      <c r="E20" s="3" t="n"/>
      <c r="F20" s="3" t="n"/>
      <c r="G20" s="3" t="n"/>
      <c r="H20" s="3" t="n"/>
      <c r="I20" s="3" t="n"/>
      <c r="J20" s="3" t="n"/>
    </row>
    <row r="21">
      <c r="A21" s="11" t="inlineStr">
        <is>
          <t>Rank</t>
        </is>
      </c>
      <c r="B21" s="11" t="inlineStr">
        <is>
          <t>Retrieved source</t>
        </is>
      </c>
      <c r="C21" s="11" t="inlineStr">
        <is>
          <t>Source type</t>
        </is>
      </c>
      <c r="D21" s="11" t="inlineStr">
        <is>
          <t>Jurisdiction</t>
        </is>
      </c>
      <c r="E21" s="11" t="inlineStr">
        <is>
          <t>URL / Document ID</t>
        </is>
      </c>
      <c r="F21" s="11" t="inlineStr">
        <is>
          <t>Returned by engine?</t>
        </is>
      </c>
      <c r="G21" s="11" t="inlineStr">
        <is>
          <t>Required source?</t>
        </is>
      </c>
      <c r="H21" s="11" t="inlineStr">
        <is>
          <t>Trap?</t>
        </is>
      </c>
      <c r="I21" s="11" t="inlineStr">
        <is>
          <t>Expert verdict</t>
        </is>
      </c>
      <c r="J21" s="11" t="inlineStr">
        <is>
          <t>Notes</t>
        </is>
      </c>
    </row>
    <row r="22" ht="44" customHeight="1">
      <c r="A22" s="4" t="n">
        <v>1</v>
      </c>
      <c r="B22" s="4" t="n"/>
      <c r="C22" s="4" t="n"/>
      <c r="D22" s="4" t="n"/>
      <c r="E22" s="4" t="n"/>
      <c r="F22" s="4" t="n"/>
      <c r="G22" s="4" t="n"/>
      <c r="H22" s="4" t="n"/>
      <c r="I22" s="4" t="n"/>
      <c r="J22" s="4" t="n"/>
    </row>
    <row r="23" ht="44" customHeight="1">
      <c r="A23" s="4" t="n">
        <v>2</v>
      </c>
      <c r="B23" s="4" t="n"/>
      <c r="C23" s="4" t="n"/>
      <c r="D23" s="4" t="n"/>
      <c r="E23" s="4" t="n"/>
      <c r="F23" s="4" t="n"/>
      <c r="G23" s="4" t="n"/>
      <c r="H23" s="4" t="n"/>
      <c r="I23" s="4" t="n"/>
      <c r="J23" s="4" t="n"/>
    </row>
    <row r="24" ht="44" customHeight="1">
      <c r="A24" s="4" t="n">
        <v>3</v>
      </c>
      <c r="B24" s="4" t="n"/>
      <c r="C24" s="4" t="n"/>
      <c r="D24" s="4" t="n"/>
      <c r="E24" s="4" t="n"/>
      <c r="F24" s="4" t="n"/>
      <c r="G24" s="4" t="n"/>
      <c r="H24" s="4" t="n"/>
      <c r="I24" s="4" t="n"/>
      <c r="J24" s="4" t="n"/>
    </row>
    <row r="25" ht="44" customHeight="1">
      <c r="A25" s="4" t="n">
        <v>4</v>
      </c>
      <c r="B25" s="4" t="n"/>
      <c r="C25" s="4" t="n"/>
      <c r="D25" s="4" t="n"/>
      <c r="E25" s="4" t="n"/>
      <c r="F25" s="4" t="n"/>
      <c r="G25" s="4" t="n"/>
      <c r="H25" s="4" t="n"/>
      <c r="I25" s="4" t="n"/>
      <c r="J25" s="4" t="n"/>
    </row>
    <row r="26" ht="44" customHeight="1">
      <c r="A26" s="4" t="n">
        <v>5</v>
      </c>
      <c r="B26" s="4" t="n"/>
      <c r="C26" s="4" t="n"/>
      <c r="D26" s="4" t="n"/>
      <c r="E26" s="4" t="n"/>
      <c r="F26" s="4" t="n"/>
      <c r="G26" s="4" t="n"/>
      <c r="H26" s="4" t="n"/>
      <c r="I26" s="4" t="n"/>
      <c r="J26" s="4" t="n"/>
    </row>
    <row r="27" ht="44" customHeight="1">
      <c r="A27" s="4" t="n">
        <v>6</v>
      </c>
      <c r="B27" s="4" t="n"/>
      <c r="C27" s="4" t="n"/>
      <c r="D27" s="4" t="n"/>
      <c r="E27" s="4" t="n"/>
      <c r="F27" s="4" t="n"/>
      <c r="G27" s="4" t="n"/>
      <c r="H27" s="4" t="n"/>
      <c r="I27" s="4" t="n"/>
      <c r="J27" s="4" t="n"/>
    </row>
    <row r="28" ht="44" customHeight="1">
      <c r="A28" s="4" t="n">
        <v>7</v>
      </c>
      <c r="B28" s="4" t="n"/>
      <c r="C28" s="4" t="n"/>
      <c r="D28" s="4" t="n"/>
      <c r="E28" s="4" t="n"/>
      <c r="F28" s="4" t="n"/>
      <c r="G28" s="4" t="n"/>
      <c r="H28" s="4" t="n"/>
      <c r="I28" s="4" t="n"/>
      <c r="J28" s="4" t="n"/>
    </row>
    <row r="29" ht="44" customHeight="1">
      <c r="A29" s="4" t="n">
        <v>8</v>
      </c>
      <c r="B29" s="4" t="n"/>
      <c r="C29" s="4" t="n"/>
      <c r="D29" s="4" t="n"/>
      <c r="E29" s="4" t="n"/>
      <c r="F29" s="4" t="n"/>
      <c r="G29" s="4" t="n"/>
      <c r="H29" s="4" t="n"/>
      <c r="I29" s="4" t="n"/>
      <c r="J29" s="4" t="n"/>
    </row>
    <row r="30" ht="44" customHeight="1">
      <c r="A30" s="4" t="n">
        <v>9</v>
      </c>
      <c r="B30" s="4" t="n"/>
      <c r="C30" s="4" t="n"/>
      <c r="D30" s="4" t="n"/>
      <c r="E30" s="4" t="n"/>
      <c r="F30" s="4" t="n"/>
      <c r="G30" s="4" t="n"/>
      <c r="H30" s="4" t="n"/>
      <c r="I30" s="4" t="n"/>
      <c r="J30" s="4" t="n"/>
    </row>
    <row r="31" ht="44" customHeight="1">
      <c r="A31" s="4" t="n">
        <v>10</v>
      </c>
      <c r="B31" s="4" t="n"/>
      <c r="C31" s="4" t="n"/>
      <c r="D31" s="4" t="n"/>
      <c r="E31" s="4" t="n"/>
      <c r="F31" s="4" t="n"/>
      <c r="G31" s="4" t="n"/>
      <c r="H31" s="4" t="n"/>
      <c r="I31" s="4" t="n"/>
      <c r="J31" s="4" t="n"/>
    </row>
    <row r="32" ht="44" customHeight="1">
      <c r="A32" s="4" t="n">
        <v>11</v>
      </c>
      <c r="B32" s="4" t="n"/>
      <c r="C32" s="4" t="n"/>
      <c r="D32" s="4" t="n"/>
      <c r="E32" s="4" t="n"/>
      <c r="F32" s="4" t="n"/>
      <c r="G32" s="4" t="n"/>
      <c r="H32" s="4" t="n"/>
      <c r="I32" s="4" t="n"/>
      <c r="J32" s="4" t="n"/>
    </row>
    <row r="33" ht="44" customHeight="1">
      <c r="A33" s="4" t="n">
        <v>12</v>
      </c>
      <c r="B33" s="4" t="n"/>
      <c r="C33" s="4" t="n"/>
      <c r="D33" s="4" t="n"/>
      <c r="E33" s="4" t="n"/>
      <c r="F33" s="4" t="n"/>
      <c r="G33" s="4" t="n"/>
      <c r="H33" s="4" t="n"/>
      <c r="I33" s="4" t="n"/>
      <c r="J33" s="4" t="n"/>
    </row>
    <row r="34" ht="44" customHeight="1">
      <c r="A34" s="4" t="n">
        <v>13</v>
      </c>
      <c r="B34" s="4" t="n"/>
      <c r="C34" s="4" t="n"/>
      <c r="D34" s="4" t="n"/>
      <c r="E34" s="4" t="n"/>
      <c r="F34" s="4" t="n"/>
      <c r="G34" s="4" t="n"/>
      <c r="H34" s="4" t="n"/>
      <c r="I34" s="4" t="n"/>
      <c r="J34" s="4" t="n"/>
    </row>
    <row r="35" ht="44" customHeight="1">
      <c r="A35" s="4" t="n">
        <v>14</v>
      </c>
      <c r="B35" s="4" t="n"/>
      <c r="C35" s="4" t="n"/>
      <c r="D35" s="4" t="n"/>
      <c r="E35" s="4" t="n"/>
      <c r="F35" s="4" t="n"/>
      <c r="G35" s="4" t="n"/>
      <c r="H35" s="4" t="n"/>
      <c r="I35" s="4" t="n"/>
      <c r="J35" s="4" t="n"/>
    </row>
    <row r="36" ht="44" customHeight="1">
      <c r="A36" s="4" t="n">
        <v>15</v>
      </c>
      <c r="B36" s="4" t="n"/>
      <c r="C36" s="4" t="n"/>
      <c r="D36" s="4" t="n"/>
      <c r="E36" s="4" t="n"/>
      <c r="F36" s="4" t="n"/>
      <c r="G36" s="4" t="n"/>
      <c r="H36" s="4" t="n"/>
      <c r="I36" s="4" t="n"/>
      <c r="J36" s="4" t="n"/>
    </row>
    <row r="37">
      <c r="A37" s="3" t="n"/>
      <c r="B37" s="3" t="n"/>
      <c r="C37" s="3" t="n"/>
      <c r="D37" s="3" t="n"/>
      <c r="E37" s="3" t="n"/>
      <c r="F37" s="3" t="n"/>
      <c r="G37" s="3" t="n"/>
      <c r="H37" s="3" t="n"/>
      <c r="I37" s="3" t="n"/>
      <c r="J37" s="3" t="n"/>
    </row>
    <row r="38">
      <c r="A38" s="8" t="inlineStr">
        <is>
          <t>Claim-by-claim review</t>
        </is>
      </c>
      <c r="B38" s="3" t="n"/>
      <c r="C38" s="3" t="n"/>
      <c r="D38" s="3" t="n"/>
      <c r="E38" s="3" t="n"/>
      <c r="F38" s="3" t="n"/>
      <c r="G38" s="3" t="n"/>
      <c r="H38" s="3" t="n"/>
      <c r="I38" s="3" t="n"/>
      <c r="J38" s="3" t="n"/>
    </row>
    <row r="39">
      <c r="A39" s="11" t="inlineStr">
        <is>
          <t>Claim ID</t>
        </is>
      </c>
      <c r="B39" s="11" t="inlineStr">
        <is>
          <t>Claim from answer</t>
        </is>
      </c>
      <c r="C39" s="11" t="inlineStr">
        <is>
          <t>Citation used</t>
        </is>
      </c>
      <c r="D39" s="11" t="inlineStr">
        <is>
          <t>Expert verdict</t>
        </is>
      </c>
      <c r="E39" s="11" t="inlineStr">
        <is>
          <t>Issue type</t>
        </is>
      </c>
      <c r="F39" s="11" t="inlineStr">
        <is>
          <t>Cited passage / source note</t>
        </is>
      </c>
      <c r="G39" s="11" t="inlineStr">
        <is>
          <t>Required fix / comment</t>
        </is>
      </c>
      <c r="H39" s="11" t="inlineStr">
        <is>
          <t>Reviewer</t>
        </is>
      </c>
      <c r="I39" s="11" t="n"/>
      <c r="J39" s="11" t="n"/>
    </row>
    <row r="40" ht="54" customHeight="1">
      <c r="A40" s="4" t="n">
        <v>1</v>
      </c>
      <c r="B40" s="4" t="n"/>
      <c r="C40" s="4" t="n"/>
      <c r="D40" s="4" t="n"/>
      <c r="E40" s="4" t="n"/>
      <c r="F40" s="4" t="n"/>
      <c r="G40" s="4" t="n"/>
      <c r="H40" s="4" t="n"/>
      <c r="I40" s="3" t="n"/>
      <c r="J40" s="3" t="n"/>
    </row>
    <row r="41" ht="54" customHeight="1">
      <c r="A41" s="4" t="n">
        <v>2</v>
      </c>
      <c r="B41" s="4" t="n"/>
      <c r="C41" s="4" t="n"/>
      <c r="D41" s="4" t="n"/>
      <c r="E41" s="4" t="n"/>
      <c r="F41" s="4" t="n"/>
      <c r="G41" s="4" t="n"/>
      <c r="H41" s="4" t="n"/>
      <c r="I41" s="3" t="n"/>
      <c r="J41" s="3" t="n"/>
    </row>
    <row r="42" ht="54" customHeight="1">
      <c r="A42" s="4" t="n">
        <v>3</v>
      </c>
      <c r="B42" s="4" t="n"/>
      <c r="C42" s="4" t="n"/>
      <c r="D42" s="4" t="n"/>
      <c r="E42" s="4" t="n"/>
      <c r="F42" s="4" t="n"/>
      <c r="G42" s="4" t="n"/>
      <c r="H42" s="4" t="n"/>
      <c r="I42" s="3" t="n"/>
      <c r="J42" s="3" t="n"/>
    </row>
    <row r="43" ht="54" customHeight="1">
      <c r="A43" s="4" t="n">
        <v>4</v>
      </c>
      <c r="B43" s="4" t="n"/>
      <c r="C43" s="4" t="n"/>
      <c r="D43" s="4" t="n"/>
      <c r="E43" s="4" t="n"/>
      <c r="F43" s="4" t="n"/>
      <c r="G43" s="4" t="n"/>
      <c r="H43" s="4" t="n"/>
      <c r="I43" s="3" t="n"/>
      <c r="J43" s="3" t="n"/>
    </row>
    <row r="44" ht="54" customHeight="1">
      <c r="A44" s="4" t="n">
        <v>5</v>
      </c>
      <c r="B44" s="4" t="n"/>
      <c r="C44" s="4" t="n"/>
      <c r="D44" s="4" t="n"/>
      <c r="E44" s="4" t="n"/>
      <c r="F44" s="4" t="n"/>
      <c r="G44" s="4" t="n"/>
      <c r="H44" s="4" t="n"/>
      <c r="I44" s="3" t="n"/>
      <c r="J44" s="3" t="n"/>
    </row>
    <row r="45" ht="54" customHeight="1">
      <c r="A45" s="4" t="n">
        <v>6</v>
      </c>
      <c r="B45" s="4" t="n"/>
      <c r="C45" s="4" t="n"/>
      <c r="D45" s="4" t="n"/>
      <c r="E45" s="4" t="n"/>
      <c r="F45" s="4" t="n"/>
      <c r="G45" s="4" t="n"/>
      <c r="H45" s="4" t="n"/>
      <c r="I45" s="3" t="n"/>
      <c r="J45" s="3" t="n"/>
    </row>
    <row r="46" ht="54" customHeight="1">
      <c r="A46" s="4" t="n">
        <v>7</v>
      </c>
      <c r="B46" s="4" t="n"/>
      <c r="C46" s="4" t="n"/>
      <c r="D46" s="4" t="n"/>
      <c r="E46" s="4" t="n"/>
      <c r="F46" s="4" t="n"/>
      <c r="G46" s="4" t="n"/>
      <c r="H46" s="4" t="n"/>
      <c r="I46" s="3" t="n"/>
      <c r="J46" s="3" t="n"/>
    </row>
    <row r="47" ht="54" customHeight="1">
      <c r="A47" s="4" t="n">
        <v>8</v>
      </c>
      <c r="B47" s="4" t="n"/>
      <c r="C47" s="4" t="n"/>
      <c r="D47" s="4" t="n"/>
      <c r="E47" s="4" t="n"/>
      <c r="F47" s="4" t="n"/>
      <c r="G47" s="4" t="n"/>
      <c r="H47" s="4" t="n"/>
      <c r="I47" s="3" t="n"/>
      <c r="J47" s="3" t="n"/>
    </row>
    <row r="48" ht="54" customHeight="1">
      <c r="A48" s="4" t="n">
        <v>9</v>
      </c>
      <c r="B48" s="4" t="n"/>
      <c r="C48" s="4" t="n"/>
      <c r="D48" s="4" t="n"/>
      <c r="E48" s="4" t="n"/>
      <c r="F48" s="4" t="n"/>
      <c r="G48" s="4" t="n"/>
      <c r="H48" s="4" t="n"/>
      <c r="I48" s="3" t="n"/>
      <c r="J48" s="3" t="n"/>
    </row>
    <row r="49" ht="54" customHeight="1">
      <c r="A49" s="4" t="n">
        <v>10</v>
      </c>
      <c r="B49" s="4" t="n"/>
      <c r="C49" s="4" t="n"/>
      <c r="D49" s="4" t="n"/>
      <c r="E49" s="4" t="n"/>
      <c r="F49" s="4" t="n"/>
      <c r="G49" s="4" t="n"/>
      <c r="H49" s="4" t="n"/>
      <c r="I49" s="3" t="n"/>
      <c r="J49" s="3" t="n"/>
    </row>
    <row r="50" ht="54" customHeight="1">
      <c r="A50" s="4" t="n">
        <v>11</v>
      </c>
      <c r="B50" s="4" t="n"/>
      <c r="C50" s="4" t="n"/>
      <c r="D50" s="4" t="n"/>
      <c r="E50" s="4" t="n"/>
      <c r="F50" s="4" t="n"/>
      <c r="G50" s="4" t="n"/>
      <c r="H50" s="4" t="n"/>
      <c r="I50" s="3" t="n"/>
      <c r="J50" s="3" t="n"/>
    </row>
    <row r="51" ht="54" customHeight="1">
      <c r="A51" s="4" t="n">
        <v>12</v>
      </c>
      <c r="B51" s="4" t="n"/>
      <c r="C51" s="4" t="n"/>
      <c r="D51" s="4" t="n"/>
      <c r="E51" s="4" t="n"/>
      <c r="F51" s="4" t="n"/>
      <c r="G51" s="4" t="n"/>
      <c r="H51" s="4" t="n"/>
      <c r="I51" s="3" t="n"/>
      <c r="J51" s="3" t="n"/>
    </row>
    <row r="52" ht="54" customHeight="1">
      <c r="A52" s="4" t="n">
        <v>13</v>
      </c>
      <c r="B52" s="4" t="n"/>
      <c r="C52" s="4" t="n"/>
      <c r="D52" s="4" t="n"/>
      <c r="E52" s="4" t="n"/>
      <c r="F52" s="4" t="n"/>
      <c r="G52" s="4" t="n"/>
      <c r="H52" s="4" t="n"/>
      <c r="I52" s="3" t="n"/>
      <c r="J52" s="3" t="n"/>
    </row>
    <row r="53" ht="54" customHeight="1">
      <c r="A53" s="4" t="n">
        <v>14</v>
      </c>
      <c r="B53" s="4" t="n"/>
      <c r="C53" s="4" t="n"/>
      <c r="D53" s="4" t="n"/>
      <c r="E53" s="4" t="n"/>
      <c r="F53" s="4" t="n"/>
      <c r="G53" s="4" t="n"/>
      <c r="H53" s="4" t="n"/>
      <c r="I53" s="3" t="n"/>
      <c r="J53" s="3" t="n"/>
    </row>
    <row r="54" ht="54" customHeight="1">
      <c r="A54" s="4" t="n">
        <v>15</v>
      </c>
      <c r="B54" s="4" t="n"/>
      <c r="C54" s="4" t="n"/>
      <c r="D54" s="4" t="n"/>
      <c r="E54" s="4" t="n"/>
      <c r="F54" s="4" t="n"/>
      <c r="G54" s="4" t="n"/>
      <c r="H54" s="4" t="n"/>
      <c r="I54" s="3" t="n"/>
      <c r="J54" s="3" t="n"/>
    </row>
    <row r="55" ht="54" customHeight="1">
      <c r="A55" s="4" t="n">
        <v>16</v>
      </c>
      <c r="B55" s="4" t="n"/>
      <c r="C55" s="4" t="n"/>
      <c r="D55" s="4" t="n"/>
      <c r="E55" s="4" t="n"/>
      <c r="F55" s="4" t="n"/>
      <c r="G55" s="4" t="n"/>
      <c r="H55" s="4" t="n"/>
      <c r="I55" s="3" t="n"/>
      <c r="J55" s="3" t="n"/>
    </row>
    <row r="56" ht="54" customHeight="1">
      <c r="A56" s="4" t="n">
        <v>17</v>
      </c>
      <c r="B56" s="4" t="n"/>
      <c r="C56" s="4" t="n"/>
      <c r="D56" s="4" t="n"/>
      <c r="E56" s="4" t="n"/>
      <c r="F56" s="4" t="n"/>
      <c r="G56" s="4" t="n"/>
      <c r="H56" s="4" t="n"/>
      <c r="I56" s="3" t="n"/>
      <c r="J56" s="3" t="n"/>
    </row>
    <row r="57" ht="54" customHeight="1">
      <c r="A57" s="4" t="n">
        <v>18</v>
      </c>
      <c r="B57" s="4" t="n"/>
      <c r="C57" s="4" t="n"/>
      <c r="D57" s="4" t="n"/>
      <c r="E57" s="4" t="n"/>
      <c r="F57" s="4" t="n"/>
      <c r="G57" s="4" t="n"/>
      <c r="H57" s="4" t="n"/>
      <c r="I57" s="3" t="n"/>
      <c r="J57" s="3" t="n"/>
    </row>
    <row r="58" ht="54" customHeight="1">
      <c r="A58" s="4" t="n">
        <v>19</v>
      </c>
      <c r="B58" s="4" t="n"/>
      <c r="C58" s="4" t="n"/>
      <c r="D58" s="4" t="n"/>
      <c r="E58" s="4" t="n"/>
      <c r="F58" s="4" t="n"/>
      <c r="G58" s="4" t="n"/>
      <c r="H58" s="4" t="n"/>
      <c r="I58" s="3" t="n"/>
      <c r="J58" s="3" t="n"/>
    </row>
    <row r="59" ht="54" customHeight="1">
      <c r="A59" s="4" t="n">
        <v>20</v>
      </c>
      <c r="B59" s="4" t="n"/>
      <c r="C59" s="4" t="n"/>
      <c r="D59" s="4" t="n"/>
      <c r="E59" s="4" t="n"/>
      <c r="F59" s="4" t="n"/>
      <c r="G59" s="4" t="n"/>
      <c r="H59" s="4" t="n"/>
      <c r="I59" s="3" t="n"/>
      <c r="J59" s="3" t="n"/>
    </row>
    <row r="60">
      <c r="A60" s="3" t="n"/>
      <c r="B60" s="3" t="n"/>
      <c r="C60" s="3" t="n"/>
      <c r="D60" s="3" t="n"/>
      <c r="E60" s="3" t="n"/>
      <c r="F60" s="3" t="n"/>
      <c r="G60" s="3" t="n"/>
      <c r="H60" s="3" t="n"/>
      <c r="I60" s="3" t="n"/>
      <c r="J60" s="3" t="n"/>
    </row>
    <row r="61">
      <c r="A61" s="8" t="inlineStr">
        <is>
          <t>Final expert verdict</t>
        </is>
      </c>
      <c r="B61" s="3" t="n"/>
      <c r="C61" s="3" t="n"/>
      <c r="D61" s="3" t="n"/>
      <c r="E61" s="3" t="n"/>
      <c r="F61" s="3" t="n"/>
      <c r="G61" s="3" t="n"/>
      <c r="H61" s="3" t="n"/>
      <c r="I61" s="3" t="n"/>
      <c r="J61" s="3" t="n"/>
    </row>
    <row r="62">
      <c r="A62" s="12" t="inlineStr">
        <is>
          <t>Is the answer acceptable?</t>
        </is>
      </c>
      <c r="B62" s="4" t="inlineStr"/>
      <c r="C62" s="4" t="n"/>
      <c r="D62" s="4" t="n"/>
      <c r="E62" s="4" t="n"/>
      <c r="F62" s="4" t="n"/>
      <c r="G62" s="4" t="n"/>
      <c r="H62" s="4" t="n"/>
      <c r="I62" s="3" t="n"/>
      <c r="J62" s="3" t="n"/>
    </row>
    <row r="63" ht="54" customHeight="1">
      <c r="A63" s="12" t="inlineStr">
        <is>
          <t>Overall comment / required fixes</t>
        </is>
      </c>
      <c r="B63" s="4" t="n"/>
      <c r="C63" s="4" t="n"/>
      <c r="D63" s="4" t="n"/>
      <c r="E63" s="4" t="n"/>
      <c r="F63" s="4" t="n"/>
      <c r="G63" s="4" t="n"/>
      <c r="H63" s="4" t="n"/>
      <c r="I63" s="3" t="n"/>
      <c r="J63" s="3" t="n"/>
    </row>
    <row r="64">
      <c r="A64" s="4" t="n"/>
      <c r="B64" s="4" t="n"/>
      <c r="C64" s="4" t="n"/>
      <c r="D64" s="4" t="n"/>
      <c r="E64" s="4" t="n"/>
      <c r="F64" s="4" t="n"/>
      <c r="G64" s="4" t="n"/>
      <c r="H64" s="4" t="n"/>
      <c r="I64" s="3" t="n"/>
      <c r="J64" s="3" t="n"/>
    </row>
    <row r="65">
      <c r="A65" s="12" t="inlineStr">
        <is>
          <t>Missing key sources?</t>
        </is>
      </c>
      <c r="B65" s="4" t="n"/>
      <c r="C65" s="4" t="n"/>
      <c r="D65" s="4" t="n"/>
      <c r="E65" s="4" t="n"/>
      <c r="F65" s="4" t="n"/>
      <c r="G65" s="4" t="n"/>
      <c r="H65" s="4" t="n"/>
      <c r="I65" s="3" t="n"/>
      <c r="J65" s="3" t="n"/>
    </row>
    <row r="66">
      <c r="A66" s="12" t="inlineStr">
        <is>
          <t>Review completed?</t>
        </is>
      </c>
      <c r="B66" s="4" t="inlineStr"/>
      <c r="C66" s="4" t="n"/>
      <c r="D66" s="4" t="n"/>
      <c r="E66" s="4" t="n"/>
      <c r="F66" s="4" t="n"/>
      <c r="G66" s="4" t="n"/>
      <c r="H66" s="4" t="n"/>
      <c r="I66" s="3" t="n"/>
      <c r="J66" s="3" t="n"/>
    </row>
    <row r="67">
      <c r="A67" s="12" t="inlineStr">
        <is>
          <t>Reviewer</t>
        </is>
      </c>
      <c r="B67" s="4" t="n"/>
      <c r="C67" s="12" t="inlineStr">
        <is>
          <t>Review date</t>
        </is>
      </c>
      <c r="D67" s="5" t="inlineStr"/>
      <c r="E67" s="4" t="n"/>
      <c r="F67" s="4" t="n"/>
      <c r="G67" s="4" t="n"/>
      <c r="H67" s="4" t="n"/>
      <c r="I67" s="3" t="n"/>
      <c r="J67" s="3" t="n"/>
    </row>
    <row r="68">
      <c r="A68" s="3" t="n"/>
      <c r="B68" s="3" t="n"/>
      <c r="C68" s="3" t="n"/>
      <c r="D68" s="3" t="n"/>
      <c r="E68" s="3" t="n"/>
      <c r="F68" s="3" t="n"/>
      <c r="G68" s="3" t="n"/>
      <c r="H68" s="3" t="n"/>
      <c r="I68" s="3" t="n"/>
      <c r="J68" s="3" t="n"/>
    </row>
    <row r="69">
      <c r="A69" s="8" t="inlineStr">
        <is>
          <t>Original source notes</t>
        </is>
      </c>
      <c r="B69" s="3" t="n"/>
      <c r="C69" s="3" t="n"/>
      <c r="D69" s="3" t="n"/>
      <c r="E69" s="3" t="n"/>
      <c r="F69" s="3" t="n"/>
      <c r="G69" s="3" t="n"/>
      <c r="H69" s="3" t="n"/>
      <c r="I69" s="3" t="n"/>
      <c r="J69" s="3" t="n"/>
    </row>
    <row r="70">
      <c r="A70" s="12" t="inlineStr">
        <is>
          <t>WAB notes</t>
        </is>
      </c>
      <c r="B70" s="4" t="inlineStr"/>
      <c r="C70" s="4" t="n"/>
      <c r="D70" s="4" t="n"/>
      <c r="E70" s="4" t="n"/>
      <c r="F70" s="4" t="n"/>
      <c r="G70" s="4" t="n"/>
      <c r="H70" s="4" t="n"/>
      <c r="I70" s="3" t="n"/>
      <c r="J70" s="3" t="n"/>
    </row>
    <row r="71" ht="54" customHeight="1">
      <c r="A71" s="12" t="inlineStr">
        <is>
          <t>Reviewer notes from question approval</t>
        </is>
      </c>
      <c r="B71" s="4" t="inlineStr"/>
      <c r="C71" s="4" t="n"/>
      <c r="D71" s="4" t="n"/>
      <c r="E71" s="4" t="n"/>
      <c r="F71" s="4" t="n"/>
      <c r="G71" s="4" t="n"/>
      <c r="H71" s="4" t="n"/>
      <c r="I71" s="3" t="n"/>
      <c r="J71" s="3" t="n"/>
    </row>
    <row r="72">
      <c r="A72" s="4" t="n"/>
      <c r="B72" s="4" t="n"/>
      <c r="C72" s="4" t="n"/>
      <c r="D72" s="4" t="n"/>
      <c r="E72" s="4" t="n"/>
      <c r="F72" s="4" t="n"/>
      <c r="G72" s="4" t="n"/>
      <c r="H72" s="4" t="n"/>
      <c r="I72" s="3" t="n"/>
      <c r="J72" s="3" t="n"/>
    </row>
  </sheetData>
  <autoFilter ref="A21:J36"/>
  <mergeCells count="20">
    <mergeCell ref="B65:H65"/>
    <mergeCell ref="B71:H72"/>
    <mergeCell ref="B6:H6"/>
    <mergeCell ref="A20:J20"/>
    <mergeCell ref="A1:H1"/>
    <mergeCell ref="B5:H5"/>
    <mergeCell ref="A61:H61"/>
    <mergeCell ref="A69:H69"/>
    <mergeCell ref="B4:H4"/>
    <mergeCell ref="B62:H62"/>
    <mergeCell ref="B7:H7"/>
    <mergeCell ref="B66:H66"/>
    <mergeCell ref="A3:H3"/>
    <mergeCell ref="A16:H18"/>
    <mergeCell ref="B70:H70"/>
    <mergeCell ref="A14:H14"/>
    <mergeCell ref="B63:H64"/>
    <mergeCell ref="B8:H8"/>
    <mergeCell ref="B10:H12"/>
    <mergeCell ref="A38:H38"/>
  </mergeCells>
  <dataValidations count="9">
    <dataValidation sqref="C22:C36" showDropDown="0" showInputMessage="0" showErrorMessage="0" allowBlank="1" type="list">
      <formula1>=Lists!$F$2:$F$5</formula1>
    </dataValidation>
    <dataValidation sqref="F22:F36" showDropDown="0" showInputMessage="0" showErrorMessage="0" allowBlank="1" type="list">
      <formula1>=Lists!$G$2:$G$4</formula1>
    </dataValidation>
    <dataValidation sqref="G22:G36" showDropDown="0" showInputMessage="0" showErrorMessage="0" allowBlank="1" type="list">
      <formula1>=Lists!$G$2:$G$4</formula1>
    </dataValidation>
    <dataValidation sqref="H22:H36" showDropDown="0" showInputMessage="0" showErrorMessage="0" allowBlank="1" type="list">
      <formula1>=Lists!$G$2:$G$4</formula1>
    </dataValidation>
    <dataValidation sqref="I22:I36" showDropDown="0" showInputMessage="0" showErrorMessage="0" allowBlank="1" type="list">
      <formula1>=Lists!$H$2:$H$6</formula1>
    </dataValidation>
    <dataValidation sqref="D40:D59" showDropDown="0" showInputMessage="0" showErrorMessage="0" allowBlank="1" type="list">
      <formula1>=Lists!$D$2:$D$7</formula1>
    </dataValidation>
    <dataValidation sqref="E40:E59" showDropDown="0" showInputMessage="0" showErrorMessage="0" allowBlank="1" type="list">
      <formula1>=Lists!$E$2:$E$8</formula1>
    </dataValidation>
    <dataValidation sqref="B62" showDropDown="0" showInputMessage="0" showErrorMessage="0" allowBlank="1" type="list">
      <formula1>=Lists!$C$2:$C$4</formula1>
    </dataValidation>
    <dataValidation sqref="B66" showDropDown="0" showInputMessage="0" showErrorMessage="0" allowBlank="1" type="list">
      <formula1>=Lists!$A$2:$A$3</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J72"/>
  <sheetViews>
    <sheetView showGridLines="0" workbookViewId="0">
      <pane ySplit="21" topLeftCell="A22" activePane="bottomLeft" state="frozen"/>
      <selection pane="bottomLeft" activeCell="A1" sqref="A1"/>
    </sheetView>
  </sheetViews>
  <sheetFormatPr baseColWidth="8" defaultRowHeight="15"/>
  <cols>
    <col width="12" customWidth="1" min="1" max="1"/>
    <col width="34" customWidth="1" min="2" max="2"/>
    <col width="22" customWidth="1" min="3" max="3"/>
    <col width="18" customWidth="1" min="4" max="4"/>
    <col width="20" customWidth="1" min="5" max="5"/>
    <col width="30" customWidth="1" min="6" max="6"/>
    <col width="34" customWidth="1" min="7" max="7"/>
    <col width="18" customWidth="1" min="8" max="8"/>
    <col width="18" customWidth="1" min="9" max="9"/>
    <col width="30" customWidth="1" min="10" max="10"/>
  </cols>
  <sheetData>
    <row r="1" ht="28" customHeight="1">
      <c r="A1" s="6" t="inlineStr">
        <is>
          <t>Q04 — Expert Review</t>
        </is>
      </c>
      <c r="B1" s="3" t="n"/>
      <c r="C1" s="3" t="n"/>
      <c r="D1" s="3" t="n"/>
      <c r="E1" s="3" t="n"/>
      <c r="F1" s="3" t="n"/>
      <c r="G1" s="3" t="n"/>
      <c r="H1" s="3" t="n"/>
      <c r="I1" s="3" t="n"/>
      <c r="J1" s="3" t="n"/>
    </row>
    <row r="2">
      <c r="A2" s="3" t="n"/>
      <c r="B2" s="3" t="n"/>
      <c r="C2" s="3" t="n"/>
      <c r="D2" s="3" t="n"/>
      <c r="E2" s="3" t="n"/>
      <c r="F2" s="3" t="n"/>
      <c r="G2" s="3" t="n"/>
      <c r="H2" s="3" t="n"/>
      <c r="I2" s="3" t="n"/>
      <c r="J2" s="3" t="n"/>
    </row>
    <row r="3">
      <c r="A3" s="8" t="inlineStr">
        <is>
          <t>Question metadata</t>
        </is>
      </c>
      <c r="B3" s="3" t="n"/>
      <c r="C3" s="3" t="n"/>
      <c r="D3" s="3" t="n"/>
      <c r="E3" s="3" t="n"/>
      <c r="F3" s="3" t="n"/>
      <c r="G3" s="3" t="n"/>
      <c r="H3" s="3" t="n"/>
      <c r="I3" s="3" t="n"/>
      <c r="J3" s="3" t="n"/>
    </row>
    <row r="4">
      <c r="A4" s="9" t="inlineStr">
        <is>
          <t>Question ID</t>
        </is>
      </c>
      <c r="B4" s="3" t="n">
        <v>4</v>
      </c>
      <c r="C4" s="3" t="n"/>
      <c r="D4" s="3" t="n"/>
      <c r="E4" s="3" t="n"/>
      <c r="F4" s="3" t="n"/>
      <c r="G4" s="3" t="n"/>
      <c r="H4" s="3" t="n"/>
      <c r="I4" s="3" t="n"/>
      <c r="J4" s="3" t="n"/>
    </row>
    <row r="5">
      <c r="A5" s="9" t="inlineStr">
        <is>
          <t>Topic</t>
        </is>
      </c>
      <c r="B5" s="3" t="inlineStr">
        <is>
          <t>Food delivery — failing-firm defence</t>
        </is>
      </c>
      <c r="C5" s="3" t="n"/>
      <c r="D5" s="3" t="n"/>
      <c r="E5" s="3" t="n"/>
      <c r="F5" s="3" t="n"/>
      <c r="G5" s="3" t="n"/>
      <c r="H5" s="3" t="n"/>
      <c r="I5" s="3" t="n"/>
      <c r="J5" s="3" t="n"/>
    </row>
    <row r="6">
      <c r="A6" s="9" t="inlineStr">
        <is>
          <t>Scope</t>
        </is>
      </c>
      <c r="B6" s="3" t="inlineStr">
        <is>
          <t>UK</t>
        </is>
      </c>
      <c r="C6" s="3" t="n"/>
      <c r="D6" s="3" t="n"/>
      <c r="E6" s="3" t="n"/>
      <c r="F6" s="3" t="n"/>
      <c r="G6" s="3" t="n"/>
      <c r="H6" s="3" t="n"/>
      <c r="I6" s="3" t="n"/>
      <c r="J6" s="3" t="n"/>
    </row>
    <row r="7">
      <c r="A7" s="9" t="inlineStr">
        <is>
          <t>Original reviewer</t>
        </is>
      </c>
      <c r="B7" s="3" t="inlineStr">
        <is>
          <t>Carolina</t>
        </is>
      </c>
      <c r="C7" s="3" t="n"/>
      <c r="D7" s="3" t="n"/>
      <c r="E7" s="3" t="n"/>
      <c r="F7" s="3" t="n"/>
      <c r="G7" s="3" t="n"/>
      <c r="H7" s="3" t="n"/>
      <c r="I7" s="3" t="n"/>
      <c r="J7" s="3" t="n"/>
    </row>
    <row r="8">
      <c r="A8" s="9" t="inlineStr">
        <is>
          <t>Original status</t>
        </is>
      </c>
      <c r="B8" s="3" t="inlineStr">
        <is>
          <t>Approved</t>
        </is>
      </c>
      <c r="C8" s="3" t="n"/>
      <c r="D8" s="3" t="n"/>
      <c r="E8" s="3" t="n"/>
      <c r="F8" s="3" t="n"/>
      <c r="G8" s="3" t="n"/>
      <c r="H8" s="3" t="n"/>
      <c r="I8" s="3" t="n"/>
      <c r="J8" s="3" t="n"/>
    </row>
    <row r="9">
      <c r="A9" s="3" t="n"/>
      <c r="B9" s="3" t="n"/>
      <c r="C9" s="3" t="n"/>
      <c r="D9" s="3" t="n"/>
      <c r="E9" s="3" t="n"/>
      <c r="F9" s="3" t="n"/>
      <c r="G9" s="3" t="n"/>
      <c r="H9" s="3" t="n"/>
      <c r="I9" s="3" t="n"/>
      <c r="J9" s="3" t="n"/>
    </row>
    <row r="10" ht="45" customHeight="1">
      <c r="A10" s="9" t="inlineStr">
        <is>
          <t>Question</t>
        </is>
      </c>
      <c r="B10" s="3" t="inlineStr">
        <is>
          <t>The failing-firm defence in food delivery — has an exiting-firm counterfactual ever been accepted, did it survive to the final decision, and on what evidence?</t>
        </is>
      </c>
      <c r="C10" s="3" t="n"/>
      <c r="D10" s="3" t="n"/>
      <c r="E10" s="3" t="n"/>
      <c r="F10" s="3" t="n"/>
      <c r="G10" s="3" t="n"/>
      <c r="H10" s="3" t="n"/>
      <c r="I10" s="3" t="n"/>
      <c r="J10" s="3" t="n"/>
    </row>
    <row r="11">
      <c r="A11" s="3" t="n"/>
      <c r="B11" s="3" t="n"/>
      <c r="C11" s="3" t="n"/>
      <c r="D11" s="3" t="n"/>
      <c r="E11" s="3" t="n"/>
      <c r="F11" s="3" t="n"/>
      <c r="G11" s="3" t="n"/>
      <c r="H11" s="3" t="n"/>
      <c r="I11" s="3" t="n"/>
      <c r="J11" s="3" t="n"/>
    </row>
    <row r="12">
      <c r="A12" s="3" t="n"/>
      <c r="B12" s="3" t="n"/>
      <c r="C12" s="3" t="n"/>
      <c r="D12" s="3" t="n"/>
      <c r="E12" s="3" t="n"/>
      <c r="F12" s="3" t="n"/>
      <c r="G12" s="3" t="n"/>
      <c r="H12" s="3" t="n"/>
      <c r="I12" s="3" t="n"/>
      <c r="J12" s="3" t="n"/>
    </row>
    <row r="13">
      <c r="A13" s="3" t="n"/>
      <c r="B13" s="3" t="n"/>
      <c r="C13" s="3" t="n"/>
      <c r="D13" s="3" t="n"/>
      <c r="E13" s="3" t="n"/>
      <c r="F13" s="3" t="n"/>
      <c r="G13" s="3" t="n"/>
      <c r="H13" s="3" t="n"/>
      <c r="I13" s="3" t="n"/>
      <c r="J13" s="3" t="n"/>
    </row>
    <row r="14">
      <c r="A14" s="8" t="inlineStr">
        <is>
          <t>Generated answer</t>
        </is>
      </c>
      <c r="B14" s="3" t="n"/>
      <c r="C14" s="3" t="n"/>
      <c r="D14" s="3" t="n"/>
      <c r="E14" s="3" t="n"/>
      <c r="F14" s="3" t="n"/>
      <c r="G14" s="3" t="n"/>
      <c r="H14" s="3" t="n"/>
      <c r="I14" s="3" t="n"/>
      <c r="J14" s="3" t="n"/>
    </row>
    <row r="15">
      <c r="A15" s="10" t="inlineStr">
        <is>
          <t>Paste the generated answer below.</t>
        </is>
      </c>
      <c r="B15" s="3" t="n"/>
      <c r="C15" s="3" t="n"/>
      <c r="D15" s="3" t="n"/>
      <c r="E15" s="3" t="n"/>
      <c r="F15" s="3" t="n"/>
      <c r="G15" s="3" t="n"/>
      <c r="H15" s="3" t="n"/>
      <c r="I15" s="3" t="n"/>
      <c r="J15" s="3" t="n"/>
    </row>
    <row r="16" ht="90" customHeight="1">
      <c r="A16" s="3" t="inlineStr"/>
      <c r="B16" s="3" t="n"/>
      <c r="C16" s="3" t="n"/>
      <c r="D16" s="3" t="n"/>
      <c r="E16" s="3" t="n"/>
      <c r="F16" s="3" t="n"/>
      <c r="G16" s="3" t="n"/>
      <c r="H16" s="3" t="n"/>
      <c r="I16" s="3" t="n"/>
      <c r="J16" s="3" t="n"/>
    </row>
    <row r="17" ht="30" customHeight="1">
      <c r="A17" s="3" t="n"/>
      <c r="B17" s="3" t="n"/>
      <c r="C17" s="3" t="n"/>
      <c r="D17" s="3" t="n"/>
      <c r="E17" s="3" t="n"/>
      <c r="F17" s="3" t="n"/>
      <c r="G17" s="3" t="n"/>
      <c r="H17" s="3" t="n"/>
      <c r="I17" s="3" t="n"/>
      <c r="J17" s="3" t="n"/>
    </row>
    <row r="18" ht="30" customHeight="1">
      <c r="A18" s="3" t="n"/>
      <c r="B18" s="3" t="n"/>
      <c r="C18" s="3" t="n"/>
      <c r="D18" s="3" t="n"/>
      <c r="E18" s="3" t="n"/>
      <c r="F18" s="3" t="n"/>
      <c r="G18" s="3" t="n"/>
      <c r="H18" s="3" t="n"/>
      <c r="I18" s="3" t="n"/>
      <c r="J18" s="3" t="n"/>
    </row>
    <row r="19">
      <c r="A19" s="9" t="inlineStr">
        <is>
          <t>Run ID</t>
        </is>
      </c>
      <c r="B19" s="3" t="inlineStr"/>
      <c r="C19" s="9" t="inlineStr">
        <is>
          <t>Run date</t>
        </is>
      </c>
      <c r="D19" s="3" t="inlineStr"/>
      <c r="E19" s="9" t="inlineStr">
        <is>
          <t>Model / prompt version</t>
        </is>
      </c>
      <c r="F19" s="3" t="inlineStr"/>
      <c r="G19" s="9" t="inlineStr">
        <is>
          <t>Corpus snapshot</t>
        </is>
      </c>
      <c r="H19" s="3" t="inlineStr"/>
      <c r="I19" s="3" t="n"/>
      <c r="J19" s="3" t="n"/>
    </row>
    <row r="20">
      <c r="A20" s="8" t="inlineStr">
        <is>
          <t>Retrieval set review</t>
        </is>
      </c>
      <c r="B20" s="3" t="n"/>
      <c r="C20" s="3" t="n"/>
      <c r="D20" s="3" t="n"/>
      <c r="E20" s="3" t="n"/>
      <c r="F20" s="3" t="n"/>
      <c r="G20" s="3" t="n"/>
      <c r="H20" s="3" t="n"/>
      <c r="I20" s="3" t="n"/>
      <c r="J20" s="3" t="n"/>
    </row>
    <row r="21">
      <c r="A21" s="11" t="inlineStr">
        <is>
          <t>Rank</t>
        </is>
      </c>
      <c r="B21" s="11" t="inlineStr">
        <is>
          <t>Retrieved source</t>
        </is>
      </c>
      <c r="C21" s="11" t="inlineStr">
        <is>
          <t>Source type</t>
        </is>
      </c>
      <c r="D21" s="11" t="inlineStr">
        <is>
          <t>Jurisdiction</t>
        </is>
      </c>
      <c r="E21" s="11" t="inlineStr">
        <is>
          <t>URL / Document ID</t>
        </is>
      </c>
      <c r="F21" s="11" t="inlineStr">
        <is>
          <t>Returned by engine?</t>
        </is>
      </c>
      <c r="G21" s="11" t="inlineStr">
        <is>
          <t>Required source?</t>
        </is>
      </c>
      <c r="H21" s="11" t="inlineStr">
        <is>
          <t>Trap?</t>
        </is>
      </c>
      <c r="I21" s="11" t="inlineStr">
        <is>
          <t>Expert verdict</t>
        </is>
      </c>
      <c r="J21" s="11" t="inlineStr">
        <is>
          <t>Notes</t>
        </is>
      </c>
    </row>
    <row r="22" ht="44" customHeight="1">
      <c r="A22" s="4" t="n">
        <v>1</v>
      </c>
      <c r="B22" s="4" t="n"/>
      <c r="C22" s="4" t="n"/>
      <c r="D22" s="4" t="n"/>
      <c r="E22" s="4" t="n"/>
      <c r="F22" s="4" t="n"/>
      <c r="G22" s="4" t="n"/>
      <c r="H22" s="4" t="n"/>
      <c r="I22" s="4" t="n"/>
      <c r="J22" s="4" t="n"/>
    </row>
    <row r="23" ht="44" customHeight="1">
      <c r="A23" s="4" t="n">
        <v>2</v>
      </c>
      <c r="B23" s="4" t="n"/>
      <c r="C23" s="4" t="n"/>
      <c r="D23" s="4" t="n"/>
      <c r="E23" s="4" t="n"/>
      <c r="F23" s="4" t="n"/>
      <c r="G23" s="4" t="n"/>
      <c r="H23" s="4" t="n"/>
      <c r="I23" s="4" t="n"/>
      <c r="J23" s="4" t="n"/>
    </row>
    <row r="24" ht="44" customHeight="1">
      <c r="A24" s="4" t="n">
        <v>3</v>
      </c>
      <c r="B24" s="4" t="n"/>
      <c r="C24" s="4" t="n"/>
      <c r="D24" s="4" t="n"/>
      <c r="E24" s="4" t="n"/>
      <c r="F24" s="4" t="n"/>
      <c r="G24" s="4" t="n"/>
      <c r="H24" s="4" t="n"/>
      <c r="I24" s="4" t="n"/>
      <c r="J24" s="4" t="n"/>
    </row>
    <row r="25" ht="44" customHeight="1">
      <c r="A25" s="4" t="n">
        <v>4</v>
      </c>
      <c r="B25" s="4" t="n"/>
      <c r="C25" s="4" t="n"/>
      <c r="D25" s="4" t="n"/>
      <c r="E25" s="4" t="n"/>
      <c r="F25" s="4" t="n"/>
      <c r="G25" s="4" t="n"/>
      <c r="H25" s="4" t="n"/>
      <c r="I25" s="4" t="n"/>
      <c r="J25" s="4" t="n"/>
    </row>
    <row r="26" ht="44" customHeight="1">
      <c r="A26" s="4" t="n">
        <v>5</v>
      </c>
      <c r="B26" s="4" t="n"/>
      <c r="C26" s="4" t="n"/>
      <c r="D26" s="4" t="n"/>
      <c r="E26" s="4" t="n"/>
      <c r="F26" s="4" t="n"/>
      <c r="G26" s="4" t="n"/>
      <c r="H26" s="4" t="n"/>
      <c r="I26" s="4" t="n"/>
      <c r="J26" s="4" t="n"/>
    </row>
    <row r="27" ht="44" customHeight="1">
      <c r="A27" s="4" t="n">
        <v>6</v>
      </c>
      <c r="B27" s="4" t="n"/>
      <c r="C27" s="4" t="n"/>
      <c r="D27" s="4" t="n"/>
      <c r="E27" s="4" t="n"/>
      <c r="F27" s="4" t="n"/>
      <c r="G27" s="4" t="n"/>
      <c r="H27" s="4" t="n"/>
      <c r="I27" s="4" t="n"/>
      <c r="J27" s="4" t="n"/>
    </row>
    <row r="28" ht="44" customHeight="1">
      <c r="A28" s="4" t="n">
        <v>7</v>
      </c>
      <c r="B28" s="4" t="n"/>
      <c r="C28" s="4" t="n"/>
      <c r="D28" s="4" t="n"/>
      <c r="E28" s="4" t="n"/>
      <c r="F28" s="4" t="n"/>
      <c r="G28" s="4" t="n"/>
      <c r="H28" s="4" t="n"/>
      <c r="I28" s="4" t="n"/>
      <c r="J28" s="4" t="n"/>
    </row>
    <row r="29" ht="44" customHeight="1">
      <c r="A29" s="4" t="n">
        <v>8</v>
      </c>
      <c r="B29" s="4" t="n"/>
      <c r="C29" s="4" t="n"/>
      <c r="D29" s="4" t="n"/>
      <c r="E29" s="4" t="n"/>
      <c r="F29" s="4" t="n"/>
      <c r="G29" s="4" t="n"/>
      <c r="H29" s="4" t="n"/>
      <c r="I29" s="4" t="n"/>
      <c r="J29" s="4" t="n"/>
    </row>
    <row r="30" ht="44" customHeight="1">
      <c r="A30" s="4" t="n">
        <v>9</v>
      </c>
      <c r="B30" s="4" t="n"/>
      <c r="C30" s="4" t="n"/>
      <c r="D30" s="4" t="n"/>
      <c r="E30" s="4" t="n"/>
      <c r="F30" s="4" t="n"/>
      <c r="G30" s="4" t="n"/>
      <c r="H30" s="4" t="n"/>
      <c r="I30" s="4" t="n"/>
      <c r="J30" s="4" t="n"/>
    </row>
    <row r="31" ht="44" customHeight="1">
      <c r="A31" s="4" t="n">
        <v>10</v>
      </c>
      <c r="B31" s="4" t="n"/>
      <c r="C31" s="4" t="n"/>
      <c r="D31" s="4" t="n"/>
      <c r="E31" s="4" t="n"/>
      <c r="F31" s="4" t="n"/>
      <c r="G31" s="4" t="n"/>
      <c r="H31" s="4" t="n"/>
      <c r="I31" s="4" t="n"/>
      <c r="J31" s="4" t="n"/>
    </row>
    <row r="32" ht="44" customHeight="1">
      <c r="A32" s="4" t="n">
        <v>11</v>
      </c>
      <c r="B32" s="4" t="n"/>
      <c r="C32" s="4" t="n"/>
      <c r="D32" s="4" t="n"/>
      <c r="E32" s="4" t="n"/>
      <c r="F32" s="4" t="n"/>
      <c r="G32" s="4" t="n"/>
      <c r="H32" s="4" t="n"/>
      <c r="I32" s="4" t="n"/>
      <c r="J32" s="4" t="n"/>
    </row>
    <row r="33" ht="44" customHeight="1">
      <c r="A33" s="4" t="n">
        <v>12</v>
      </c>
      <c r="B33" s="4" t="n"/>
      <c r="C33" s="4" t="n"/>
      <c r="D33" s="4" t="n"/>
      <c r="E33" s="4" t="n"/>
      <c r="F33" s="4" t="n"/>
      <c r="G33" s="4" t="n"/>
      <c r="H33" s="4" t="n"/>
      <c r="I33" s="4" t="n"/>
      <c r="J33" s="4" t="n"/>
    </row>
    <row r="34" ht="44" customHeight="1">
      <c r="A34" s="4" t="n">
        <v>13</v>
      </c>
      <c r="B34" s="4" t="n"/>
      <c r="C34" s="4" t="n"/>
      <c r="D34" s="4" t="n"/>
      <c r="E34" s="4" t="n"/>
      <c r="F34" s="4" t="n"/>
      <c r="G34" s="4" t="n"/>
      <c r="H34" s="4" t="n"/>
      <c r="I34" s="4" t="n"/>
      <c r="J34" s="4" t="n"/>
    </row>
    <row r="35" ht="44" customHeight="1">
      <c r="A35" s="4" t="n">
        <v>14</v>
      </c>
      <c r="B35" s="4" t="n"/>
      <c r="C35" s="4" t="n"/>
      <c r="D35" s="4" t="n"/>
      <c r="E35" s="4" t="n"/>
      <c r="F35" s="4" t="n"/>
      <c r="G35" s="4" t="n"/>
      <c r="H35" s="4" t="n"/>
      <c r="I35" s="4" t="n"/>
      <c r="J35" s="4" t="n"/>
    </row>
    <row r="36" ht="44" customHeight="1">
      <c r="A36" s="4" t="n">
        <v>15</v>
      </c>
      <c r="B36" s="4" t="n"/>
      <c r="C36" s="4" t="n"/>
      <c r="D36" s="4" t="n"/>
      <c r="E36" s="4" t="n"/>
      <c r="F36" s="4" t="n"/>
      <c r="G36" s="4" t="n"/>
      <c r="H36" s="4" t="n"/>
      <c r="I36" s="4" t="n"/>
      <c r="J36" s="4" t="n"/>
    </row>
    <row r="37">
      <c r="A37" s="3" t="n"/>
      <c r="B37" s="3" t="n"/>
      <c r="C37" s="3" t="n"/>
      <c r="D37" s="3" t="n"/>
      <c r="E37" s="3" t="n"/>
      <c r="F37" s="3" t="n"/>
      <c r="G37" s="3" t="n"/>
      <c r="H37" s="3" t="n"/>
      <c r="I37" s="3" t="n"/>
      <c r="J37" s="3" t="n"/>
    </row>
    <row r="38">
      <c r="A38" s="8" t="inlineStr">
        <is>
          <t>Claim-by-claim review</t>
        </is>
      </c>
      <c r="B38" s="3" t="n"/>
      <c r="C38" s="3" t="n"/>
      <c r="D38" s="3" t="n"/>
      <c r="E38" s="3" t="n"/>
      <c r="F38" s="3" t="n"/>
      <c r="G38" s="3" t="n"/>
      <c r="H38" s="3" t="n"/>
      <c r="I38" s="3" t="n"/>
      <c r="J38" s="3" t="n"/>
    </row>
    <row r="39">
      <c r="A39" s="11" t="inlineStr">
        <is>
          <t>Claim ID</t>
        </is>
      </c>
      <c r="B39" s="11" t="inlineStr">
        <is>
          <t>Claim from answer</t>
        </is>
      </c>
      <c r="C39" s="11" t="inlineStr">
        <is>
          <t>Citation used</t>
        </is>
      </c>
      <c r="D39" s="11" t="inlineStr">
        <is>
          <t>Expert verdict</t>
        </is>
      </c>
      <c r="E39" s="11" t="inlineStr">
        <is>
          <t>Issue type</t>
        </is>
      </c>
      <c r="F39" s="11" t="inlineStr">
        <is>
          <t>Cited passage / source note</t>
        </is>
      </c>
      <c r="G39" s="11" t="inlineStr">
        <is>
          <t>Required fix / comment</t>
        </is>
      </c>
      <c r="H39" s="11" t="inlineStr">
        <is>
          <t>Reviewer</t>
        </is>
      </c>
      <c r="I39" s="11" t="n"/>
      <c r="J39" s="11" t="n"/>
    </row>
    <row r="40" ht="54" customHeight="1">
      <c r="A40" s="4" t="n">
        <v>1</v>
      </c>
      <c r="B40" s="4" t="n"/>
      <c r="C40" s="4" t="n"/>
      <c r="D40" s="4" t="n"/>
      <c r="E40" s="4" t="n"/>
      <c r="F40" s="4" t="n"/>
      <c r="G40" s="4" t="n"/>
      <c r="H40" s="4" t="n"/>
      <c r="I40" s="3" t="n"/>
      <c r="J40" s="3" t="n"/>
    </row>
    <row r="41" ht="54" customHeight="1">
      <c r="A41" s="4" t="n">
        <v>2</v>
      </c>
      <c r="B41" s="4" t="n"/>
      <c r="C41" s="4" t="n"/>
      <c r="D41" s="4" t="n"/>
      <c r="E41" s="4" t="n"/>
      <c r="F41" s="4" t="n"/>
      <c r="G41" s="4" t="n"/>
      <c r="H41" s="4" t="n"/>
      <c r="I41" s="3" t="n"/>
      <c r="J41" s="3" t="n"/>
    </row>
    <row r="42" ht="54" customHeight="1">
      <c r="A42" s="4" t="n">
        <v>3</v>
      </c>
      <c r="B42" s="4" t="n"/>
      <c r="C42" s="4" t="n"/>
      <c r="D42" s="4" t="n"/>
      <c r="E42" s="4" t="n"/>
      <c r="F42" s="4" t="n"/>
      <c r="G42" s="4" t="n"/>
      <c r="H42" s="4" t="n"/>
      <c r="I42" s="3" t="n"/>
      <c r="J42" s="3" t="n"/>
    </row>
    <row r="43" ht="54" customHeight="1">
      <c r="A43" s="4" t="n">
        <v>4</v>
      </c>
      <c r="B43" s="4" t="n"/>
      <c r="C43" s="4" t="n"/>
      <c r="D43" s="4" t="n"/>
      <c r="E43" s="4" t="n"/>
      <c r="F43" s="4" t="n"/>
      <c r="G43" s="4" t="n"/>
      <c r="H43" s="4" t="n"/>
      <c r="I43" s="3" t="n"/>
      <c r="J43" s="3" t="n"/>
    </row>
    <row r="44" ht="54" customHeight="1">
      <c r="A44" s="4" t="n">
        <v>5</v>
      </c>
      <c r="B44" s="4" t="n"/>
      <c r="C44" s="4" t="n"/>
      <c r="D44" s="4" t="n"/>
      <c r="E44" s="4" t="n"/>
      <c r="F44" s="4" t="n"/>
      <c r="G44" s="4" t="n"/>
      <c r="H44" s="4" t="n"/>
      <c r="I44" s="3" t="n"/>
      <c r="J44" s="3" t="n"/>
    </row>
    <row r="45" ht="54" customHeight="1">
      <c r="A45" s="4" t="n">
        <v>6</v>
      </c>
      <c r="B45" s="4" t="n"/>
      <c r="C45" s="4" t="n"/>
      <c r="D45" s="4" t="n"/>
      <c r="E45" s="4" t="n"/>
      <c r="F45" s="4" t="n"/>
      <c r="G45" s="4" t="n"/>
      <c r="H45" s="4" t="n"/>
      <c r="I45" s="3" t="n"/>
      <c r="J45" s="3" t="n"/>
    </row>
    <row r="46" ht="54" customHeight="1">
      <c r="A46" s="4" t="n">
        <v>7</v>
      </c>
      <c r="B46" s="4" t="n"/>
      <c r="C46" s="4" t="n"/>
      <c r="D46" s="4" t="n"/>
      <c r="E46" s="4" t="n"/>
      <c r="F46" s="4" t="n"/>
      <c r="G46" s="4" t="n"/>
      <c r="H46" s="4" t="n"/>
      <c r="I46" s="3" t="n"/>
      <c r="J46" s="3" t="n"/>
    </row>
    <row r="47" ht="54" customHeight="1">
      <c r="A47" s="4" t="n">
        <v>8</v>
      </c>
      <c r="B47" s="4" t="n"/>
      <c r="C47" s="4" t="n"/>
      <c r="D47" s="4" t="n"/>
      <c r="E47" s="4" t="n"/>
      <c r="F47" s="4" t="n"/>
      <c r="G47" s="4" t="n"/>
      <c r="H47" s="4" t="n"/>
      <c r="I47" s="3" t="n"/>
      <c r="J47" s="3" t="n"/>
    </row>
    <row r="48" ht="54" customHeight="1">
      <c r="A48" s="4" t="n">
        <v>9</v>
      </c>
      <c r="B48" s="4" t="n"/>
      <c r="C48" s="4" t="n"/>
      <c r="D48" s="4" t="n"/>
      <c r="E48" s="4" t="n"/>
      <c r="F48" s="4" t="n"/>
      <c r="G48" s="4" t="n"/>
      <c r="H48" s="4" t="n"/>
      <c r="I48" s="3" t="n"/>
      <c r="J48" s="3" t="n"/>
    </row>
    <row r="49" ht="54" customHeight="1">
      <c r="A49" s="4" t="n">
        <v>10</v>
      </c>
      <c r="B49" s="4" t="n"/>
      <c r="C49" s="4" t="n"/>
      <c r="D49" s="4" t="n"/>
      <c r="E49" s="4" t="n"/>
      <c r="F49" s="4" t="n"/>
      <c r="G49" s="4" t="n"/>
      <c r="H49" s="4" t="n"/>
      <c r="I49" s="3" t="n"/>
      <c r="J49" s="3" t="n"/>
    </row>
    <row r="50" ht="54" customHeight="1">
      <c r="A50" s="4" t="n">
        <v>11</v>
      </c>
      <c r="B50" s="4" t="n"/>
      <c r="C50" s="4" t="n"/>
      <c r="D50" s="4" t="n"/>
      <c r="E50" s="4" t="n"/>
      <c r="F50" s="4" t="n"/>
      <c r="G50" s="4" t="n"/>
      <c r="H50" s="4" t="n"/>
      <c r="I50" s="3" t="n"/>
      <c r="J50" s="3" t="n"/>
    </row>
    <row r="51" ht="54" customHeight="1">
      <c r="A51" s="4" t="n">
        <v>12</v>
      </c>
      <c r="B51" s="4" t="n"/>
      <c r="C51" s="4" t="n"/>
      <c r="D51" s="4" t="n"/>
      <c r="E51" s="4" t="n"/>
      <c r="F51" s="4" t="n"/>
      <c r="G51" s="4" t="n"/>
      <c r="H51" s="4" t="n"/>
      <c r="I51" s="3" t="n"/>
      <c r="J51" s="3" t="n"/>
    </row>
    <row r="52" ht="54" customHeight="1">
      <c r="A52" s="4" t="n">
        <v>13</v>
      </c>
      <c r="B52" s="4" t="n"/>
      <c r="C52" s="4" t="n"/>
      <c r="D52" s="4" t="n"/>
      <c r="E52" s="4" t="n"/>
      <c r="F52" s="4" t="n"/>
      <c r="G52" s="4" t="n"/>
      <c r="H52" s="4" t="n"/>
      <c r="I52" s="3" t="n"/>
      <c r="J52" s="3" t="n"/>
    </row>
    <row r="53" ht="54" customHeight="1">
      <c r="A53" s="4" t="n">
        <v>14</v>
      </c>
      <c r="B53" s="4" t="n"/>
      <c r="C53" s="4" t="n"/>
      <c r="D53" s="4" t="n"/>
      <c r="E53" s="4" t="n"/>
      <c r="F53" s="4" t="n"/>
      <c r="G53" s="4" t="n"/>
      <c r="H53" s="4" t="n"/>
      <c r="I53" s="3" t="n"/>
      <c r="J53" s="3" t="n"/>
    </row>
    <row r="54" ht="54" customHeight="1">
      <c r="A54" s="4" t="n">
        <v>15</v>
      </c>
      <c r="B54" s="4" t="n"/>
      <c r="C54" s="4" t="n"/>
      <c r="D54" s="4" t="n"/>
      <c r="E54" s="4" t="n"/>
      <c r="F54" s="4" t="n"/>
      <c r="G54" s="4" t="n"/>
      <c r="H54" s="4" t="n"/>
      <c r="I54" s="3" t="n"/>
      <c r="J54" s="3" t="n"/>
    </row>
    <row r="55" ht="54" customHeight="1">
      <c r="A55" s="4" t="n">
        <v>16</v>
      </c>
      <c r="B55" s="4" t="n"/>
      <c r="C55" s="4" t="n"/>
      <c r="D55" s="4" t="n"/>
      <c r="E55" s="4" t="n"/>
      <c r="F55" s="4" t="n"/>
      <c r="G55" s="4" t="n"/>
      <c r="H55" s="4" t="n"/>
      <c r="I55" s="3" t="n"/>
      <c r="J55" s="3" t="n"/>
    </row>
    <row r="56" ht="54" customHeight="1">
      <c r="A56" s="4" t="n">
        <v>17</v>
      </c>
      <c r="B56" s="4" t="n"/>
      <c r="C56" s="4" t="n"/>
      <c r="D56" s="4" t="n"/>
      <c r="E56" s="4" t="n"/>
      <c r="F56" s="4" t="n"/>
      <c r="G56" s="4" t="n"/>
      <c r="H56" s="4" t="n"/>
      <c r="I56" s="3" t="n"/>
      <c r="J56" s="3" t="n"/>
    </row>
    <row r="57" ht="54" customHeight="1">
      <c r="A57" s="4" t="n">
        <v>18</v>
      </c>
      <c r="B57" s="4" t="n"/>
      <c r="C57" s="4" t="n"/>
      <c r="D57" s="4" t="n"/>
      <c r="E57" s="4" t="n"/>
      <c r="F57" s="4" t="n"/>
      <c r="G57" s="4" t="n"/>
      <c r="H57" s="4" t="n"/>
      <c r="I57" s="3" t="n"/>
      <c r="J57" s="3" t="n"/>
    </row>
    <row r="58" ht="54" customHeight="1">
      <c r="A58" s="4" t="n">
        <v>19</v>
      </c>
      <c r="B58" s="4" t="n"/>
      <c r="C58" s="4" t="n"/>
      <c r="D58" s="4" t="n"/>
      <c r="E58" s="4" t="n"/>
      <c r="F58" s="4" t="n"/>
      <c r="G58" s="4" t="n"/>
      <c r="H58" s="4" t="n"/>
      <c r="I58" s="3" t="n"/>
      <c r="J58" s="3" t="n"/>
    </row>
    <row r="59" ht="54" customHeight="1">
      <c r="A59" s="4" t="n">
        <v>20</v>
      </c>
      <c r="B59" s="4" t="n"/>
      <c r="C59" s="4" t="n"/>
      <c r="D59" s="4" t="n"/>
      <c r="E59" s="4" t="n"/>
      <c r="F59" s="4" t="n"/>
      <c r="G59" s="4" t="n"/>
      <c r="H59" s="4" t="n"/>
      <c r="I59" s="3" t="n"/>
      <c r="J59" s="3" t="n"/>
    </row>
    <row r="60">
      <c r="A60" s="3" t="n"/>
      <c r="B60" s="3" t="n"/>
      <c r="C60" s="3" t="n"/>
      <c r="D60" s="3" t="n"/>
      <c r="E60" s="3" t="n"/>
      <c r="F60" s="3" t="n"/>
      <c r="G60" s="3" t="n"/>
      <c r="H60" s="3" t="n"/>
      <c r="I60" s="3" t="n"/>
      <c r="J60" s="3" t="n"/>
    </row>
    <row r="61">
      <c r="A61" s="8" t="inlineStr">
        <is>
          <t>Final expert verdict</t>
        </is>
      </c>
      <c r="B61" s="3" t="n"/>
      <c r="C61" s="3" t="n"/>
      <c r="D61" s="3" t="n"/>
      <c r="E61" s="3" t="n"/>
      <c r="F61" s="3" t="n"/>
      <c r="G61" s="3" t="n"/>
      <c r="H61" s="3" t="n"/>
      <c r="I61" s="3" t="n"/>
      <c r="J61" s="3" t="n"/>
    </row>
    <row r="62">
      <c r="A62" s="12" t="inlineStr">
        <is>
          <t>Is the answer acceptable?</t>
        </is>
      </c>
      <c r="B62" s="4" t="inlineStr"/>
      <c r="C62" s="4" t="n"/>
      <c r="D62" s="4" t="n"/>
      <c r="E62" s="4" t="n"/>
      <c r="F62" s="4" t="n"/>
      <c r="G62" s="4" t="n"/>
      <c r="H62" s="4" t="n"/>
      <c r="I62" s="3" t="n"/>
      <c r="J62" s="3" t="n"/>
    </row>
    <row r="63" ht="54" customHeight="1">
      <c r="A63" s="12" t="inlineStr">
        <is>
          <t>Overall comment / required fixes</t>
        </is>
      </c>
      <c r="B63" s="4" t="n"/>
      <c r="C63" s="4" t="n"/>
      <c r="D63" s="4" t="n"/>
      <c r="E63" s="4" t="n"/>
      <c r="F63" s="4" t="n"/>
      <c r="G63" s="4" t="n"/>
      <c r="H63" s="4" t="n"/>
      <c r="I63" s="3" t="n"/>
      <c r="J63" s="3" t="n"/>
    </row>
    <row r="64">
      <c r="A64" s="4" t="n"/>
      <c r="B64" s="4" t="n"/>
      <c r="C64" s="4" t="n"/>
      <c r="D64" s="4" t="n"/>
      <c r="E64" s="4" t="n"/>
      <c r="F64" s="4" t="n"/>
      <c r="G64" s="4" t="n"/>
      <c r="H64" s="4" t="n"/>
      <c r="I64" s="3" t="n"/>
      <c r="J64" s="3" t="n"/>
    </row>
    <row r="65">
      <c r="A65" s="12" t="inlineStr">
        <is>
          <t>Missing key sources?</t>
        </is>
      </c>
      <c r="B65" s="4" t="n"/>
      <c r="C65" s="4" t="n"/>
      <c r="D65" s="4" t="n"/>
      <c r="E65" s="4" t="n"/>
      <c r="F65" s="4" t="n"/>
      <c r="G65" s="4" t="n"/>
      <c r="H65" s="4" t="n"/>
      <c r="I65" s="3" t="n"/>
      <c r="J65" s="3" t="n"/>
    </row>
    <row r="66">
      <c r="A66" s="12" t="inlineStr">
        <is>
          <t>Review completed?</t>
        </is>
      </c>
      <c r="B66" s="4" t="inlineStr"/>
      <c r="C66" s="4" t="n"/>
      <c r="D66" s="4" t="n"/>
      <c r="E66" s="4" t="n"/>
      <c r="F66" s="4" t="n"/>
      <c r="G66" s="4" t="n"/>
      <c r="H66" s="4" t="n"/>
      <c r="I66" s="3" t="n"/>
      <c r="J66" s="3" t="n"/>
    </row>
    <row r="67">
      <c r="A67" s="12" t="inlineStr">
        <is>
          <t>Reviewer</t>
        </is>
      </c>
      <c r="B67" s="4" t="n"/>
      <c r="C67" s="12" t="inlineStr">
        <is>
          <t>Review date</t>
        </is>
      </c>
      <c r="D67" s="5" t="inlineStr"/>
      <c r="E67" s="4" t="n"/>
      <c r="F67" s="4" t="n"/>
      <c r="G67" s="4" t="n"/>
      <c r="H67" s="4" t="n"/>
      <c r="I67" s="3" t="n"/>
      <c r="J67" s="3" t="n"/>
    </row>
    <row r="68">
      <c r="A68" s="3" t="n"/>
      <c r="B68" s="3" t="n"/>
      <c r="C68" s="3" t="n"/>
      <c r="D68" s="3" t="n"/>
      <c r="E68" s="3" t="n"/>
      <c r="F68" s="3" t="n"/>
      <c r="G68" s="3" t="n"/>
      <c r="H68" s="3" t="n"/>
      <c r="I68" s="3" t="n"/>
      <c r="J68" s="3" t="n"/>
    </row>
    <row r="69">
      <c r="A69" s="8" t="inlineStr">
        <is>
          <t>Original source notes</t>
        </is>
      </c>
      <c r="B69" s="3" t="n"/>
      <c r="C69" s="3" t="n"/>
      <c r="D69" s="3" t="n"/>
      <c r="E69" s="3" t="n"/>
      <c r="F69" s="3" t="n"/>
      <c r="G69" s="3" t="n"/>
      <c r="H69" s="3" t="n"/>
      <c r="I69" s="3" t="n"/>
      <c r="J69" s="3" t="n"/>
    </row>
    <row r="70">
      <c r="A70" s="12" t="inlineStr">
        <is>
          <t>WAB notes</t>
        </is>
      </c>
      <c r="B70" s="4" t="inlineStr"/>
      <c r="C70" s="4" t="n"/>
      <c r="D70" s="4" t="n"/>
      <c r="E70" s="4" t="n"/>
      <c r="F70" s="4" t="n"/>
      <c r="G70" s="4" t="n"/>
      <c r="H70" s="4" t="n"/>
      <c r="I70" s="3" t="n"/>
      <c r="J70" s="3" t="n"/>
    </row>
    <row r="71" ht="54" customHeight="1">
      <c r="A71" s="12" t="inlineStr">
        <is>
          <t>Reviewer notes from question approval</t>
        </is>
      </c>
      <c r="B71" s="4" t="inlineStr"/>
      <c r="C71" s="4" t="n"/>
      <c r="D71" s="4" t="n"/>
      <c r="E71" s="4" t="n"/>
      <c r="F71" s="4" t="n"/>
      <c r="G71" s="4" t="n"/>
      <c r="H71" s="4" t="n"/>
      <c r="I71" s="3" t="n"/>
      <c r="J71" s="3" t="n"/>
    </row>
    <row r="72">
      <c r="A72" s="4" t="n"/>
      <c r="B72" s="4" t="n"/>
      <c r="C72" s="4" t="n"/>
      <c r="D72" s="4" t="n"/>
      <c r="E72" s="4" t="n"/>
      <c r="F72" s="4" t="n"/>
      <c r="G72" s="4" t="n"/>
      <c r="H72" s="4" t="n"/>
      <c r="I72" s="3" t="n"/>
      <c r="J72" s="3" t="n"/>
    </row>
  </sheetData>
  <autoFilter ref="A21:J36"/>
  <mergeCells count="20">
    <mergeCell ref="B65:H65"/>
    <mergeCell ref="B71:H72"/>
    <mergeCell ref="B6:H6"/>
    <mergeCell ref="A20:J20"/>
    <mergeCell ref="A1:H1"/>
    <mergeCell ref="B5:H5"/>
    <mergeCell ref="A61:H61"/>
    <mergeCell ref="A69:H69"/>
    <mergeCell ref="B4:H4"/>
    <mergeCell ref="B62:H62"/>
    <mergeCell ref="B7:H7"/>
    <mergeCell ref="B66:H66"/>
    <mergeCell ref="A3:H3"/>
    <mergeCell ref="A16:H18"/>
    <mergeCell ref="B70:H70"/>
    <mergeCell ref="A14:H14"/>
    <mergeCell ref="B63:H64"/>
    <mergeCell ref="B8:H8"/>
    <mergeCell ref="B10:H12"/>
    <mergeCell ref="A38:H38"/>
  </mergeCells>
  <dataValidations count="9">
    <dataValidation sqref="C22:C36" showDropDown="0" showInputMessage="0" showErrorMessage="0" allowBlank="1" type="list">
      <formula1>=Lists!$F$2:$F$5</formula1>
    </dataValidation>
    <dataValidation sqref="F22:F36" showDropDown="0" showInputMessage="0" showErrorMessage="0" allowBlank="1" type="list">
      <formula1>=Lists!$G$2:$G$4</formula1>
    </dataValidation>
    <dataValidation sqref="G22:G36" showDropDown="0" showInputMessage="0" showErrorMessage="0" allowBlank="1" type="list">
      <formula1>=Lists!$G$2:$G$4</formula1>
    </dataValidation>
    <dataValidation sqref="H22:H36" showDropDown="0" showInputMessage="0" showErrorMessage="0" allowBlank="1" type="list">
      <formula1>=Lists!$G$2:$G$4</formula1>
    </dataValidation>
    <dataValidation sqref="I22:I36" showDropDown="0" showInputMessage="0" showErrorMessage="0" allowBlank="1" type="list">
      <formula1>=Lists!$H$2:$H$6</formula1>
    </dataValidation>
    <dataValidation sqref="D40:D59" showDropDown="0" showInputMessage="0" showErrorMessage="0" allowBlank="1" type="list">
      <formula1>=Lists!$D$2:$D$7</formula1>
    </dataValidation>
    <dataValidation sqref="E40:E59" showDropDown="0" showInputMessage="0" showErrorMessage="0" allowBlank="1" type="list">
      <formula1>=Lists!$E$2:$E$8</formula1>
    </dataValidation>
    <dataValidation sqref="B62" showDropDown="0" showInputMessage="0" showErrorMessage="0" allowBlank="1" type="list">
      <formula1>=Lists!$C$2:$C$4</formula1>
    </dataValidation>
    <dataValidation sqref="B66" showDropDown="0" showInputMessage="0" showErrorMessage="0" allowBlank="1" type="list">
      <formula1>=Lists!$A$2:$A$3</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J72"/>
  <sheetViews>
    <sheetView showGridLines="0" workbookViewId="0">
      <pane ySplit="21" topLeftCell="A22" activePane="bottomLeft" state="frozen"/>
      <selection pane="bottomLeft" activeCell="A1" sqref="A1"/>
    </sheetView>
  </sheetViews>
  <sheetFormatPr baseColWidth="8" defaultRowHeight="15"/>
  <cols>
    <col width="12" customWidth="1" min="1" max="1"/>
    <col width="34" customWidth="1" min="2" max="2"/>
    <col width="22" customWidth="1" min="3" max="3"/>
    <col width="18" customWidth="1" min="4" max="4"/>
    <col width="20" customWidth="1" min="5" max="5"/>
    <col width="30" customWidth="1" min="6" max="6"/>
    <col width="34" customWidth="1" min="7" max="7"/>
    <col width="18" customWidth="1" min="8" max="8"/>
    <col width="18" customWidth="1" min="9" max="9"/>
    <col width="30" customWidth="1" min="10" max="10"/>
  </cols>
  <sheetData>
    <row r="1" ht="28" customHeight="1">
      <c r="A1" s="6" t="inlineStr">
        <is>
          <t>Q05 — Expert Review</t>
        </is>
      </c>
      <c r="B1" s="3" t="n"/>
      <c r="C1" s="3" t="n"/>
      <c r="D1" s="3" t="n"/>
      <c r="E1" s="3" t="n"/>
      <c r="F1" s="3" t="n"/>
      <c r="G1" s="3" t="n"/>
      <c r="H1" s="3" t="n"/>
      <c r="I1" s="3" t="n"/>
      <c r="J1" s="3" t="n"/>
    </row>
    <row r="2">
      <c r="A2" s="3" t="n"/>
      <c r="B2" s="3" t="n"/>
      <c r="C2" s="3" t="n"/>
      <c r="D2" s="3" t="n"/>
      <c r="E2" s="3" t="n"/>
      <c r="F2" s="3" t="n"/>
      <c r="G2" s="3" t="n"/>
      <c r="H2" s="3" t="n"/>
      <c r="I2" s="3" t="n"/>
      <c r="J2" s="3" t="n"/>
    </row>
    <row r="3">
      <c r="A3" s="8" t="inlineStr">
        <is>
          <t>Question metadata</t>
        </is>
      </c>
      <c r="B3" s="3" t="n"/>
      <c r="C3" s="3" t="n"/>
      <c r="D3" s="3" t="n"/>
      <c r="E3" s="3" t="n"/>
      <c r="F3" s="3" t="n"/>
      <c r="G3" s="3" t="n"/>
      <c r="H3" s="3" t="n"/>
      <c r="I3" s="3" t="n"/>
      <c r="J3" s="3" t="n"/>
    </row>
    <row r="4">
      <c r="A4" s="9" t="inlineStr">
        <is>
          <t>Question ID</t>
        </is>
      </c>
      <c r="B4" s="3" t="n">
        <v>5</v>
      </c>
      <c r="C4" s="3" t="n"/>
      <c r="D4" s="3" t="n"/>
      <c r="E4" s="3" t="n"/>
      <c r="F4" s="3" t="n"/>
      <c r="G4" s="3" t="n"/>
      <c r="H4" s="3" t="n"/>
      <c r="I4" s="3" t="n"/>
      <c r="J4" s="3" t="n"/>
    </row>
    <row r="5">
      <c r="A5" s="9" t="inlineStr">
        <is>
          <t>Topic</t>
        </is>
      </c>
      <c r="B5" s="3" t="inlineStr">
        <is>
          <t>Food delivery — COVID-19</t>
        </is>
      </c>
      <c r="C5" s="3" t="n"/>
      <c r="D5" s="3" t="n"/>
      <c r="E5" s="3" t="n"/>
      <c r="F5" s="3" t="n"/>
      <c r="G5" s="3" t="n"/>
      <c r="H5" s="3" t="n"/>
      <c r="I5" s="3" t="n"/>
      <c r="J5" s="3" t="n"/>
    </row>
    <row r="6">
      <c r="A6" s="9" t="inlineStr">
        <is>
          <t>Scope</t>
        </is>
      </c>
      <c r="B6" s="3" t="inlineStr">
        <is>
          <t>UK</t>
        </is>
      </c>
      <c r="C6" s="3" t="n"/>
      <c r="D6" s="3" t="n"/>
      <c r="E6" s="3" t="n"/>
      <c r="F6" s="3" t="n"/>
      <c r="G6" s="3" t="n"/>
      <c r="H6" s="3" t="n"/>
      <c r="I6" s="3" t="n"/>
      <c r="J6" s="3" t="n"/>
    </row>
    <row r="7">
      <c r="A7" s="9" t="inlineStr">
        <is>
          <t>Original reviewer</t>
        </is>
      </c>
      <c r="B7" s="3" t="inlineStr">
        <is>
          <t>Carolina</t>
        </is>
      </c>
      <c r="C7" s="3" t="n"/>
      <c r="D7" s="3" t="n"/>
      <c r="E7" s="3" t="n"/>
      <c r="F7" s="3" t="n"/>
      <c r="G7" s="3" t="n"/>
      <c r="H7" s="3" t="n"/>
      <c r="I7" s="3" t="n"/>
      <c r="J7" s="3" t="n"/>
    </row>
    <row r="8">
      <c r="A8" s="9" t="inlineStr">
        <is>
          <t>Original status</t>
        </is>
      </c>
      <c r="B8" s="3" t="inlineStr">
        <is>
          <t>Approved</t>
        </is>
      </c>
      <c r="C8" s="3" t="n"/>
      <c r="D8" s="3" t="n"/>
      <c r="E8" s="3" t="n"/>
      <c r="F8" s="3" t="n"/>
      <c r="G8" s="3" t="n"/>
      <c r="H8" s="3" t="n"/>
      <c r="I8" s="3" t="n"/>
      <c r="J8" s="3" t="n"/>
    </row>
    <row r="9">
      <c r="A9" s="3" t="n"/>
      <c r="B9" s="3" t="n"/>
      <c r="C9" s="3" t="n"/>
      <c r="D9" s="3" t="n"/>
      <c r="E9" s="3" t="n"/>
      <c r="F9" s="3" t="n"/>
      <c r="G9" s="3" t="n"/>
      <c r="H9" s="3" t="n"/>
      <c r="I9" s="3" t="n"/>
      <c r="J9" s="3" t="n"/>
    </row>
    <row r="10" ht="45" customHeight="1">
      <c r="A10" s="9" t="inlineStr">
        <is>
          <t>Question</t>
        </is>
      </c>
      <c r="B10" s="3" t="inlineStr">
        <is>
          <t>COVID-19 in the competitive assessment — how did the pandemic actually enter the analysis: counterfactual, market definition, or not at all?</t>
        </is>
      </c>
      <c r="C10" s="3" t="n"/>
      <c r="D10" s="3" t="n"/>
      <c r="E10" s="3" t="n"/>
      <c r="F10" s="3" t="n"/>
      <c r="G10" s="3" t="n"/>
      <c r="H10" s="3" t="n"/>
      <c r="I10" s="3" t="n"/>
      <c r="J10" s="3" t="n"/>
    </row>
    <row r="11">
      <c r="A11" s="3" t="n"/>
      <c r="B11" s="3" t="n"/>
      <c r="C11" s="3" t="n"/>
      <c r="D11" s="3" t="n"/>
      <c r="E11" s="3" t="n"/>
      <c r="F11" s="3" t="n"/>
      <c r="G11" s="3" t="n"/>
      <c r="H11" s="3" t="n"/>
      <c r="I11" s="3" t="n"/>
      <c r="J11" s="3" t="n"/>
    </row>
    <row r="12">
      <c r="A12" s="3" t="n"/>
      <c r="B12" s="3" t="n"/>
      <c r="C12" s="3" t="n"/>
      <c r="D12" s="3" t="n"/>
      <c r="E12" s="3" t="n"/>
      <c r="F12" s="3" t="n"/>
      <c r="G12" s="3" t="n"/>
      <c r="H12" s="3" t="n"/>
      <c r="I12" s="3" t="n"/>
      <c r="J12" s="3" t="n"/>
    </row>
    <row r="13">
      <c r="A13" s="3" t="n"/>
      <c r="B13" s="3" t="n"/>
      <c r="C13" s="3" t="n"/>
      <c r="D13" s="3" t="n"/>
      <c r="E13" s="3" t="n"/>
      <c r="F13" s="3" t="n"/>
      <c r="G13" s="3" t="n"/>
      <c r="H13" s="3" t="n"/>
      <c r="I13" s="3" t="n"/>
      <c r="J13" s="3" t="n"/>
    </row>
    <row r="14">
      <c r="A14" s="8" t="inlineStr">
        <is>
          <t>Generated answer</t>
        </is>
      </c>
      <c r="B14" s="3" t="n"/>
      <c r="C14" s="3" t="n"/>
      <c r="D14" s="3" t="n"/>
      <c r="E14" s="3" t="n"/>
      <c r="F14" s="3" t="n"/>
      <c r="G14" s="3" t="n"/>
      <c r="H14" s="3" t="n"/>
      <c r="I14" s="3" t="n"/>
      <c r="J14" s="3" t="n"/>
    </row>
    <row r="15">
      <c r="A15" s="10" t="inlineStr">
        <is>
          <t>Paste the generated answer below.</t>
        </is>
      </c>
      <c r="B15" s="3" t="n"/>
      <c r="C15" s="3" t="n"/>
      <c r="D15" s="3" t="n"/>
      <c r="E15" s="3" t="n"/>
      <c r="F15" s="3" t="n"/>
      <c r="G15" s="3" t="n"/>
      <c r="H15" s="3" t="n"/>
      <c r="I15" s="3" t="n"/>
      <c r="J15" s="3" t="n"/>
    </row>
    <row r="16" ht="90" customHeight="1">
      <c r="A16" s="3" t="inlineStr"/>
      <c r="B16" s="3" t="n"/>
      <c r="C16" s="3" t="n"/>
      <c r="D16" s="3" t="n"/>
      <c r="E16" s="3" t="n"/>
      <c r="F16" s="3" t="n"/>
      <c r="G16" s="3" t="n"/>
      <c r="H16" s="3" t="n"/>
      <c r="I16" s="3" t="n"/>
      <c r="J16" s="3" t="n"/>
    </row>
    <row r="17" ht="30" customHeight="1">
      <c r="A17" s="3" t="n"/>
      <c r="B17" s="3" t="n"/>
      <c r="C17" s="3" t="n"/>
      <c r="D17" s="3" t="n"/>
      <c r="E17" s="3" t="n"/>
      <c r="F17" s="3" t="n"/>
      <c r="G17" s="3" t="n"/>
      <c r="H17" s="3" t="n"/>
      <c r="I17" s="3" t="n"/>
      <c r="J17" s="3" t="n"/>
    </row>
    <row r="18" ht="30" customHeight="1">
      <c r="A18" s="3" t="n"/>
      <c r="B18" s="3" t="n"/>
      <c r="C18" s="3" t="n"/>
      <c r="D18" s="3" t="n"/>
      <c r="E18" s="3" t="n"/>
      <c r="F18" s="3" t="n"/>
      <c r="G18" s="3" t="n"/>
      <c r="H18" s="3" t="n"/>
      <c r="I18" s="3" t="n"/>
      <c r="J18" s="3" t="n"/>
    </row>
    <row r="19">
      <c r="A19" s="9" t="inlineStr">
        <is>
          <t>Run ID</t>
        </is>
      </c>
      <c r="B19" s="3" t="inlineStr"/>
      <c r="C19" s="9" t="inlineStr">
        <is>
          <t>Run date</t>
        </is>
      </c>
      <c r="D19" s="3" t="inlineStr"/>
      <c r="E19" s="9" t="inlineStr">
        <is>
          <t>Model / prompt version</t>
        </is>
      </c>
      <c r="F19" s="3" t="inlineStr"/>
      <c r="G19" s="9" t="inlineStr">
        <is>
          <t>Corpus snapshot</t>
        </is>
      </c>
      <c r="H19" s="3" t="inlineStr"/>
      <c r="I19" s="3" t="n"/>
      <c r="J19" s="3" t="n"/>
    </row>
    <row r="20">
      <c r="A20" s="8" t="inlineStr">
        <is>
          <t>Retrieval set review</t>
        </is>
      </c>
      <c r="B20" s="3" t="n"/>
      <c r="C20" s="3" t="n"/>
      <c r="D20" s="3" t="n"/>
      <c r="E20" s="3" t="n"/>
      <c r="F20" s="3" t="n"/>
      <c r="G20" s="3" t="n"/>
      <c r="H20" s="3" t="n"/>
      <c r="I20" s="3" t="n"/>
      <c r="J20" s="3" t="n"/>
    </row>
    <row r="21">
      <c r="A21" s="11" t="inlineStr">
        <is>
          <t>Rank</t>
        </is>
      </c>
      <c r="B21" s="11" t="inlineStr">
        <is>
          <t>Retrieved source</t>
        </is>
      </c>
      <c r="C21" s="11" t="inlineStr">
        <is>
          <t>Source type</t>
        </is>
      </c>
      <c r="D21" s="11" t="inlineStr">
        <is>
          <t>Jurisdiction</t>
        </is>
      </c>
      <c r="E21" s="11" t="inlineStr">
        <is>
          <t>URL / Document ID</t>
        </is>
      </c>
      <c r="F21" s="11" t="inlineStr">
        <is>
          <t>Returned by engine?</t>
        </is>
      </c>
      <c r="G21" s="11" t="inlineStr">
        <is>
          <t>Required source?</t>
        </is>
      </c>
      <c r="H21" s="11" t="inlineStr">
        <is>
          <t>Trap?</t>
        </is>
      </c>
      <c r="I21" s="11" t="inlineStr">
        <is>
          <t>Expert verdict</t>
        </is>
      </c>
      <c r="J21" s="11" t="inlineStr">
        <is>
          <t>Notes</t>
        </is>
      </c>
    </row>
    <row r="22" ht="44" customHeight="1">
      <c r="A22" s="4" t="n">
        <v>1</v>
      </c>
      <c r="B22" s="4" t="n"/>
      <c r="C22" s="4" t="n"/>
      <c r="D22" s="4" t="n"/>
      <c r="E22" s="4" t="n"/>
      <c r="F22" s="4" t="n"/>
      <c r="G22" s="4" t="n"/>
      <c r="H22" s="4" t="n"/>
      <c r="I22" s="4" t="n"/>
      <c r="J22" s="4" t="n"/>
    </row>
    <row r="23" ht="44" customHeight="1">
      <c r="A23" s="4" t="n">
        <v>2</v>
      </c>
      <c r="B23" s="4" t="n"/>
      <c r="C23" s="4" t="n"/>
      <c r="D23" s="4" t="n"/>
      <c r="E23" s="4" t="n"/>
      <c r="F23" s="4" t="n"/>
      <c r="G23" s="4" t="n"/>
      <c r="H23" s="4" t="n"/>
      <c r="I23" s="4" t="n"/>
      <c r="J23" s="4" t="n"/>
    </row>
    <row r="24" ht="44" customHeight="1">
      <c r="A24" s="4" t="n">
        <v>3</v>
      </c>
      <c r="B24" s="4" t="n"/>
      <c r="C24" s="4" t="n"/>
      <c r="D24" s="4" t="n"/>
      <c r="E24" s="4" t="n"/>
      <c r="F24" s="4" t="n"/>
      <c r="G24" s="4" t="n"/>
      <c r="H24" s="4" t="n"/>
      <c r="I24" s="4" t="n"/>
      <c r="J24" s="4" t="n"/>
    </row>
    <row r="25" ht="44" customHeight="1">
      <c r="A25" s="4" t="n">
        <v>4</v>
      </c>
      <c r="B25" s="4" t="n"/>
      <c r="C25" s="4" t="n"/>
      <c r="D25" s="4" t="n"/>
      <c r="E25" s="4" t="n"/>
      <c r="F25" s="4" t="n"/>
      <c r="G25" s="4" t="n"/>
      <c r="H25" s="4" t="n"/>
      <c r="I25" s="4" t="n"/>
      <c r="J25" s="4" t="n"/>
    </row>
    <row r="26" ht="44" customHeight="1">
      <c r="A26" s="4" t="n">
        <v>5</v>
      </c>
      <c r="B26" s="4" t="n"/>
      <c r="C26" s="4" t="n"/>
      <c r="D26" s="4" t="n"/>
      <c r="E26" s="4" t="n"/>
      <c r="F26" s="4" t="n"/>
      <c r="G26" s="4" t="n"/>
      <c r="H26" s="4" t="n"/>
      <c r="I26" s="4" t="n"/>
      <c r="J26" s="4" t="n"/>
    </row>
    <row r="27" ht="44" customHeight="1">
      <c r="A27" s="4" t="n">
        <v>6</v>
      </c>
      <c r="B27" s="4" t="n"/>
      <c r="C27" s="4" t="n"/>
      <c r="D27" s="4" t="n"/>
      <c r="E27" s="4" t="n"/>
      <c r="F27" s="4" t="n"/>
      <c r="G27" s="4" t="n"/>
      <c r="H27" s="4" t="n"/>
      <c r="I27" s="4" t="n"/>
      <c r="J27" s="4" t="n"/>
    </row>
    <row r="28" ht="44" customHeight="1">
      <c r="A28" s="4" t="n">
        <v>7</v>
      </c>
      <c r="B28" s="4" t="n"/>
      <c r="C28" s="4" t="n"/>
      <c r="D28" s="4" t="n"/>
      <c r="E28" s="4" t="n"/>
      <c r="F28" s="4" t="n"/>
      <c r="G28" s="4" t="n"/>
      <c r="H28" s="4" t="n"/>
      <c r="I28" s="4" t="n"/>
      <c r="J28" s="4" t="n"/>
    </row>
    <row r="29" ht="44" customHeight="1">
      <c r="A29" s="4" t="n">
        <v>8</v>
      </c>
      <c r="B29" s="4" t="n"/>
      <c r="C29" s="4" t="n"/>
      <c r="D29" s="4" t="n"/>
      <c r="E29" s="4" t="n"/>
      <c r="F29" s="4" t="n"/>
      <c r="G29" s="4" t="n"/>
      <c r="H29" s="4" t="n"/>
      <c r="I29" s="4" t="n"/>
      <c r="J29" s="4" t="n"/>
    </row>
    <row r="30" ht="44" customHeight="1">
      <c r="A30" s="4" t="n">
        <v>9</v>
      </c>
      <c r="B30" s="4" t="n"/>
      <c r="C30" s="4" t="n"/>
      <c r="D30" s="4" t="n"/>
      <c r="E30" s="4" t="n"/>
      <c r="F30" s="4" t="n"/>
      <c r="G30" s="4" t="n"/>
      <c r="H30" s="4" t="n"/>
      <c r="I30" s="4" t="n"/>
      <c r="J30" s="4" t="n"/>
    </row>
    <row r="31" ht="44" customHeight="1">
      <c r="A31" s="4" t="n">
        <v>10</v>
      </c>
      <c r="B31" s="4" t="n"/>
      <c r="C31" s="4" t="n"/>
      <c r="D31" s="4" t="n"/>
      <c r="E31" s="4" t="n"/>
      <c r="F31" s="4" t="n"/>
      <c r="G31" s="4" t="n"/>
      <c r="H31" s="4" t="n"/>
      <c r="I31" s="4" t="n"/>
      <c r="J31" s="4" t="n"/>
    </row>
    <row r="32" ht="44" customHeight="1">
      <c r="A32" s="4" t="n">
        <v>11</v>
      </c>
      <c r="B32" s="4" t="n"/>
      <c r="C32" s="4" t="n"/>
      <c r="D32" s="4" t="n"/>
      <c r="E32" s="4" t="n"/>
      <c r="F32" s="4" t="n"/>
      <c r="G32" s="4" t="n"/>
      <c r="H32" s="4" t="n"/>
      <c r="I32" s="4" t="n"/>
      <c r="J32" s="4" t="n"/>
    </row>
    <row r="33" ht="44" customHeight="1">
      <c r="A33" s="4" t="n">
        <v>12</v>
      </c>
      <c r="B33" s="4" t="n"/>
      <c r="C33" s="4" t="n"/>
      <c r="D33" s="4" t="n"/>
      <c r="E33" s="4" t="n"/>
      <c r="F33" s="4" t="n"/>
      <c r="G33" s="4" t="n"/>
      <c r="H33" s="4" t="n"/>
      <c r="I33" s="4" t="n"/>
      <c r="J33" s="4" t="n"/>
    </row>
    <row r="34" ht="44" customHeight="1">
      <c r="A34" s="4" t="n">
        <v>13</v>
      </c>
      <c r="B34" s="4" t="n"/>
      <c r="C34" s="4" t="n"/>
      <c r="D34" s="4" t="n"/>
      <c r="E34" s="4" t="n"/>
      <c r="F34" s="4" t="n"/>
      <c r="G34" s="4" t="n"/>
      <c r="H34" s="4" t="n"/>
      <c r="I34" s="4" t="n"/>
      <c r="J34" s="4" t="n"/>
    </row>
    <row r="35" ht="44" customHeight="1">
      <c r="A35" s="4" t="n">
        <v>14</v>
      </c>
      <c r="B35" s="4" t="n"/>
      <c r="C35" s="4" t="n"/>
      <c r="D35" s="4" t="n"/>
      <c r="E35" s="4" t="n"/>
      <c r="F35" s="4" t="n"/>
      <c r="G35" s="4" t="n"/>
      <c r="H35" s="4" t="n"/>
      <c r="I35" s="4" t="n"/>
      <c r="J35" s="4" t="n"/>
    </row>
    <row r="36" ht="44" customHeight="1">
      <c r="A36" s="4" t="n">
        <v>15</v>
      </c>
      <c r="B36" s="4" t="n"/>
      <c r="C36" s="4" t="n"/>
      <c r="D36" s="4" t="n"/>
      <c r="E36" s="4" t="n"/>
      <c r="F36" s="4" t="n"/>
      <c r="G36" s="4" t="n"/>
      <c r="H36" s="4" t="n"/>
      <c r="I36" s="4" t="n"/>
      <c r="J36" s="4" t="n"/>
    </row>
    <row r="37">
      <c r="A37" s="3" t="n"/>
      <c r="B37" s="3" t="n"/>
      <c r="C37" s="3" t="n"/>
      <c r="D37" s="3" t="n"/>
      <c r="E37" s="3" t="n"/>
      <c r="F37" s="3" t="n"/>
      <c r="G37" s="3" t="n"/>
      <c r="H37" s="3" t="n"/>
      <c r="I37" s="3" t="n"/>
      <c r="J37" s="3" t="n"/>
    </row>
    <row r="38">
      <c r="A38" s="8" t="inlineStr">
        <is>
          <t>Claim-by-claim review</t>
        </is>
      </c>
      <c r="B38" s="3" t="n"/>
      <c r="C38" s="3" t="n"/>
      <c r="D38" s="3" t="n"/>
      <c r="E38" s="3" t="n"/>
      <c r="F38" s="3" t="n"/>
      <c r="G38" s="3" t="n"/>
      <c r="H38" s="3" t="n"/>
      <c r="I38" s="3" t="n"/>
      <c r="J38" s="3" t="n"/>
    </row>
    <row r="39">
      <c r="A39" s="11" t="inlineStr">
        <is>
          <t>Claim ID</t>
        </is>
      </c>
      <c r="B39" s="11" t="inlineStr">
        <is>
          <t>Claim from answer</t>
        </is>
      </c>
      <c r="C39" s="11" t="inlineStr">
        <is>
          <t>Citation used</t>
        </is>
      </c>
      <c r="D39" s="11" t="inlineStr">
        <is>
          <t>Expert verdict</t>
        </is>
      </c>
      <c r="E39" s="11" t="inlineStr">
        <is>
          <t>Issue type</t>
        </is>
      </c>
      <c r="F39" s="11" t="inlineStr">
        <is>
          <t>Cited passage / source note</t>
        </is>
      </c>
      <c r="G39" s="11" t="inlineStr">
        <is>
          <t>Required fix / comment</t>
        </is>
      </c>
      <c r="H39" s="11" t="inlineStr">
        <is>
          <t>Reviewer</t>
        </is>
      </c>
      <c r="I39" s="11" t="n"/>
      <c r="J39" s="11" t="n"/>
    </row>
    <row r="40" ht="54" customHeight="1">
      <c r="A40" s="4" t="n">
        <v>1</v>
      </c>
      <c r="B40" s="4" t="n"/>
      <c r="C40" s="4" t="n"/>
      <c r="D40" s="4" t="n"/>
      <c r="E40" s="4" t="n"/>
      <c r="F40" s="4" t="n"/>
      <c r="G40" s="4" t="n"/>
      <c r="H40" s="4" t="n"/>
      <c r="I40" s="3" t="n"/>
      <c r="J40" s="3" t="n"/>
    </row>
    <row r="41" ht="54" customHeight="1">
      <c r="A41" s="4" t="n">
        <v>2</v>
      </c>
      <c r="B41" s="4" t="n"/>
      <c r="C41" s="4" t="n"/>
      <c r="D41" s="4" t="n"/>
      <c r="E41" s="4" t="n"/>
      <c r="F41" s="4" t="n"/>
      <c r="G41" s="4" t="n"/>
      <c r="H41" s="4" t="n"/>
      <c r="I41" s="3" t="n"/>
      <c r="J41" s="3" t="n"/>
    </row>
    <row r="42" ht="54" customHeight="1">
      <c r="A42" s="4" t="n">
        <v>3</v>
      </c>
      <c r="B42" s="4" t="n"/>
      <c r="C42" s="4" t="n"/>
      <c r="D42" s="4" t="n"/>
      <c r="E42" s="4" t="n"/>
      <c r="F42" s="4" t="n"/>
      <c r="G42" s="4" t="n"/>
      <c r="H42" s="4" t="n"/>
      <c r="I42" s="3" t="n"/>
      <c r="J42" s="3" t="n"/>
    </row>
    <row r="43" ht="54" customHeight="1">
      <c r="A43" s="4" t="n">
        <v>4</v>
      </c>
      <c r="B43" s="4" t="n"/>
      <c r="C43" s="4" t="n"/>
      <c r="D43" s="4" t="n"/>
      <c r="E43" s="4" t="n"/>
      <c r="F43" s="4" t="n"/>
      <c r="G43" s="4" t="n"/>
      <c r="H43" s="4" t="n"/>
      <c r="I43" s="3" t="n"/>
      <c r="J43" s="3" t="n"/>
    </row>
    <row r="44" ht="54" customHeight="1">
      <c r="A44" s="4" t="n">
        <v>5</v>
      </c>
      <c r="B44" s="4" t="n"/>
      <c r="C44" s="4" t="n"/>
      <c r="D44" s="4" t="n"/>
      <c r="E44" s="4" t="n"/>
      <c r="F44" s="4" t="n"/>
      <c r="G44" s="4" t="n"/>
      <c r="H44" s="4" t="n"/>
      <c r="I44" s="3" t="n"/>
      <c r="J44" s="3" t="n"/>
    </row>
    <row r="45" ht="54" customHeight="1">
      <c r="A45" s="4" t="n">
        <v>6</v>
      </c>
      <c r="B45" s="4" t="n"/>
      <c r="C45" s="4" t="n"/>
      <c r="D45" s="4" t="n"/>
      <c r="E45" s="4" t="n"/>
      <c r="F45" s="4" t="n"/>
      <c r="G45" s="4" t="n"/>
      <c r="H45" s="4" t="n"/>
      <c r="I45" s="3" t="n"/>
      <c r="J45" s="3" t="n"/>
    </row>
    <row r="46" ht="54" customHeight="1">
      <c r="A46" s="4" t="n">
        <v>7</v>
      </c>
      <c r="B46" s="4" t="n"/>
      <c r="C46" s="4" t="n"/>
      <c r="D46" s="4" t="n"/>
      <c r="E46" s="4" t="n"/>
      <c r="F46" s="4" t="n"/>
      <c r="G46" s="4" t="n"/>
      <c r="H46" s="4" t="n"/>
      <c r="I46" s="3" t="n"/>
      <c r="J46" s="3" t="n"/>
    </row>
    <row r="47" ht="54" customHeight="1">
      <c r="A47" s="4" t="n">
        <v>8</v>
      </c>
      <c r="B47" s="4" t="n"/>
      <c r="C47" s="4" t="n"/>
      <c r="D47" s="4" t="n"/>
      <c r="E47" s="4" t="n"/>
      <c r="F47" s="4" t="n"/>
      <c r="G47" s="4" t="n"/>
      <c r="H47" s="4" t="n"/>
      <c r="I47" s="3" t="n"/>
      <c r="J47" s="3" t="n"/>
    </row>
    <row r="48" ht="54" customHeight="1">
      <c r="A48" s="4" t="n">
        <v>9</v>
      </c>
      <c r="B48" s="4" t="n"/>
      <c r="C48" s="4" t="n"/>
      <c r="D48" s="4" t="n"/>
      <c r="E48" s="4" t="n"/>
      <c r="F48" s="4" t="n"/>
      <c r="G48" s="4" t="n"/>
      <c r="H48" s="4" t="n"/>
      <c r="I48" s="3" t="n"/>
      <c r="J48" s="3" t="n"/>
    </row>
    <row r="49" ht="54" customHeight="1">
      <c r="A49" s="4" t="n">
        <v>10</v>
      </c>
      <c r="B49" s="4" t="n"/>
      <c r="C49" s="4" t="n"/>
      <c r="D49" s="4" t="n"/>
      <c r="E49" s="4" t="n"/>
      <c r="F49" s="4" t="n"/>
      <c r="G49" s="4" t="n"/>
      <c r="H49" s="4" t="n"/>
      <c r="I49" s="3" t="n"/>
      <c r="J49" s="3" t="n"/>
    </row>
    <row r="50" ht="54" customHeight="1">
      <c r="A50" s="4" t="n">
        <v>11</v>
      </c>
      <c r="B50" s="4" t="n"/>
      <c r="C50" s="4" t="n"/>
      <c r="D50" s="4" t="n"/>
      <c r="E50" s="4" t="n"/>
      <c r="F50" s="4" t="n"/>
      <c r="G50" s="4" t="n"/>
      <c r="H50" s="4" t="n"/>
      <c r="I50" s="3" t="n"/>
      <c r="J50" s="3" t="n"/>
    </row>
    <row r="51" ht="54" customHeight="1">
      <c r="A51" s="4" t="n">
        <v>12</v>
      </c>
      <c r="B51" s="4" t="n"/>
      <c r="C51" s="4" t="n"/>
      <c r="D51" s="4" t="n"/>
      <c r="E51" s="4" t="n"/>
      <c r="F51" s="4" t="n"/>
      <c r="G51" s="4" t="n"/>
      <c r="H51" s="4" t="n"/>
      <c r="I51" s="3" t="n"/>
      <c r="J51" s="3" t="n"/>
    </row>
    <row r="52" ht="54" customHeight="1">
      <c r="A52" s="4" t="n">
        <v>13</v>
      </c>
      <c r="B52" s="4" t="n"/>
      <c r="C52" s="4" t="n"/>
      <c r="D52" s="4" t="n"/>
      <c r="E52" s="4" t="n"/>
      <c r="F52" s="4" t="n"/>
      <c r="G52" s="4" t="n"/>
      <c r="H52" s="4" t="n"/>
      <c r="I52" s="3" t="n"/>
      <c r="J52" s="3" t="n"/>
    </row>
    <row r="53" ht="54" customHeight="1">
      <c r="A53" s="4" t="n">
        <v>14</v>
      </c>
      <c r="B53" s="4" t="n"/>
      <c r="C53" s="4" t="n"/>
      <c r="D53" s="4" t="n"/>
      <c r="E53" s="4" t="n"/>
      <c r="F53" s="4" t="n"/>
      <c r="G53" s="4" t="n"/>
      <c r="H53" s="4" t="n"/>
      <c r="I53" s="3" t="n"/>
      <c r="J53" s="3" t="n"/>
    </row>
    <row r="54" ht="54" customHeight="1">
      <c r="A54" s="4" t="n">
        <v>15</v>
      </c>
      <c r="B54" s="4" t="n"/>
      <c r="C54" s="4" t="n"/>
      <c r="D54" s="4" t="n"/>
      <c r="E54" s="4" t="n"/>
      <c r="F54" s="4" t="n"/>
      <c r="G54" s="4" t="n"/>
      <c r="H54" s="4" t="n"/>
      <c r="I54" s="3" t="n"/>
      <c r="J54" s="3" t="n"/>
    </row>
    <row r="55" ht="54" customHeight="1">
      <c r="A55" s="4" t="n">
        <v>16</v>
      </c>
      <c r="B55" s="4" t="n"/>
      <c r="C55" s="4" t="n"/>
      <c r="D55" s="4" t="n"/>
      <c r="E55" s="4" t="n"/>
      <c r="F55" s="4" t="n"/>
      <c r="G55" s="4" t="n"/>
      <c r="H55" s="4" t="n"/>
      <c r="I55" s="3" t="n"/>
      <c r="J55" s="3" t="n"/>
    </row>
    <row r="56" ht="54" customHeight="1">
      <c r="A56" s="4" t="n">
        <v>17</v>
      </c>
      <c r="B56" s="4" t="n"/>
      <c r="C56" s="4" t="n"/>
      <c r="D56" s="4" t="n"/>
      <c r="E56" s="4" t="n"/>
      <c r="F56" s="4" t="n"/>
      <c r="G56" s="4" t="n"/>
      <c r="H56" s="4" t="n"/>
      <c r="I56" s="3" t="n"/>
      <c r="J56" s="3" t="n"/>
    </row>
    <row r="57" ht="54" customHeight="1">
      <c r="A57" s="4" t="n">
        <v>18</v>
      </c>
      <c r="B57" s="4" t="n"/>
      <c r="C57" s="4" t="n"/>
      <c r="D57" s="4" t="n"/>
      <c r="E57" s="4" t="n"/>
      <c r="F57" s="4" t="n"/>
      <c r="G57" s="4" t="n"/>
      <c r="H57" s="4" t="n"/>
      <c r="I57" s="3" t="n"/>
      <c r="J57" s="3" t="n"/>
    </row>
    <row r="58" ht="54" customHeight="1">
      <c r="A58" s="4" t="n">
        <v>19</v>
      </c>
      <c r="B58" s="4" t="n"/>
      <c r="C58" s="4" t="n"/>
      <c r="D58" s="4" t="n"/>
      <c r="E58" s="4" t="n"/>
      <c r="F58" s="4" t="n"/>
      <c r="G58" s="4" t="n"/>
      <c r="H58" s="4" t="n"/>
      <c r="I58" s="3" t="n"/>
      <c r="J58" s="3" t="n"/>
    </row>
    <row r="59" ht="54" customHeight="1">
      <c r="A59" s="4" t="n">
        <v>20</v>
      </c>
      <c r="B59" s="4" t="n"/>
      <c r="C59" s="4" t="n"/>
      <c r="D59" s="4" t="n"/>
      <c r="E59" s="4" t="n"/>
      <c r="F59" s="4" t="n"/>
      <c r="G59" s="4" t="n"/>
      <c r="H59" s="4" t="n"/>
      <c r="I59" s="3" t="n"/>
      <c r="J59" s="3" t="n"/>
    </row>
    <row r="60">
      <c r="A60" s="3" t="n"/>
      <c r="B60" s="3" t="n"/>
      <c r="C60" s="3" t="n"/>
      <c r="D60" s="3" t="n"/>
      <c r="E60" s="3" t="n"/>
      <c r="F60" s="3" t="n"/>
      <c r="G60" s="3" t="n"/>
      <c r="H60" s="3" t="n"/>
      <c r="I60" s="3" t="n"/>
      <c r="J60" s="3" t="n"/>
    </row>
    <row r="61">
      <c r="A61" s="8" t="inlineStr">
        <is>
          <t>Final expert verdict</t>
        </is>
      </c>
      <c r="B61" s="3" t="n"/>
      <c r="C61" s="3" t="n"/>
      <c r="D61" s="3" t="n"/>
      <c r="E61" s="3" t="n"/>
      <c r="F61" s="3" t="n"/>
      <c r="G61" s="3" t="n"/>
      <c r="H61" s="3" t="n"/>
      <c r="I61" s="3" t="n"/>
      <c r="J61" s="3" t="n"/>
    </row>
    <row r="62">
      <c r="A62" s="12" t="inlineStr">
        <is>
          <t>Is the answer acceptable?</t>
        </is>
      </c>
      <c r="B62" s="4" t="inlineStr"/>
      <c r="C62" s="4" t="n"/>
      <c r="D62" s="4" t="n"/>
      <c r="E62" s="4" t="n"/>
      <c r="F62" s="4" t="n"/>
      <c r="G62" s="4" t="n"/>
      <c r="H62" s="4" t="n"/>
      <c r="I62" s="3" t="n"/>
      <c r="J62" s="3" t="n"/>
    </row>
    <row r="63" ht="54" customHeight="1">
      <c r="A63" s="12" t="inlineStr">
        <is>
          <t>Overall comment / required fixes</t>
        </is>
      </c>
      <c r="B63" s="4" t="n"/>
      <c r="C63" s="4" t="n"/>
      <c r="D63" s="4" t="n"/>
      <c r="E63" s="4" t="n"/>
      <c r="F63" s="4" t="n"/>
      <c r="G63" s="4" t="n"/>
      <c r="H63" s="4" t="n"/>
      <c r="I63" s="3" t="n"/>
      <c r="J63" s="3" t="n"/>
    </row>
    <row r="64">
      <c r="A64" s="4" t="n"/>
      <c r="B64" s="4" t="n"/>
      <c r="C64" s="4" t="n"/>
      <c r="D64" s="4" t="n"/>
      <c r="E64" s="4" t="n"/>
      <c r="F64" s="4" t="n"/>
      <c r="G64" s="4" t="n"/>
      <c r="H64" s="4" t="n"/>
      <c r="I64" s="3" t="n"/>
      <c r="J64" s="3" t="n"/>
    </row>
    <row r="65">
      <c r="A65" s="12" t="inlineStr">
        <is>
          <t>Missing key sources?</t>
        </is>
      </c>
      <c r="B65" s="4" t="n"/>
      <c r="C65" s="4" t="n"/>
      <c r="D65" s="4" t="n"/>
      <c r="E65" s="4" t="n"/>
      <c r="F65" s="4" t="n"/>
      <c r="G65" s="4" t="n"/>
      <c r="H65" s="4" t="n"/>
      <c r="I65" s="3" t="n"/>
      <c r="J65" s="3" t="n"/>
    </row>
    <row r="66">
      <c r="A66" s="12" t="inlineStr">
        <is>
          <t>Review completed?</t>
        </is>
      </c>
      <c r="B66" s="4" t="inlineStr"/>
      <c r="C66" s="4" t="n"/>
      <c r="D66" s="4" t="n"/>
      <c r="E66" s="4" t="n"/>
      <c r="F66" s="4" t="n"/>
      <c r="G66" s="4" t="n"/>
      <c r="H66" s="4" t="n"/>
      <c r="I66" s="3" t="n"/>
      <c r="J66" s="3" t="n"/>
    </row>
    <row r="67">
      <c r="A67" s="12" t="inlineStr">
        <is>
          <t>Reviewer</t>
        </is>
      </c>
      <c r="B67" s="4" t="n"/>
      <c r="C67" s="12" t="inlineStr">
        <is>
          <t>Review date</t>
        </is>
      </c>
      <c r="D67" s="5" t="inlineStr"/>
      <c r="E67" s="4" t="n"/>
      <c r="F67" s="4" t="n"/>
      <c r="G67" s="4" t="n"/>
      <c r="H67" s="4" t="n"/>
      <c r="I67" s="3" t="n"/>
      <c r="J67" s="3" t="n"/>
    </row>
    <row r="68">
      <c r="A68" s="3" t="n"/>
      <c r="B68" s="3" t="n"/>
      <c r="C68" s="3" t="n"/>
      <c r="D68" s="3" t="n"/>
      <c r="E68" s="3" t="n"/>
      <c r="F68" s="3" t="n"/>
      <c r="G68" s="3" t="n"/>
      <c r="H68" s="3" t="n"/>
      <c r="I68" s="3" t="n"/>
      <c r="J68" s="3" t="n"/>
    </row>
    <row r="69">
      <c r="A69" s="8" t="inlineStr">
        <is>
          <t>Original source notes</t>
        </is>
      </c>
      <c r="B69" s="3" t="n"/>
      <c r="C69" s="3" t="n"/>
      <c r="D69" s="3" t="n"/>
      <c r="E69" s="3" t="n"/>
      <c r="F69" s="3" t="n"/>
      <c r="G69" s="3" t="n"/>
      <c r="H69" s="3" t="n"/>
      <c r="I69" s="3" t="n"/>
      <c r="J69" s="3" t="n"/>
    </row>
    <row r="70">
      <c r="A70" s="12" t="inlineStr">
        <is>
          <t>WAB notes</t>
        </is>
      </c>
      <c r="B70" s="4" t="inlineStr"/>
      <c r="C70" s="4" t="n"/>
      <c r="D70" s="4" t="n"/>
      <c r="E70" s="4" t="n"/>
      <c r="F70" s="4" t="n"/>
      <c r="G70" s="4" t="n"/>
      <c r="H70" s="4" t="n"/>
      <c r="I70" s="3" t="n"/>
      <c r="J70" s="3" t="n"/>
    </row>
    <row r="71" ht="54" customHeight="1">
      <c r="A71" s="12" t="inlineStr">
        <is>
          <t>Reviewer notes from question approval</t>
        </is>
      </c>
      <c r="B71" s="4" t="inlineStr"/>
      <c r="C71" s="4" t="n"/>
      <c r="D71" s="4" t="n"/>
      <c r="E71" s="4" t="n"/>
      <c r="F71" s="4" t="n"/>
      <c r="G71" s="4" t="n"/>
      <c r="H71" s="4" t="n"/>
      <c r="I71" s="3" t="n"/>
      <c r="J71" s="3" t="n"/>
    </row>
    <row r="72">
      <c r="A72" s="4" t="n"/>
      <c r="B72" s="4" t="n"/>
      <c r="C72" s="4" t="n"/>
      <c r="D72" s="4" t="n"/>
      <c r="E72" s="4" t="n"/>
      <c r="F72" s="4" t="n"/>
      <c r="G72" s="4" t="n"/>
      <c r="H72" s="4" t="n"/>
      <c r="I72" s="3" t="n"/>
      <c r="J72" s="3" t="n"/>
    </row>
  </sheetData>
  <autoFilter ref="A21:J36"/>
  <mergeCells count="20">
    <mergeCell ref="B65:H65"/>
    <mergeCell ref="B71:H72"/>
    <mergeCell ref="B6:H6"/>
    <mergeCell ref="A20:J20"/>
    <mergeCell ref="A1:H1"/>
    <mergeCell ref="B5:H5"/>
    <mergeCell ref="A61:H61"/>
    <mergeCell ref="A69:H69"/>
    <mergeCell ref="B4:H4"/>
    <mergeCell ref="B62:H62"/>
    <mergeCell ref="B7:H7"/>
    <mergeCell ref="B66:H66"/>
    <mergeCell ref="A3:H3"/>
    <mergeCell ref="A16:H18"/>
    <mergeCell ref="B70:H70"/>
    <mergeCell ref="A14:H14"/>
    <mergeCell ref="B63:H64"/>
    <mergeCell ref="B8:H8"/>
    <mergeCell ref="B10:H12"/>
    <mergeCell ref="A38:H38"/>
  </mergeCells>
  <dataValidations count="9">
    <dataValidation sqref="C22:C36" showDropDown="0" showInputMessage="0" showErrorMessage="0" allowBlank="1" type="list">
      <formula1>=Lists!$F$2:$F$5</formula1>
    </dataValidation>
    <dataValidation sqref="F22:F36" showDropDown="0" showInputMessage="0" showErrorMessage="0" allowBlank="1" type="list">
      <formula1>=Lists!$G$2:$G$4</formula1>
    </dataValidation>
    <dataValidation sqref="G22:G36" showDropDown="0" showInputMessage="0" showErrorMessage="0" allowBlank="1" type="list">
      <formula1>=Lists!$G$2:$G$4</formula1>
    </dataValidation>
    <dataValidation sqref="H22:H36" showDropDown="0" showInputMessage="0" showErrorMessage="0" allowBlank="1" type="list">
      <formula1>=Lists!$G$2:$G$4</formula1>
    </dataValidation>
    <dataValidation sqref="I22:I36" showDropDown="0" showInputMessage="0" showErrorMessage="0" allowBlank="1" type="list">
      <formula1>=Lists!$H$2:$H$6</formula1>
    </dataValidation>
    <dataValidation sqref="D40:D59" showDropDown="0" showInputMessage="0" showErrorMessage="0" allowBlank="1" type="list">
      <formula1>=Lists!$D$2:$D$7</formula1>
    </dataValidation>
    <dataValidation sqref="E40:E59" showDropDown="0" showInputMessage="0" showErrorMessage="0" allowBlank="1" type="list">
      <formula1>=Lists!$E$2:$E$8</formula1>
    </dataValidation>
    <dataValidation sqref="B62" showDropDown="0" showInputMessage="0" showErrorMessage="0" allowBlank="1" type="list">
      <formula1>=Lists!$C$2:$C$4</formula1>
    </dataValidation>
    <dataValidation sqref="B66" showDropDown="0" showInputMessage="0" showErrorMessage="0" allowBlank="1" type="list">
      <formula1>=Lists!$A$2:$A$3</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J72"/>
  <sheetViews>
    <sheetView showGridLines="0" workbookViewId="0">
      <pane ySplit="21" topLeftCell="A22" activePane="bottomLeft" state="frozen"/>
      <selection pane="bottomLeft" activeCell="A1" sqref="A1"/>
    </sheetView>
  </sheetViews>
  <sheetFormatPr baseColWidth="8" defaultRowHeight="15"/>
  <cols>
    <col width="12" customWidth="1" min="1" max="1"/>
    <col width="34" customWidth="1" min="2" max="2"/>
    <col width="22" customWidth="1" min="3" max="3"/>
    <col width="18" customWidth="1" min="4" max="4"/>
    <col width="20" customWidth="1" min="5" max="5"/>
    <col width="30" customWidth="1" min="6" max="6"/>
    <col width="34" customWidth="1" min="7" max="7"/>
    <col width="18" customWidth="1" min="8" max="8"/>
    <col width="18" customWidth="1" min="9" max="9"/>
    <col width="30" customWidth="1" min="10" max="10"/>
  </cols>
  <sheetData>
    <row r="1" ht="28" customHeight="1">
      <c r="A1" s="6" t="inlineStr">
        <is>
          <t>Q06 — Expert Review</t>
        </is>
      </c>
      <c r="B1" s="3" t="n"/>
      <c r="C1" s="3" t="n"/>
      <c r="D1" s="3" t="n"/>
      <c r="E1" s="3" t="n"/>
      <c r="F1" s="3" t="n"/>
      <c r="G1" s="3" t="n"/>
      <c r="H1" s="3" t="n"/>
      <c r="I1" s="3" t="n"/>
      <c r="J1" s="3" t="n"/>
    </row>
    <row r="2">
      <c r="A2" s="3" t="n"/>
      <c r="B2" s="3" t="n"/>
      <c r="C2" s="3" t="n"/>
      <c r="D2" s="3" t="n"/>
      <c r="E2" s="3" t="n"/>
      <c r="F2" s="3" t="n"/>
      <c r="G2" s="3" t="n"/>
      <c r="H2" s="3" t="n"/>
      <c r="I2" s="3" t="n"/>
      <c r="J2" s="3" t="n"/>
    </row>
    <row r="3">
      <c r="A3" s="8" t="inlineStr">
        <is>
          <t>Question metadata</t>
        </is>
      </c>
      <c r="B3" s="3" t="n"/>
      <c r="C3" s="3" t="n"/>
      <c r="D3" s="3" t="n"/>
      <c r="E3" s="3" t="n"/>
      <c r="F3" s="3" t="n"/>
      <c r="G3" s="3" t="n"/>
      <c r="H3" s="3" t="n"/>
      <c r="I3" s="3" t="n"/>
      <c r="J3" s="3" t="n"/>
    </row>
    <row r="4">
      <c r="A4" s="9" t="inlineStr">
        <is>
          <t>Question ID</t>
        </is>
      </c>
      <c r="B4" s="3" t="n">
        <v>6</v>
      </c>
      <c r="C4" s="3" t="n"/>
      <c r="D4" s="3" t="n"/>
      <c r="E4" s="3" t="n"/>
      <c r="F4" s="3" t="n"/>
      <c r="G4" s="3" t="n"/>
      <c r="H4" s="3" t="n"/>
      <c r="I4" s="3" t="n"/>
      <c r="J4" s="3" t="n"/>
    </row>
    <row r="5">
      <c r="A5" s="9" t="inlineStr">
        <is>
          <t>Topic</t>
        </is>
      </c>
      <c r="B5" s="3" t="inlineStr">
        <is>
          <t>Food delivery — potential competition</t>
        </is>
      </c>
      <c r="C5" s="3" t="n"/>
      <c r="D5" s="3" t="n"/>
      <c r="E5" s="3" t="n"/>
      <c r="F5" s="3" t="n"/>
      <c r="G5" s="3" t="n"/>
      <c r="H5" s="3" t="n"/>
      <c r="I5" s="3" t="n"/>
      <c r="J5" s="3" t="n"/>
    </row>
    <row r="6">
      <c r="A6" s="9" t="inlineStr">
        <is>
          <t>Scope</t>
        </is>
      </c>
      <c r="B6" s="3" t="inlineStr">
        <is>
          <t>UK</t>
        </is>
      </c>
      <c r="C6" s="3" t="n"/>
      <c r="D6" s="3" t="n"/>
      <c r="E6" s="3" t="n"/>
      <c r="F6" s="3" t="n"/>
      <c r="G6" s="3" t="n"/>
      <c r="H6" s="3" t="n"/>
      <c r="I6" s="3" t="n"/>
      <c r="J6" s="3" t="n"/>
    </row>
    <row r="7">
      <c r="A7" s="9" t="inlineStr">
        <is>
          <t>Original reviewer</t>
        </is>
      </c>
      <c r="B7" s="3" t="inlineStr">
        <is>
          <t>Carolina</t>
        </is>
      </c>
      <c r="C7" s="3" t="n"/>
      <c r="D7" s="3" t="n"/>
      <c r="E7" s="3" t="n"/>
      <c r="F7" s="3" t="n"/>
      <c r="G7" s="3" t="n"/>
      <c r="H7" s="3" t="n"/>
      <c r="I7" s="3" t="n"/>
      <c r="J7" s="3" t="n"/>
    </row>
    <row r="8">
      <c r="A8" s="9" t="inlineStr">
        <is>
          <t>Original status</t>
        </is>
      </c>
      <c r="B8" s="3" t="inlineStr">
        <is>
          <t>Approved</t>
        </is>
      </c>
      <c r="C8" s="3" t="n"/>
      <c r="D8" s="3" t="n"/>
      <c r="E8" s="3" t="n"/>
      <c r="F8" s="3" t="n"/>
      <c r="G8" s="3" t="n"/>
      <c r="H8" s="3" t="n"/>
      <c r="I8" s="3" t="n"/>
      <c r="J8" s="3" t="n"/>
    </row>
    <row r="9">
      <c r="A9" s="3" t="n"/>
      <c r="B9" s="3" t="n"/>
      <c r="C9" s="3" t="n"/>
      <c r="D9" s="3" t="n"/>
      <c r="E9" s="3" t="n"/>
      <c r="F9" s="3" t="n"/>
      <c r="G9" s="3" t="n"/>
      <c r="H9" s="3" t="n"/>
      <c r="I9" s="3" t="n"/>
      <c r="J9" s="3" t="n"/>
    </row>
    <row r="10" ht="45" customHeight="1">
      <c r="A10" s="9" t="inlineStr">
        <is>
          <t>Question</t>
        </is>
      </c>
      <c r="B10" s="3" t="inlineStr">
        <is>
          <t>Potential competition and re-entry — where the acquirer is not active in the UK, how has the CMA treated entry or re-entry absent the merger?</t>
        </is>
      </c>
      <c r="C10" s="3" t="n"/>
      <c r="D10" s="3" t="n"/>
      <c r="E10" s="3" t="n"/>
      <c r="F10" s="3" t="n"/>
      <c r="G10" s="3" t="n"/>
      <c r="H10" s="3" t="n"/>
      <c r="I10" s="3" t="n"/>
      <c r="J10" s="3" t="n"/>
    </row>
    <row r="11">
      <c r="A11" s="3" t="n"/>
      <c r="B11" s="3" t="n"/>
      <c r="C11" s="3" t="n"/>
      <c r="D11" s="3" t="n"/>
      <c r="E11" s="3" t="n"/>
      <c r="F11" s="3" t="n"/>
      <c r="G11" s="3" t="n"/>
      <c r="H11" s="3" t="n"/>
      <c r="I11" s="3" t="n"/>
      <c r="J11" s="3" t="n"/>
    </row>
    <row r="12">
      <c r="A12" s="3" t="n"/>
      <c r="B12" s="3" t="n"/>
      <c r="C12" s="3" t="n"/>
      <c r="D12" s="3" t="n"/>
      <c r="E12" s="3" t="n"/>
      <c r="F12" s="3" t="n"/>
      <c r="G12" s="3" t="n"/>
      <c r="H12" s="3" t="n"/>
      <c r="I12" s="3" t="n"/>
      <c r="J12" s="3" t="n"/>
    </row>
    <row r="13">
      <c r="A13" s="3" t="n"/>
      <c r="B13" s="3" t="n"/>
      <c r="C13" s="3" t="n"/>
      <c r="D13" s="3" t="n"/>
      <c r="E13" s="3" t="n"/>
      <c r="F13" s="3" t="n"/>
      <c r="G13" s="3" t="n"/>
      <c r="H13" s="3" t="n"/>
      <c r="I13" s="3" t="n"/>
      <c r="J13" s="3" t="n"/>
    </row>
    <row r="14">
      <c r="A14" s="8" t="inlineStr">
        <is>
          <t>Generated answer</t>
        </is>
      </c>
      <c r="B14" s="3" t="n"/>
      <c r="C14" s="3" t="n"/>
      <c r="D14" s="3" t="n"/>
      <c r="E14" s="3" t="n"/>
      <c r="F14" s="3" t="n"/>
      <c r="G14" s="3" t="n"/>
      <c r="H14" s="3" t="n"/>
      <c r="I14" s="3" t="n"/>
      <c r="J14" s="3" t="n"/>
    </row>
    <row r="15">
      <c r="A15" s="10" t="inlineStr">
        <is>
          <t>Paste the generated answer below.</t>
        </is>
      </c>
      <c r="B15" s="3" t="n"/>
      <c r="C15" s="3" t="n"/>
      <c r="D15" s="3" t="n"/>
      <c r="E15" s="3" t="n"/>
      <c r="F15" s="3" t="n"/>
      <c r="G15" s="3" t="n"/>
      <c r="H15" s="3" t="n"/>
      <c r="I15" s="3" t="n"/>
      <c r="J15" s="3" t="n"/>
    </row>
    <row r="16" ht="90" customHeight="1">
      <c r="A16" s="3" t="inlineStr"/>
      <c r="B16" s="3" t="n"/>
      <c r="C16" s="3" t="n"/>
      <c r="D16" s="3" t="n"/>
      <c r="E16" s="3" t="n"/>
      <c r="F16" s="3" t="n"/>
      <c r="G16" s="3" t="n"/>
      <c r="H16" s="3" t="n"/>
      <c r="I16" s="3" t="n"/>
      <c r="J16" s="3" t="n"/>
    </row>
    <row r="17" ht="30" customHeight="1">
      <c r="A17" s="3" t="n"/>
      <c r="B17" s="3" t="n"/>
      <c r="C17" s="3" t="n"/>
      <c r="D17" s="3" t="n"/>
      <c r="E17" s="3" t="n"/>
      <c r="F17" s="3" t="n"/>
      <c r="G17" s="3" t="n"/>
      <c r="H17" s="3" t="n"/>
      <c r="I17" s="3" t="n"/>
      <c r="J17" s="3" t="n"/>
    </row>
    <row r="18" ht="30" customHeight="1">
      <c r="A18" s="3" t="n"/>
      <c r="B18" s="3" t="n"/>
      <c r="C18" s="3" t="n"/>
      <c r="D18" s="3" t="n"/>
      <c r="E18" s="3" t="n"/>
      <c r="F18" s="3" t="n"/>
      <c r="G18" s="3" t="n"/>
      <c r="H18" s="3" t="n"/>
      <c r="I18" s="3" t="n"/>
      <c r="J18" s="3" t="n"/>
    </row>
    <row r="19">
      <c r="A19" s="9" t="inlineStr">
        <is>
          <t>Run ID</t>
        </is>
      </c>
      <c r="B19" s="3" t="inlineStr"/>
      <c r="C19" s="9" t="inlineStr">
        <is>
          <t>Run date</t>
        </is>
      </c>
      <c r="D19" s="3" t="inlineStr"/>
      <c r="E19" s="9" t="inlineStr">
        <is>
          <t>Model / prompt version</t>
        </is>
      </c>
      <c r="F19" s="3" t="inlineStr"/>
      <c r="G19" s="9" t="inlineStr">
        <is>
          <t>Corpus snapshot</t>
        </is>
      </c>
      <c r="H19" s="3" t="inlineStr"/>
      <c r="I19" s="3" t="n"/>
      <c r="J19" s="3" t="n"/>
    </row>
    <row r="20">
      <c r="A20" s="8" t="inlineStr">
        <is>
          <t>Retrieval set review</t>
        </is>
      </c>
      <c r="B20" s="3" t="n"/>
      <c r="C20" s="3" t="n"/>
      <c r="D20" s="3" t="n"/>
      <c r="E20" s="3" t="n"/>
      <c r="F20" s="3" t="n"/>
      <c r="G20" s="3" t="n"/>
      <c r="H20" s="3" t="n"/>
      <c r="I20" s="3" t="n"/>
      <c r="J20" s="3" t="n"/>
    </row>
    <row r="21">
      <c r="A21" s="11" t="inlineStr">
        <is>
          <t>Rank</t>
        </is>
      </c>
      <c r="B21" s="11" t="inlineStr">
        <is>
          <t>Retrieved source</t>
        </is>
      </c>
      <c r="C21" s="11" t="inlineStr">
        <is>
          <t>Source type</t>
        </is>
      </c>
      <c r="D21" s="11" t="inlineStr">
        <is>
          <t>Jurisdiction</t>
        </is>
      </c>
      <c r="E21" s="11" t="inlineStr">
        <is>
          <t>URL / Document ID</t>
        </is>
      </c>
      <c r="F21" s="11" t="inlineStr">
        <is>
          <t>Returned by engine?</t>
        </is>
      </c>
      <c r="G21" s="11" t="inlineStr">
        <is>
          <t>Required source?</t>
        </is>
      </c>
      <c r="H21" s="11" t="inlineStr">
        <is>
          <t>Trap?</t>
        </is>
      </c>
      <c r="I21" s="11" t="inlineStr">
        <is>
          <t>Expert verdict</t>
        </is>
      </c>
      <c r="J21" s="11" t="inlineStr">
        <is>
          <t>Notes</t>
        </is>
      </c>
    </row>
    <row r="22" ht="44" customHeight="1">
      <c r="A22" s="4" t="n">
        <v>1</v>
      </c>
      <c r="B22" s="4" t="n"/>
      <c r="C22" s="4" t="n"/>
      <c r="D22" s="4" t="n"/>
      <c r="E22" s="4" t="n"/>
      <c r="F22" s="4" t="n"/>
      <c r="G22" s="4" t="n"/>
      <c r="H22" s="4" t="n"/>
      <c r="I22" s="4" t="n"/>
      <c r="J22" s="4" t="n"/>
    </row>
    <row r="23" ht="44" customHeight="1">
      <c r="A23" s="4" t="n">
        <v>2</v>
      </c>
      <c r="B23" s="4" t="n"/>
      <c r="C23" s="4" t="n"/>
      <c r="D23" s="4" t="n"/>
      <c r="E23" s="4" t="n"/>
      <c r="F23" s="4" t="n"/>
      <c r="G23" s="4" t="n"/>
      <c r="H23" s="4" t="n"/>
      <c r="I23" s="4" t="n"/>
      <c r="J23" s="4" t="n"/>
    </row>
    <row r="24" ht="44" customHeight="1">
      <c r="A24" s="4" t="n">
        <v>3</v>
      </c>
      <c r="B24" s="4" t="n"/>
      <c r="C24" s="4" t="n"/>
      <c r="D24" s="4" t="n"/>
      <c r="E24" s="4" t="n"/>
      <c r="F24" s="4" t="n"/>
      <c r="G24" s="4" t="n"/>
      <c r="H24" s="4" t="n"/>
      <c r="I24" s="4" t="n"/>
      <c r="J24" s="4" t="n"/>
    </row>
    <row r="25" ht="44" customHeight="1">
      <c r="A25" s="4" t="n">
        <v>4</v>
      </c>
      <c r="B25" s="4" t="n"/>
      <c r="C25" s="4" t="n"/>
      <c r="D25" s="4" t="n"/>
      <c r="E25" s="4" t="n"/>
      <c r="F25" s="4" t="n"/>
      <c r="G25" s="4" t="n"/>
      <c r="H25" s="4" t="n"/>
      <c r="I25" s="4" t="n"/>
      <c r="J25" s="4" t="n"/>
    </row>
    <row r="26" ht="44" customHeight="1">
      <c r="A26" s="4" t="n">
        <v>5</v>
      </c>
      <c r="B26" s="4" t="n"/>
      <c r="C26" s="4" t="n"/>
      <c r="D26" s="4" t="n"/>
      <c r="E26" s="4" t="n"/>
      <c r="F26" s="4" t="n"/>
      <c r="G26" s="4" t="n"/>
      <c r="H26" s="4" t="n"/>
      <c r="I26" s="4" t="n"/>
      <c r="J26" s="4" t="n"/>
    </row>
    <row r="27" ht="44" customHeight="1">
      <c r="A27" s="4" t="n">
        <v>6</v>
      </c>
      <c r="B27" s="4" t="n"/>
      <c r="C27" s="4" t="n"/>
      <c r="D27" s="4" t="n"/>
      <c r="E27" s="4" t="n"/>
      <c r="F27" s="4" t="n"/>
      <c r="G27" s="4" t="n"/>
      <c r="H27" s="4" t="n"/>
      <c r="I27" s="4" t="n"/>
      <c r="J27" s="4" t="n"/>
    </row>
    <row r="28" ht="44" customHeight="1">
      <c r="A28" s="4" t="n">
        <v>7</v>
      </c>
      <c r="B28" s="4" t="n"/>
      <c r="C28" s="4" t="n"/>
      <c r="D28" s="4" t="n"/>
      <c r="E28" s="4" t="n"/>
      <c r="F28" s="4" t="n"/>
      <c r="G28" s="4" t="n"/>
      <c r="H28" s="4" t="n"/>
      <c r="I28" s="4" t="n"/>
      <c r="J28" s="4" t="n"/>
    </row>
    <row r="29" ht="44" customHeight="1">
      <c r="A29" s="4" t="n">
        <v>8</v>
      </c>
      <c r="B29" s="4" t="n"/>
      <c r="C29" s="4" t="n"/>
      <c r="D29" s="4" t="n"/>
      <c r="E29" s="4" t="n"/>
      <c r="F29" s="4" t="n"/>
      <c r="G29" s="4" t="n"/>
      <c r="H29" s="4" t="n"/>
      <c r="I29" s="4" t="n"/>
      <c r="J29" s="4" t="n"/>
    </row>
    <row r="30" ht="44" customHeight="1">
      <c r="A30" s="4" t="n">
        <v>9</v>
      </c>
      <c r="B30" s="4" t="n"/>
      <c r="C30" s="4" t="n"/>
      <c r="D30" s="4" t="n"/>
      <c r="E30" s="4" t="n"/>
      <c r="F30" s="4" t="n"/>
      <c r="G30" s="4" t="n"/>
      <c r="H30" s="4" t="n"/>
      <c r="I30" s="4" t="n"/>
      <c r="J30" s="4" t="n"/>
    </row>
    <row r="31" ht="44" customHeight="1">
      <c r="A31" s="4" t="n">
        <v>10</v>
      </c>
      <c r="B31" s="4" t="n"/>
      <c r="C31" s="4" t="n"/>
      <c r="D31" s="4" t="n"/>
      <c r="E31" s="4" t="n"/>
      <c r="F31" s="4" t="n"/>
      <c r="G31" s="4" t="n"/>
      <c r="H31" s="4" t="n"/>
      <c r="I31" s="4" t="n"/>
      <c r="J31" s="4" t="n"/>
    </row>
    <row r="32" ht="44" customHeight="1">
      <c r="A32" s="4" t="n">
        <v>11</v>
      </c>
      <c r="B32" s="4" t="n"/>
      <c r="C32" s="4" t="n"/>
      <c r="D32" s="4" t="n"/>
      <c r="E32" s="4" t="n"/>
      <c r="F32" s="4" t="n"/>
      <c r="G32" s="4" t="n"/>
      <c r="H32" s="4" t="n"/>
      <c r="I32" s="4" t="n"/>
      <c r="J32" s="4" t="n"/>
    </row>
    <row r="33" ht="44" customHeight="1">
      <c r="A33" s="4" t="n">
        <v>12</v>
      </c>
      <c r="B33" s="4" t="n"/>
      <c r="C33" s="4" t="n"/>
      <c r="D33" s="4" t="n"/>
      <c r="E33" s="4" t="n"/>
      <c r="F33" s="4" t="n"/>
      <c r="G33" s="4" t="n"/>
      <c r="H33" s="4" t="n"/>
      <c r="I33" s="4" t="n"/>
      <c r="J33" s="4" t="n"/>
    </row>
    <row r="34" ht="44" customHeight="1">
      <c r="A34" s="4" t="n">
        <v>13</v>
      </c>
      <c r="B34" s="4" t="n"/>
      <c r="C34" s="4" t="n"/>
      <c r="D34" s="4" t="n"/>
      <c r="E34" s="4" t="n"/>
      <c r="F34" s="4" t="n"/>
      <c r="G34" s="4" t="n"/>
      <c r="H34" s="4" t="n"/>
      <c r="I34" s="4" t="n"/>
      <c r="J34" s="4" t="n"/>
    </row>
    <row r="35" ht="44" customHeight="1">
      <c r="A35" s="4" t="n">
        <v>14</v>
      </c>
      <c r="B35" s="4" t="n"/>
      <c r="C35" s="4" t="n"/>
      <c r="D35" s="4" t="n"/>
      <c r="E35" s="4" t="n"/>
      <c r="F35" s="4" t="n"/>
      <c r="G35" s="4" t="n"/>
      <c r="H35" s="4" t="n"/>
      <c r="I35" s="4" t="n"/>
      <c r="J35" s="4" t="n"/>
    </row>
    <row r="36" ht="44" customHeight="1">
      <c r="A36" s="4" t="n">
        <v>15</v>
      </c>
      <c r="B36" s="4" t="n"/>
      <c r="C36" s="4" t="n"/>
      <c r="D36" s="4" t="n"/>
      <c r="E36" s="4" t="n"/>
      <c r="F36" s="4" t="n"/>
      <c r="G36" s="4" t="n"/>
      <c r="H36" s="4" t="n"/>
      <c r="I36" s="4" t="n"/>
      <c r="J36" s="4" t="n"/>
    </row>
    <row r="37">
      <c r="A37" s="3" t="n"/>
      <c r="B37" s="3" t="n"/>
      <c r="C37" s="3" t="n"/>
      <c r="D37" s="3" t="n"/>
      <c r="E37" s="3" t="n"/>
      <c r="F37" s="3" t="n"/>
      <c r="G37" s="3" t="n"/>
      <c r="H37" s="3" t="n"/>
      <c r="I37" s="3" t="n"/>
      <c r="J37" s="3" t="n"/>
    </row>
    <row r="38">
      <c r="A38" s="8" t="inlineStr">
        <is>
          <t>Claim-by-claim review</t>
        </is>
      </c>
      <c r="B38" s="3" t="n"/>
      <c r="C38" s="3" t="n"/>
      <c r="D38" s="3" t="n"/>
      <c r="E38" s="3" t="n"/>
      <c r="F38" s="3" t="n"/>
      <c r="G38" s="3" t="n"/>
      <c r="H38" s="3" t="n"/>
      <c r="I38" s="3" t="n"/>
      <c r="J38" s="3" t="n"/>
    </row>
    <row r="39">
      <c r="A39" s="11" t="inlineStr">
        <is>
          <t>Claim ID</t>
        </is>
      </c>
      <c r="B39" s="11" t="inlineStr">
        <is>
          <t>Claim from answer</t>
        </is>
      </c>
      <c r="C39" s="11" t="inlineStr">
        <is>
          <t>Citation used</t>
        </is>
      </c>
      <c r="D39" s="11" t="inlineStr">
        <is>
          <t>Expert verdict</t>
        </is>
      </c>
      <c r="E39" s="11" t="inlineStr">
        <is>
          <t>Issue type</t>
        </is>
      </c>
      <c r="F39" s="11" t="inlineStr">
        <is>
          <t>Cited passage / source note</t>
        </is>
      </c>
      <c r="G39" s="11" t="inlineStr">
        <is>
          <t>Required fix / comment</t>
        </is>
      </c>
      <c r="H39" s="11" t="inlineStr">
        <is>
          <t>Reviewer</t>
        </is>
      </c>
      <c r="I39" s="11" t="n"/>
      <c r="J39" s="11" t="n"/>
    </row>
    <row r="40" ht="54" customHeight="1">
      <c r="A40" s="4" t="n">
        <v>1</v>
      </c>
      <c r="B40" s="4" t="n"/>
      <c r="C40" s="4" t="n"/>
      <c r="D40" s="4" t="n"/>
      <c r="E40" s="4" t="n"/>
      <c r="F40" s="4" t="n"/>
      <c r="G40" s="4" t="n"/>
      <c r="H40" s="4" t="n"/>
      <c r="I40" s="3" t="n"/>
      <c r="J40" s="3" t="n"/>
    </row>
    <row r="41" ht="54" customHeight="1">
      <c r="A41" s="4" t="n">
        <v>2</v>
      </c>
      <c r="B41" s="4" t="n"/>
      <c r="C41" s="4" t="n"/>
      <c r="D41" s="4" t="n"/>
      <c r="E41" s="4" t="n"/>
      <c r="F41" s="4" t="n"/>
      <c r="G41" s="4" t="n"/>
      <c r="H41" s="4" t="n"/>
      <c r="I41" s="3" t="n"/>
      <c r="J41" s="3" t="n"/>
    </row>
    <row r="42" ht="54" customHeight="1">
      <c r="A42" s="4" t="n">
        <v>3</v>
      </c>
      <c r="B42" s="4" t="n"/>
      <c r="C42" s="4" t="n"/>
      <c r="D42" s="4" t="n"/>
      <c r="E42" s="4" t="n"/>
      <c r="F42" s="4" t="n"/>
      <c r="G42" s="4" t="n"/>
      <c r="H42" s="4" t="n"/>
      <c r="I42" s="3" t="n"/>
      <c r="J42" s="3" t="n"/>
    </row>
    <row r="43" ht="54" customHeight="1">
      <c r="A43" s="4" t="n">
        <v>4</v>
      </c>
      <c r="B43" s="4" t="n"/>
      <c r="C43" s="4" t="n"/>
      <c r="D43" s="4" t="n"/>
      <c r="E43" s="4" t="n"/>
      <c r="F43" s="4" t="n"/>
      <c r="G43" s="4" t="n"/>
      <c r="H43" s="4" t="n"/>
      <c r="I43" s="3" t="n"/>
      <c r="J43" s="3" t="n"/>
    </row>
    <row r="44" ht="54" customHeight="1">
      <c r="A44" s="4" t="n">
        <v>5</v>
      </c>
      <c r="B44" s="4" t="n"/>
      <c r="C44" s="4" t="n"/>
      <c r="D44" s="4" t="n"/>
      <c r="E44" s="4" t="n"/>
      <c r="F44" s="4" t="n"/>
      <c r="G44" s="4" t="n"/>
      <c r="H44" s="4" t="n"/>
      <c r="I44" s="3" t="n"/>
      <c r="J44" s="3" t="n"/>
    </row>
    <row r="45" ht="54" customHeight="1">
      <c r="A45" s="4" t="n">
        <v>6</v>
      </c>
      <c r="B45" s="4" t="n"/>
      <c r="C45" s="4" t="n"/>
      <c r="D45" s="4" t="n"/>
      <c r="E45" s="4" t="n"/>
      <c r="F45" s="4" t="n"/>
      <c r="G45" s="4" t="n"/>
      <c r="H45" s="4" t="n"/>
      <c r="I45" s="3" t="n"/>
      <c r="J45" s="3" t="n"/>
    </row>
    <row r="46" ht="54" customHeight="1">
      <c r="A46" s="4" t="n">
        <v>7</v>
      </c>
      <c r="B46" s="4" t="n"/>
      <c r="C46" s="4" t="n"/>
      <c r="D46" s="4" t="n"/>
      <c r="E46" s="4" t="n"/>
      <c r="F46" s="4" t="n"/>
      <c r="G46" s="4" t="n"/>
      <c r="H46" s="4" t="n"/>
      <c r="I46" s="3" t="n"/>
      <c r="J46" s="3" t="n"/>
    </row>
    <row r="47" ht="54" customHeight="1">
      <c r="A47" s="4" t="n">
        <v>8</v>
      </c>
      <c r="B47" s="4" t="n"/>
      <c r="C47" s="4" t="n"/>
      <c r="D47" s="4" t="n"/>
      <c r="E47" s="4" t="n"/>
      <c r="F47" s="4" t="n"/>
      <c r="G47" s="4" t="n"/>
      <c r="H47" s="4" t="n"/>
      <c r="I47" s="3" t="n"/>
      <c r="J47" s="3" t="n"/>
    </row>
    <row r="48" ht="54" customHeight="1">
      <c r="A48" s="4" t="n">
        <v>9</v>
      </c>
      <c r="B48" s="4" t="n"/>
      <c r="C48" s="4" t="n"/>
      <c r="D48" s="4" t="n"/>
      <c r="E48" s="4" t="n"/>
      <c r="F48" s="4" t="n"/>
      <c r="G48" s="4" t="n"/>
      <c r="H48" s="4" t="n"/>
      <c r="I48" s="3" t="n"/>
      <c r="J48" s="3" t="n"/>
    </row>
    <row r="49" ht="54" customHeight="1">
      <c r="A49" s="4" t="n">
        <v>10</v>
      </c>
      <c r="B49" s="4" t="n"/>
      <c r="C49" s="4" t="n"/>
      <c r="D49" s="4" t="n"/>
      <c r="E49" s="4" t="n"/>
      <c r="F49" s="4" t="n"/>
      <c r="G49" s="4" t="n"/>
      <c r="H49" s="4" t="n"/>
      <c r="I49" s="3" t="n"/>
      <c r="J49" s="3" t="n"/>
    </row>
    <row r="50" ht="54" customHeight="1">
      <c r="A50" s="4" t="n">
        <v>11</v>
      </c>
      <c r="B50" s="4" t="n"/>
      <c r="C50" s="4" t="n"/>
      <c r="D50" s="4" t="n"/>
      <c r="E50" s="4" t="n"/>
      <c r="F50" s="4" t="n"/>
      <c r="G50" s="4" t="n"/>
      <c r="H50" s="4" t="n"/>
      <c r="I50" s="3" t="n"/>
      <c r="J50" s="3" t="n"/>
    </row>
    <row r="51" ht="54" customHeight="1">
      <c r="A51" s="4" t="n">
        <v>12</v>
      </c>
      <c r="B51" s="4" t="n"/>
      <c r="C51" s="4" t="n"/>
      <c r="D51" s="4" t="n"/>
      <c r="E51" s="4" t="n"/>
      <c r="F51" s="4" t="n"/>
      <c r="G51" s="4" t="n"/>
      <c r="H51" s="4" t="n"/>
      <c r="I51" s="3" t="n"/>
      <c r="J51" s="3" t="n"/>
    </row>
    <row r="52" ht="54" customHeight="1">
      <c r="A52" s="4" t="n">
        <v>13</v>
      </c>
      <c r="B52" s="4" t="n"/>
      <c r="C52" s="4" t="n"/>
      <c r="D52" s="4" t="n"/>
      <c r="E52" s="4" t="n"/>
      <c r="F52" s="4" t="n"/>
      <c r="G52" s="4" t="n"/>
      <c r="H52" s="4" t="n"/>
      <c r="I52" s="3" t="n"/>
      <c r="J52" s="3" t="n"/>
    </row>
    <row r="53" ht="54" customHeight="1">
      <c r="A53" s="4" t="n">
        <v>14</v>
      </c>
      <c r="B53" s="4" t="n"/>
      <c r="C53" s="4" t="n"/>
      <c r="D53" s="4" t="n"/>
      <c r="E53" s="4" t="n"/>
      <c r="F53" s="4" t="n"/>
      <c r="G53" s="4" t="n"/>
      <c r="H53" s="4" t="n"/>
      <c r="I53" s="3" t="n"/>
      <c r="J53" s="3" t="n"/>
    </row>
    <row r="54" ht="54" customHeight="1">
      <c r="A54" s="4" t="n">
        <v>15</v>
      </c>
      <c r="B54" s="4" t="n"/>
      <c r="C54" s="4" t="n"/>
      <c r="D54" s="4" t="n"/>
      <c r="E54" s="4" t="n"/>
      <c r="F54" s="4" t="n"/>
      <c r="G54" s="4" t="n"/>
      <c r="H54" s="4" t="n"/>
      <c r="I54" s="3" t="n"/>
      <c r="J54" s="3" t="n"/>
    </row>
    <row r="55" ht="54" customHeight="1">
      <c r="A55" s="4" t="n">
        <v>16</v>
      </c>
      <c r="B55" s="4" t="n"/>
      <c r="C55" s="4" t="n"/>
      <c r="D55" s="4" t="n"/>
      <c r="E55" s="4" t="n"/>
      <c r="F55" s="4" t="n"/>
      <c r="G55" s="4" t="n"/>
      <c r="H55" s="4" t="n"/>
      <c r="I55" s="3" t="n"/>
      <c r="J55" s="3" t="n"/>
    </row>
    <row r="56" ht="54" customHeight="1">
      <c r="A56" s="4" t="n">
        <v>17</v>
      </c>
      <c r="B56" s="4" t="n"/>
      <c r="C56" s="4" t="n"/>
      <c r="D56" s="4" t="n"/>
      <c r="E56" s="4" t="n"/>
      <c r="F56" s="4" t="n"/>
      <c r="G56" s="4" t="n"/>
      <c r="H56" s="4" t="n"/>
      <c r="I56" s="3" t="n"/>
      <c r="J56" s="3" t="n"/>
    </row>
    <row r="57" ht="54" customHeight="1">
      <c r="A57" s="4" t="n">
        <v>18</v>
      </c>
      <c r="B57" s="4" t="n"/>
      <c r="C57" s="4" t="n"/>
      <c r="D57" s="4" t="n"/>
      <c r="E57" s="4" t="n"/>
      <c r="F57" s="4" t="n"/>
      <c r="G57" s="4" t="n"/>
      <c r="H57" s="4" t="n"/>
      <c r="I57" s="3" t="n"/>
      <c r="J57" s="3" t="n"/>
    </row>
    <row r="58" ht="54" customHeight="1">
      <c r="A58" s="4" t="n">
        <v>19</v>
      </c>
      <c r="B58" s="4" t="n"/>
      <c r="C58" s="4" t="n"/>
      <c r="D58" s="4" t="n"/>
      <c r="E58" s="4" t="n"/>
      <c r="F58" s="4" t="n"/>
      <c r="G58" s="4" t="n"/>
      <c r="H58" s="4" t="n"/>
      <c r="I58" s="3" t="n"/>
      <c r="J58" s="3" t="n"/>
    </row>
    <row r="59" ht="54" customHeight="1">
      <c r="A59" s="4" t="n">
        <v>20</v>
      </c>
      <c r="B59" s="4" t="n"/>
      <c r="C59" s="4" t="n"/>
      <c r="D59" s="4" t="n"/>
      <c r="E59" s="4" t="n"/>
      <c r="F59" s="4" t="n"/>
      <c r="G59" s="4" t="n"/>
      <c r="H59" s="4" t="n"/>
      <c r="I59" s="3" t="n"/>
      <c r="J59" s="3" t="n"/>
    </row>
    <row r="60">
      <c r="A60" s="3" t="n"/>
      <c r="B60" s="3" t="n"/>
      <c r="C60" s="3" t="n"/>
      <c r="D60" s="3" t="n"/>
      <c r="E60" s="3" t="n"/>
      <c r="F60" s="3" t="n"/>
      <c r="G60" s="3" t="n"/>
      <c r="H60" s="3" t="n"/>
      <c r="I60" s="3" t="n"/>
      <c r="J60" s="3" t="n"/>
    </row>
    <row r="61">
      <c r="A61" s="8" t="inlineStr">
        <is>
          <t>Final expert verdict</t>
        </is>
      </c>
      <c r="B61" s="3" t="n"/>
      <c r="C61" s="3" t="n"/>
      <c r="D61" s="3" t="n"/>
      <c r="E61" s="3" t="n"/>
      <c r="F61" s="3" t="n"/>
      <c r="G61" s="3" t="n"/>
      <c r="H61" s="3" t="n"/>
      <c r="I61" s="3" t="n"/>
      <c r="J61" s="3" t="n"/>
    </row>
    <row r="62">
      <c r="A62" s="12" t="inlineStr">
        <is>
          <t>Is the answer acceptable?</t>
        </is>
      </c>
      <c r="B62" s="4" t="inlineStr"/>
      <c r="C62" s="4" t="n"/>
      <c r="D62" s="4" t="n"/>
      <c r="E62" s="4" t="n"/>
      <c r="F62" s="4" t="n"/>
      <c r="G62" s="4" t="n"/>
      <c r="H62" s="4" t="n"/>
      <c r="I62" s="3" t="n"/>
      <c r="J62" s="3" t="n"/>
    </row>
    <row r="63" ht="54" customHeight="1">
      <c r="A63" s="12" t="inlineStr">
        <is>
          <t>Overall comment / required fixes</t>
        </is>
      </c>
      <c r="B63" s="4" t="n"/>
      <c r="C63" s="4" t="n"/>
      <c r="D63" s="4" t="n"/>
      <c r="E63" s="4" t="n"/>
      <c r="F63" s="4" t="n"/>
      <c r="G63" s="4" t="n"/>
      <c r="H63" s="4" t="n"/>
      <c r="I63" s="3" t="n"/>
      <c r="J63" s="3" t="n"/>
    </row>
    <row r="64">
      <c r="A64" s="4" t="n"/>
      <c r="B64" s="4" t="n"/>
      <c r="C64" s="4" t="n"/>
      <c r="D64" s="4" t="n"/>
      <c r="E64" s="4" t="n"/>
      <c r="F64" s="4" t="n"/>
      <c r="G64" s="4" t="n"/>
      <c r="H64" s="4" t="n"/>
      <c r="I64" s="3" t="n"/>
      <c r="J64" s="3" t="n"/>
    </row>
    <row r="65">
      <c r="A65" s="12" t="inlineStr">
        <is>
          <t>Missing key sources?</t>
        </is>
      </c>
      <c r="B65" s="4" t="n"/>
      <c r="C65" s="4" t="n"/>
      <c r="D65" s="4" t="n"/>
      <c r="E65" s="4" t="n"/>
      <c r="F65" s="4" t="n"/>
      <c r="G65" s="4" t="n"/>
      <c r="H65" s="4" t="n"/>
      <c r="I65" s="3" t="n"/>
      <c r="J65" s="3" t="n"/>
    </row>
    <row r="66">
      <c r="A66" s="12" t="inlineStr">
        <is>
          <t>Review completed?</t>
        </is>
      </c>
      <c r="B66" s="4" t="inlineStr"/>
      <c r="C66" s="4" t="n"/>
      <c r="D66" s="4" t="n"/>
      <c r="E66" s="4" t="n"/>
      <c r="F66" s="4" t="n"/>
      <c r="G66" s="4" t="n"/>
      <c r="H66" s="4" t="n"/>
      <c r="I66" s="3" t="n"/>
      <c r="J66" s="3" t="n"/>
    </row>
    <row r="67">
      <c r="A67" s="12" t="inlineStr">
        <is>
          <t>Reviewer</t>
        </is>
      </c>
      <c r="B67" s="4" t="n"/>
      <c r="C67" s="12" t="inlineStr">
        <is>
          <t>Review date</t>
        </is>
      </c>
      <c r="D67" s="5" t="inlineStr"/>
      <c r="E67" s="4" t="n"/>
      <c r="F67" s="4" t="n"/>
      <c r="G67" s="4" t="n"/>
      <c r="H67" s="4" t="n"/>
      <c r="I67" s="3" t="n"/>
      <c r="J67" s="3" t="n"/>
    </row>
    <row r="68">
      <c r="A68" s="3" t="n"/>
      <c r="B68" s="3" t="n"/>
      <c r="C68" s="3" t="n"/>
      <c r="D68" s="3" t="n"/>
      <c r="E68" s="3" t="n"/>
      <c r="F68" s="3" t="n"/>
      <c r="G68" s="3" t="n"/>
      <c r="H68" s="3" t="n"/>
      <c r="I68" s="3" t="n"/>
      <c r="J68" s="3" t="n"/>
    </row>
    <row r="69">
      <c r="A69" s="8" t="inlineStr">
        <is>
          <t>Original source notes</t>
        </is>
      </c>
      <c r="B69" s="3" t="n"/>
      <c r="C69" s="3" t="n"/>
      <c r="D69" s="3" t="n"/>
      <c r="E69" s="3" t="n"/>
      <c r="F69" s="3" t="n"/>
      <c r="G69" s="3" t="n"/>
      <c r="H69" s="3" t="n"/>
      <c r="I69" s="3" t="n"/>
      <c r="J69" s="3" t="n"/>
    </row>
    <row r="70">
      <c r="A70" s="12" t="inlineStr">
        <is>
          <t>WAB notes</t>
        </is>
      </c>
      <c r="B70" s="4" t="inlineStr"/>
      <c r="C70" s="4" t="n"/>
      <c r="D70" s="4" t="n"/>
      <c r="E70" s="4" t="n"/>
      <c r="F70" s="4" t="n"/>
      <c r="G70" s="4" t="n"/>
      <c r="H70" s="4" t="n"/>
      <c r="I70" s="3" t="n"/>
      <c r="J70" s="3" t="n"/>
    </row>
    <row r="71" ht="54" customHeight="1">
      <c r="A71" s="12" t="inlineStr">
        <is>
          <t>Reviewer notes from question approval</t>
        </is>
      </c>
      <c r="B71" s="4" t="inlineStr"/>
      <c r="C71" s="4" t="n"/>
      <c r="D71" s="4" t="n"/>
      <c r="E71" s="4" t="n"/>
      <c r="F71" s="4" t="n"/>
      <c r="G71" s="4" t="n"/>
      <c r="H71" s="4" t="n"/>
      <c r="I71" s="3" t="n"/>
      <c r="J71" s="3" t="n"/>
    </row>
    <row r="72">
      <c r="A72" s="4" t="n"/>
      <c r="B72" s="4" t="n"/>
      <c r="C72" s="4" t="n"/>
      <c r="D72" s="4" t="n"/>
      <c r="E72" s="4" t="n"/>
      <c r="F72" s="4" t="n"/>
      <c r="G72" s="4" t="n"/>
      <c r="H72" s="4" t="n"/>
      <c r="I72" s="3" t="n"/>
      <c r="J72" s="3" t="n"/>
    </row>
  </sheetData>
  <autoFilter ref="A21:J36"/>
  <mergeCells count="20">
    <mergeCell ref="B65:H65"/>
    <mergeCell ref="B71:H72"/>
    <mergeCell ref="B6:H6"/>
    <mergeCell ref="A20:J20"/>
    <mergeCell ref="A1:H1"/>
    <mergeCell ref="B5:H5"/>
    <mergeCell ref="A61:H61"/>
    <mergeCell ref="A69:H69"/>
    <mergeCell ref="B4:H4"/>
    <mergeCell ref="B62:H62"/>
    <mergeCell ref="B7:H7"/>
    <mergeCell ref="B66:H66"/>
    <mergeCell ref="A3:H3"/>
    <mergeCell ref="A16:H18"/>
    <mergeCell ref="B70:H70"/>
    <mergeCell ref="A14:H14"/>
    <mergeCell ref="B63:H64"/>
    <mergeCell ref="B8:H8"/>
    <mergeCell ref="B10:H12"/>
    <mergeCell ref="A38:H38"/>
  </mergeCells>
  <dataValidations count="9">
    <dataValidation sqref="C22:C36" showDropDown="0" showInputMessage="0" showErrorMessage="0" allowBlank="1" type="list">
      <formula1>=Lists!$F$2:$F$5</formula1>
    </dataValidation>
    <dataValidation sqref="F22:F36" showDropDown="0" showInputMessage="0" showErrorMessage="0" allowBlank="1" type="list">
      <formula1>=Lists!$G$2:$G$4</formula1>
    </dataValidation>
    <dataValidation sqref="G22:G36" showDropDown="0" showInputMessage="0" showErrorMessage="0" allowBlank="1" type="list">
      <formula1>=Lists!$G$2:$G$4</formula1>
    </dataValidation>
    <dataValidation sqref="H22:H36" showDropDown="0" showInputMessage="0" showErrorMessage="0" allowBlank="1" type="list">
      <formula1>=Lists!$G$2:$G$4</formula1>
    </dataValidation>
    <dataValidation sqref="I22:I36" showDropDown="0" showInputMessage="0" showErrorMessage="0" allowBlank="1" type="list">
      <formula1>=Lists!$H$2:$H$6</formula1>
    </dataValidation>
    <dataValidation sqref="D40:D59" showDropDown="0" showInputMessage="0" showErrorMessage="0" allowBlank="1" type="list">
      <formula1>=Lists!$D$2:$D$7</formula1>
    </dataValidation>
    <dataValidation sqref="E40:E59" showDropDown="0" showInputMessage="0" showErrorMessage="0" allowBlank="1" type="list">
      <formula1>=Lists!$E$2:$E$8</formula1>
    </dataValidation>
    <dataValidation sqref="B62" showDropDown="0" showInputMessage="0" showErrorMessage="0" allowBlank="1" type="list">
      <formula1>=Lists!$C$2:$C$4</formula1>
    </dataValidation>
    <dataValidation sqref="B66" showDropDown="0" showInputMessage="0" showErrorMessage="0" allowBlank="1" type="list">
      <formula1>=Lists!$A$2:$A$3</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J72"/>
  <sheetViews>
    <sheetView showGridLines="0" workbookViewId="0">
      <pane ySplit="21" topLeftCell="A22" activePane="bottomLeft" state="frozen"/>
      <selection pane="bottomLeft" activeCell="A1" sqref="A1"/>
    </sheetView>
  </sheetViews>
  <sheetFormatPr baseColWidth="8" defaultRowHeight="15"/>
  <cols>
    <col width="12" customWidth="1" min="1" max="1"/>
    <col width="34" customWidth="1" min="2" max="2"/>
    <col width="22" customWidth="1" min="3" max="3"/>
    <col width="18" customWidth="1" min="4" max="4"/>
    <col width="20" customWidth="1" min="5" max="5"/>
    <col width="30" customWidth="1" min="6" max="6"/>
    <col width="34" customWidth="1" min="7" max="7"/>
    <col width="18" customWidth="1" min="8" max="8"/>
    <col width="18" customWidth="1" min="9" max="9"/>
    <col width="30" customWidth="1" min="10" max="10"/>
  </cols>
  <sheetData>
    <row r="1" ht="28" customHeight="1">
      <c r="A1" s="6" t="inlineStr">
        <is>
          <t>Q07 — Expert Review</t>
        </is>
      </c>
      <c r="B1" s="3" t="n"/>
      <c r="C1" s="3" t="n"/>
      <c r="D1" s="3" t="n"/>
      <c r="E1" s="3" t="n"/>
      <c r="F1" s="3" t="n"/>
      <c r="G1" s="3" t="n"/>
      <c r="H1" s="3" t="n"/>
      <c r="I1" s="3" t="n"/>
      <c r="J1" s="3" t="n"/>
    </row>
    <row r="2">
      <c r="A2" s="3" t="n"/>
      <c r="B2" s="3" t="n"/>
      <c r="C2" s="3" t="n"/>
      <c r="D2" s="3" t="n"/>
      <c r="E2" s="3" t="n"/>
      <c r="F2" s="3" t="n"/>
      <c r="G2" s="3" t="n"/>
      <c r="H2" s="3" t="n"/>
      <c r="I2" s="3" t="n"/>
      <c r="J2" s="3" t="n"/>
    </row>
    <row r="3">
      <c r="A3" s="8" t="inlineStr">
        <is>
          <t>Question metadata</t>
        </is>
      </c>
      <c r="B3" s="3" t="n"/>
      <c r="C3" s="3" t="n"/>
      <c r="D3" s="3" t="n"/>
      <c r="E3" s="3" t="n"/>
      <c r="F3" s="3" t="n"/>
      <c r="G3" s="3" t="n"/>
      <c r="H3" s="3" t="n"/>
      <c r="I3" s="3" t="n"/>
      <c r="J3" s="3" t="n"/>
    </row>
    <row r="4">
      <c r="A4" s="9" t="inlineStr">
        <is>
          <t>Question ID</t>
        </is>
      </c>
      <c r="B4" s="3" t="n">
        <v>7</v>
      </c>
      <c r="C4" s="3" t="n"/>
      <c r="D4" s="3" t="n"/>
      <c r="E4" s="3" t="n"/>
      <c r="F4" s="3" t="n"/>
      <c r="G4" s="3" t="n"/>
      <c r="H4" s="3" t="n"/>
      <c r="I4" s="3" t="n"/>
      <c r="J4" s="3" t="n"/>
    </row>
    <row r="5">
      <c r="A5" s="9" t="inlineStr">
        <is>
          <t>Topic</t>
        </is>
      </c>
      <c r="B5" s="3" t="inlineStr">
        <is>
          <t>Food delivery — no-poach agreements</t>
        </is>
      </c>
      <c r="C5" s="3" t="n"/>
      <c r="D5" s="3" t="n"/>
      <c r="E5" s="3" t="n"/>
      <c r="F5" s="3" t="n"/>
      <c r="G5" s="3" t="n"/>
      <c r="H5" s="3" t="n"/>
      <c r="I5" s="3" t="n"/>
      <c r="J5" s="3" t="n"/>
    </row>
    <row r="6">
      <c r="A6" s="9" t="inlineStr">
        <is>
          <t>Scope</t>
        </is>
      </c>
      <c r="B6" s="3" t="inlineStr">
        <is>
          <t>EU</t>
        </is>
      </c>
      <c r="C6" s="3" t="n"/>
      <c r="D6" s="3" t="n"/>
      <c r="E6" s="3" t="n"/>
      <c r="F6" s="3" t="n"/>
      <c r="G6" s="3" t="n"/>
      <c r="H6" s="3" t="n"/>
      <c r="I6" s="3" t="n"/>
      <c r="J6" s="3" t="n"/>
    </row>
    <row r="7">
      <c r="A7" s="9" t="inlineStr">
        <is>
          <t>Original reviewer</t>
        </is>
      </c>
      <c r="B7" s="3" t="inlineStr">
        <is>
          <t>Carolina</t>
        </is>
      </c>
      <c r="C7" s="3" t="n"/>
      <c r="D7" s="3" t="n"/>
      <c r="E7" s="3" t="n"/>
      <c r="F7" s="3" t="n"/>
      <c r="G7" s="3" t="n"/>
      <c r="H7" s="3" t="n"/>
      <c r="I7" s="3" t="n"/>
      <c r="J7" s="3" t="n"/>
    </row>
    <row r="8">
      <c r="A8" s="9" t="inlineStr">
        <is>
          <t>Original status</t>
        </is>
      </c>
      <c r="B8" s="3" t="inlineStr">
        <is>
          <t>Approved</t>
        </is>
      </c>
      <c r="C8" s="3" t="n"/>
      <c r="D8" s="3" t="n"/>
      <c r="E8" s="3" t="n"/>
      <c r="F8" s="3" t="n"/>
      <c r="G8" s="3" t="n"/>
      <c r="H8" s="3" t="n"/>
      <c r="I8" s="3" t="n"/>
      <c r="J8" s="3" t="n"/>
    </row>
    <row r="9">
      <c r="A9" s="3" t="n"/>
      <c r="B9" s="3" t="n"/>
      <c r="C9" s="3" t="n"/>
      <c r="D9" s="3" t="n"/>
      <c r="E9" s="3" t="n"/>
      <c r="F9" s="3" t="n"/>
      <c r="G9" s="3" t="n"/>
      <c r="H9" s="3" t="n"/>
      <c r="I9" s="3" t="n"/>
      <c r="J9" s="3" t="n"/>
    </row>
    <row r="10" ht="45" customHeight="1">
      <c r="A10" s="9" t="inlineStr">
        <is>
          <t>Question</t>
        </is>
      </c>
      <c r="B10" s="3" t="inlineStr">
        <is>
          <t>No-poach agreements under Article 101 — can a reciprocal agreement not to hire each other's staff infringe Article 101, and what is the leading precedent and fine?</t>
        </is>
      </c>
      <c r="C10" s="3" t="n"/>
      <c r="D10" s="3" t="n"/>
      <c r="E10" s="3" t="n"/>
      <c r="F10" s="3" t="n"/>
      <c r="G10" s="3" t="n"/>
      <c r="H10" s="3" t="n"/>
      <c r="I10" s="3" t="n"/>
      <c r="J10" s="3" t="n"/>
    </row>
    <row r="11">
      <c r="A11" s="3" t="n"/>
      <c r="B11" s="3" t="n"/>
      <c r="C11" s="3" t="n"/>
      <c r="D11" s="3" t="n"/>
      <c r="E11" s="3" t="n"/>
      <c r="F11" s="3" t="n"/>
      <c r="G11" s="3" t="n"/>
      <c r="H11" s="3" t="n"/>
      <c r="I11" s="3" t="n"/>
      <c r="J11" s="3" t="n"/>
    </row>
    <row r="12">
      <c r="A12" s="3" t="n"/>
      <c r="B12" s="3" t="n"/>
      <c r="C12" s="3" t="n"/>
      <c r="D12" s="3" t="n"/>
      <c r="E12" s="3" t="n"/>
      <c r="F12" s="3" t="n"/>
      <c r="G12" s="3" t="n"/>
      <c r="H12" s="3" t="n"/>
      <c r="I12" s="3" t="n"/>
      <c r="J12" s="3" t="n"/>
    </row>
    <row r="13">
      <c r="A13" s="3" t="n"/>
      <c r="B13" s="3" t="n"/>
      <c r="C13" s="3" t="n"/>
      <c r="D13" s="3" t="n"/>
      <c r="E13" s="3" t="n"/>
      <c r="F13" s="3" t="n"/>
      <c r="G13" s="3" t="n"/>
      <c r="H13" s="3" t="n"/>
      <c r="I13" s="3" t="n"/>
      <c r="J13" s="3" t="n"/>
    </row>
    <row r="14">
      <c r="A14" s="8" t="inlineStr">
        <is>
          <t>Generated answer</t>
        </is>
      </c>
      <c r="B14" s="3" t="n"/>
      <c r="C14" s="3" t="n"/>
      <c r="D14" s="3" t="n"/>
      <c r="E14" s="3" t="n"/>
      <c r="F14" s="3" t="n"/>
      <c r="G14" s="3" t="n"/>
      <c r="H14" s="3" t="n"/>
      <c r="I14" s="3" t="n"/>
      <c r="J14" s="3" t="n"/>
    </row>
    <row r="15">
      <c r="A15" s="10" t="inlineStr">
        <is>
          <t>Paste the generated answer below.</t>
        </is>
      </c>
      <c r="B15" s="3" t="n"/>
      <c r="C15" s="3" t="n"/>
      <c r="D15" s="3" t="n"/>
      <c r="E15" s="3" t="n"/>
      <c r="F15" s="3" t="n"/>
      <c r="G15" s="3" t="n"/>
      <c r="H15" s="3" t="n"/>
      <c r="I15" s="3" t="n"/>
      <c r="J15" s="3" t="n"/>
    </row>
    <row r="16" ht="90" customHeight="1">
      <c r="A16" s="3" t="inlineStr"/>
      <c r="B16" s="3" t="n"/>
      <c r="C16" s="3" t="n"/>
      <c r="D16" s="3" t="n"/>
      <c r="E16" s="3" t="n"/>
      <c r="F16" s="3" t="n"/>
      <c r="G16" s="3" t="n"/>
      <c r="H16" s="3" t="n"/>
      <c r="I16" s="3" t="n"/>
      <c r="J16" s="3" t="n"/>
    </row>
    <row r="17" ht="30" customHeight="1">
      <c r="A17" s="3" t="n"/>
      <c r="B17" s="3" t="n"/>
      <c r="C17" s="3" t="n"/>
      <c r="D17" s="3" t="n"/>
      <c r="E17" s="3" t="n"/>
      <c r="F17" s="3" t="n"/>
      <c r="G17" s="3" t="n"/>
      <c r="H17" s="3" t="n"/>
      <c r="I17" s="3" t="n"/>
      <c r="J17" s="3" t="n"/>
    </row>
    <row r="18" ht="30" customHeight="1">
      <c r="A18" s="3" t="n"/>
      <c r="B18" s="3" t="n"/>
      <c r="C18" s="3" t="n"/>
      <c r="D18" s="3" t="n"/>
      <c r="E18" s="3" t="n"/>
      <c r="F18" s="3" t="n"/>
      <c r="G18" s="3" t="n"/>
      <c r="H18" s="3" t="n"/>
      <c r="I18" s="3" t="n"/>
      <c r="J18" s="3" t="n"/>
    </row>
    <row r="19">
      <c r="A19" s="9" t="inlineStr">
        <is>
          <t>Run ID</t>
        </is>
      </c>
      <c r="B19" s="3" t="inlineStr"/>
      <c r="C19" s="9" t="inlineStr">
        <is>
          <t>Run date</t>
        </is>
      </c>
      <c r="D19" s="3" t="inlineStr"/>
      <c r="E19" s="9" t="inlineStr">
        <is>
          <t>Model / prompt version</t>
        </is>
      </c>
      <c r="F19" s="3" t="inlineStr"/>
      <c r="G19" s="9" t="inlineStr">
        <is>
          <t>Corpus snapshot</t>
        </is>
      </c>
      <c r="H19" s="3" t="inlineStr"/>
      <c r="I19" s="3" t="n"/>
      <c r="J19" s="3" t="n"/>
    </row>
    <row r="20">
      <c r="A20" s="8" t="inlineStr">
        <is>
          <t>Retrieval set review</t>
        </is>
      </c>
      <c r="B20" s="3" t="n"/>
      <c r="C20" s="3" t="n"/>
      <c r="D20" s="3" t="n"/>
      <c r="E20" s="3" t="n"/>
      <c r="F20" s="3" t="n"/>
      <c r="G20" s="3" t="n"/>
      <c r="H20" s="3" t="n"/>
      <c r="I20" s="3" t="n"/>
      <c r="J20" s="3" t="n"/>
    </row>
    <row r="21">
      <c r="A21" s="11" t="inlineStr">
        <is>
          <t>Rank</t>
        </is>
      </c>
      <c r="B21" s="11" t="inlineStr">
        <is>
          <t>Retrieved source</t>
        </is>
      </c>
      <c r="C21" s="11" t="inlineStr">
        <is>
          <t>Source type</t>
        </is>
      </c>
      <c r="D21" s="11" t="inlineStr">
        <is>
          <t>Jurisdiction</t>
        </is>
      </c>
      <c r="E21" s="11" t="inlineStr">
        <is>
          <t>URL / Document ID</t>
        </is>
      </c>
      <c r="F21" s="11" t="inlineStr">
        <is>
          <t>Returned by engine?</t>
        </is>
      </c>
      <c r="G21" s="11" t="inlineStr">
        <is>
          <t>Required source?</t>
        </is>
      </c>
      <c r="H21" s="11" t="inlineStr">
        <is>
          <t>Trap?</t>
        </is>
      </c>
      <c r="I21" s="11" t="inlineStr">
        <is>
          <t>Expert verdict</t>
        </is>
      </c>
      <c r="J21" s="11" t="inlineStr">
        <is>
          <t>Notes</t>
        </is>
      </c>
    </row>
    <row r="22" ht="44" customHeight="1">
      <c r="A22" s="4" t="n">
        <v>1</v>
      </c>
      <c r="B22" s="4" t="n"/>
      <c r="C22" s="4" t="n"/>
      <c r="D22" s="4" t="n"/>
      <c r="E22" s="4" t="n"/>
      <c r="F22" s="4" t="n"/>
      <c r="G22" s="4" t="n"/>
      <c r="H22" s="4" t="n"/>
      <c r="I22" s="4" t="n"/>
      <c r="J22" s="4" t="n"/>
    </row>
    <row r="23" ht="44" customHeight="1">
      <c r="A23" s="4" t="n">
        <v>2</v>
      </c>
      <c r="B23" s="4" t="n"/>
      <c r="C23" s="4" t="n"/>
      <c r="D23" s="4" t="n"/>
      <c r="E23" s="4" t="n"/>
      <c r="F23" s="4" t="n"/>
      <c r="G23" s="4" t="n"/>
      <c r="H23" s="4" t="n"/>
      <c r="I23" s="4" t="n"/>
      <c r="J23" s="4" t="n"/>
    </row>
    <row r="24" ht="44" customHeight="1">
      <c r="A24" s="4" t="n">
        <v>3</v>
      </c>
      <c r="B24" s="4" t="n"/>
      <c r="C24" s="4" t="n"/>
      <c r="D24" s="4" t="n"/>
      <c r="E24" s="4" t="n"/>
      <c r="F24" s="4" t="n"/>
      <c r="G24" s="4" t="n"/>
      <c r="H24" s="4" t="n"/>
      <c r="I24" s="4" t="n"/>
      <c r="J24" s="4" t="n"/>
    </row>
    <row r="25" ht="44" customHeight="1">
      <c r="A25" s="4" t="n">
        <v>4</v>
      </c>
      <c r="B25" s="4" t="n"/>
      <c r="C25" s="4" t="n"/>
      <c r="D25" s="4" t="n"/>
      <c r="E25" s="4" t="n"/>
      <c r="F25" s="4" t="n"/>
      <c r="G25" s="4" t="n"/>
      <c r="H25" s="4" t="n"/>
      <c r="I25" s="4" t="n"/>
      <c r="J25" s="4" t="n"/>
    </row>
    <row r="26" ht="44" customHeight="1">
      <c r="A26" s="4" t="n">
        <v>5</v>
      </c>
      <c r="B26" s="4" t="n"/>
      <c r="C26" s="4" t="n"/>
      <c r="D26" s="4" t="n"/>
      <c r="E26" s="4" t="n"/>
      <c r="F26" s="4" t="n"/>
      <c r="G26" s="4" t="n"/>
      <c r="H26" s="4" t="n"/>
      <c r="I26" s="4" t="n"/>
      <c r="J26" s="4" t="n"/>
    </row>
    <row r="27" ht="44" customHeight="1">
      <c r="A27" s="4" t="n">
        <v>6</v>
      </c>
      <c r="B27" s="4" t="n"/>
      <c r="C27" s="4" t="n"/>
      <c r="D27" s="4" t="n"/>
      <c r="E27" s="4" t="n"/>
      <c r="F27" s="4" t="n"/>
      <c r="G27" s="4" t="n"/>
      <c r="H27" s="4" t="n"/>
      <c r="I27" s="4" t="n"/>
      <c r="J27" s="4" t="n"/>
    </row>
    <row r="28" ht="44" customHeight="1">
      <c r="A28" s="4" t="n">
        <v>7</v>
      </c>
      <c r="B28" s="4" t="n"/>
      <c r="C28" s="4" t="n"/>
      <c r="D28" s="4" t="n"/>
      <c r="E28" s="4" t="n"/>
      <c r="F28" s="4" t="n"/>
      <c r="G28" s="4" t="n"/>
      <c r="H28" s="4" t="n"/>
      <c r="I28" s="4" t="n"/>
      <c r="J28" s="4" t="n"/>
    </row>
    <row r="29" ht="44" customHeight="1">
      <c r="A29" s="4" t="n">
        <v>8</v>
      </c>
      <c r="B29" s="4" t="n"/>
      <c r="C29" s="4" t="n"/>
      <c r="D29" s="4" t="n"/>
      <c r="E29" s="4" t="n"/>
      <c r="F29" s="4" t="n"/>
      <c r="G29" s="4" t="n"/>
      <c r="H29" s="4" t="n"/>
      <c r="I29" s="4" t="n"/>
      <c r="J29" s="4" t="n"/>
    </row>
    <row r="30" ht="44" customHeight="1">
      <c r="A30" s="4" t="n">
        <v>9</v>
      </c>
      <c r="B30" s="4" t="n"/>
      <c r="C30" s="4" t="n"/>
      <c r="D30" s="4" t="n"/>
      <c r="E30" s="4" t="n"/>
      <c r="F30" s="4" t="n"/>
      <c r="G30" s="4" t="n"/>
      <c r="H30" s="4" t="n"/>
      <c r="I30" s="4" t="n"/>
      <c r="J30" s="4" t="n"/>
    </row>
    <row r="31" ht="44" customHeight="1">
      <c r="A31" s="4" t="n">
        <v>10</v>
      </c>
      <c r="B31" s="4" t="n"/>
      <c r="C31" s="4" t="n"/>
      <c r="D31" s="4" t="n"/>
      <c r="E31" s="4" t="n"/>
      <c r="F31" s="4" t="n"/>
      <c r="G31" s="4" t="n"/>
      <c r="H31" s="4" t="n"/>
      <c r="I31" s="4" t="n"/>
      <c r="J31" s="4" t="n"/>
    </row>
    <row r="32" ht="44" customHeight="1">
      <c r="A32" s="4" t="n">
        <v>11</v>
      </c>
      <c r="B32" s="4" t="n"/>
      <c r="C32" s="4" t="n"/>
      <c r="D32" s="4" t="n"/>
      <c r="E32" s="4" t="n"/>
      <c r="F32" s="4" t="n"/>
      <c r="G32" s="4" t="n"/>
      <c r="H32" s="4" t="n"/>
      <c r="I32" s="4" t="n"/>
      <c r="J32" s="4" t="n"/>
    </row>
    <row r="33" ht="44" customHeight="1">
      <c r="A33" s="4" t="n">
        <v>12</v>
      </c>
      <c r="B33" s="4" t="n"/>
      <c r="C33" s="4" t="n"/>
      <c r="D33" s="4" t="n"/>
      <c r="E33" s="4" t="n"/>
      <c r="F33" s="4" t="n"/>
      <c r="G33" s="4" t="n"/>
      <c r="H33" s="4" t="n"/>
      <c r="I33" s="4" t="n"/>
      <c r="J33" s="4" t="n"/>
    </row>
    <row r="34" ht="44" customHeight="1">
      <c r="A34" s="4" t="n">
        <v>13</v>
      </c>
      <c r="B34" s="4" t="n"/>
      <c r="C34" s="4" t="n"/>
      <c r="D34" s="4" t="n"/>
      <c r="E34" s="4" t="n"/>
      <c r="F34" s="4" t="n"/>
      <c r="G34" s="4" t="n"/>
      <c r="H34" s="4" t="n"/>
      <c r="I34" s="4" t="n"/>
      <c r="J34" s="4" t="n"/>
    </row>
    <row r="35" ht="44" customHeight="1">
      <c r="A35" s="4" t="n">
        <v>14</v>
      </c>
      <c r="B35" s="4" t="n"/>
      <c r="C35" s="4" t="n"/>
      <c r="D35" s="4" t="n"/>
      <c r="E35" s="4" t="n"/>
      <c r="F35" s="4" t="n"/>
      <c r="G35" s="4" t="n"/>
      <c r="H35" s="4" t="n"/>
      <c r="I35" s="4" t="n"/>
      <c r="J35" s="4" t="n"/>
    </row>
    <row r="36" ht="44" customHeight="1">
      <c r="A36" s="4" t="n">
        <v>15</v>
      </c>
      <c r="B36" s="4" t="n"/>
      <c r="C36" s="4" t="n"/>
      <c r="D36" s="4" t="n"/>
      <c r="E36" s="4" t="n"/>
      <c r="F36" s="4" t="n"/>
      <c r="G36" s="4" t="n"/>
      <c r="H36" s="4" t="n"/>
      <c r="I36" s="4" t="n"/>
      <c r="J36" s="4" t="n"/>
    </row>
    <row r="37">
      <c r="A37" s="3" t="n"/>
      <c r="B37" s="3" t="n"/>
      <c r="C37" s="3" t="n"/>
      <c r="D37" s="3" t="n"/>
      <c r="E37" s="3" t="n"/>
      <c r="F37" s="3" t="n"/>
      <c r="G37" s="3" t="n"/>
      <c r="H37" s="3" t="n"/>
      <c r="I37" s="3" t="n"/>
      <c r="J37" s="3" t="n"/>
    </row>
    <row r="38">
      <c r="A38" s="8" t="inlineStr">
        <is>
          <t>Claim-by-claim review</t>
        </is>
      </c>
      <c r="B38" s="3" t="n"/>
      <c r="C38" s="3" t="n"/>
      <c r="D38" s="3" t="n"/>
      <c r="E38" s="3" t="n"/>
      <c r="F38" s="3" t="n"/>
      <c r="G38" s="3" t="n"/>
      <c r="H38" s="3" t="n"/>
      <c r="I38" s="3" t="n"/>
      <c r="J38" s="3" t="n"/>
    </row>
    <row r="39">
      <c r="A39" s="11" t="inlineStr">
        <is>
          <t>Claim ID</t>
        </is>
      </c>
      <c r="B39" s="11" t="inlineStr">
        <is>
          <t>Claim from answer</t>
        </is>
      </c>
      <c r="C39" s="11" t="inlineStr">
        <is>
          <t>Citation used</t>
        </is>
      </c>
      <c r="D39" s="11" t="inlineStr">
        <is>
          <t>Expert verdict</t>
        </is>
      </c>
      <c r="E39" s="11" t="inlineStr">
        <is>
          <t>Issue type</t>
        </is>
      </c>
      <c r="F39" s="11" t="inlineStr">
        <is>
          <t>Cited passage / source note</t>
        </is>
      </c>
      <c r="G39" s="11" t="inlineStr">
        <is>
          <t>Required fix / comment</t>
        </is>
      </c>
      <c r="H39" s="11" t="inlineStr">
        <is>
          <t>Reviewer</t>
        </is>
      </c>
      <c r="I39" s="11" t="n"/>
      <c r="J39" s="11" t="n"/>
    </row>
    <row r="40" ht="54" customHeight="1">
      <c r="A40" s="4" t="n">
        <v>1</v>
      </c>
      <c r="B40" s="4" t="n"/>
      <c r="C40" s="4" t="n"/>
      <c r="D40" s="4" t="n"/>
      <c r="E40" s="4" t="n"/>
      <c r="F40" s="4" t="n"/>
      <c r="G40" s="4" t="n"/>
      <c r="H40" s="4" t="n"/>
      <c r="I40" s="3" t="n"/>
      <c r="J40" s="3" t="n"/>
    </row>
    <row r="41" ht="54" customHeight="1">
      <c r="A41" s="4" t="n">
        <v>2</v>
      </c>
      <c r="B41" s="4" t="n"/>
      <c r="C41" s="4" t="n"/>
      <c r="D41" s="4" t="n"/>
      <c r="E41" s="4" t="n"/>
      <c r="F41" s="4" t="n"/>
      <c r="G41" s="4" t="n"/>
      <c r="H41" s="4" t="n"/>
      <c r="I41" s="3" t="n"/>
      <c r="J41" s="3" t="n"/>
    </row>
    <row r="42" ht="54" customHeight="1">
      <c r="A42" s="4" t="n">
        <v>3</v>
      </c>
      <c r="B42" s="4" t="n"/>
      <c r="C42" s="4" t="n"/>
      <c r="D42" s="4" t="n"/>
      <c r="E42" s="4" t="n"/>
      <c r="F42" s="4" t="n"/>
      <c r="G42" s="4" t="n"/>
      <c r="H42" s="4" t="n"/>
      <c r="I42" s="3" t="n"/>
      <c r="J42" s="3" t="n"/>
    </row>
    <row r="43" ht="54" customHeight="1">
      <c r="A43" s="4" t="n">
        <v>4</v>
      </c>
      <c r="B43" s="4" t="n"/>
      <c r="C43" s="4" t="n"/>
      <c r="D43" s="4" t="n"/>
      <c r="E43" s="4" t="n"/>
      <c r="F43" s="4" t="n"/>
      <c r="G43" s="4" t="n"/>
      <c r="H43" s="4" t="n"/>
      <c r="I43" s="3" t="n"/>
      <c r="J43" s="3" t="n"/>
    </row>
    <row r="44" ht="54" customHeight="1">
      <c r="A44" s="4" t="n">
        <v>5</v>
      </c>
      <c r="B44" s="4" t="n"/>
      <c r="C44" s="4" t="n"/>
      <c r="D44" s="4" t="n"/>
      <c r="E44" s="4" t="n"/>
      <c r="F44" s="4" t="n"/>
      <c r="G44" s="4" t="n"/>
      <c r="H44" s="4" t="n"/>
      <c r="I44" s="3" t="n"/>
      <c r="J44" s="3" t="n"/>
    </row>
    <row r="45" ht="54" customHeight="1">
      <c r="A45" s="4" t="n">
        <v>6</v>
      </c>
      <c r="B45" s="4" t="n"/>
      <c r="C45" s="4" t="n"/>
      <c r="D45" s="4" t="n"/>
      <c r="E45" s="4" t="n"/>
      <c r="F45" s="4" t="n"/>
      <c r="G45" s="4" t="n"/>
      <c r="H45" s="4" t="n"/>
      <c r="I45" s="3" t="n"/>
      <c r="J45" s="3" t="n"/>
    </row>
    <row r="46" ht="54" customHeight="1">
      <c r="A46" s="4" t="n">
        <v>7</v>
      </c>
      <c r="B46" s="4" t="n"/>
      <c r="C46" s="4" t="n"/>
      <c r="D46" s="4" t="n"/>
      <c r="E46" s="4" t="n"/>
      <c r="F46" s="4" t="n"/>
      <c r="G46" s="4" t="n"/>
      <c r="H46" s="4" t="n"/>
      <c r="I46" s="3" t="n"/>
      <c r="J46" s="3" t="n"/>
    </row>
    <row r="47" ht="54" customHeight="1">
      <c r="A47" s="4" t="n">
        <v>8</v>
      </c>
      <c r="B47" s="4" t="n"/>
      <c r="C47" s="4" t="n"/>
      <c r="D47" s="4" t="n"/>
      <c r="E47" s="4" t="n"/>
      <c r="F47" s="4" t="n"/>
      <c r="G47" s="4" t="n"/>
      <c r="H47" s="4" t="n"/>
      <c r="I47" s="3" t="n"/>
      <c r="J47" s="3" t="n"/>
    </row>
    <row r="48" ht="54" customHeight="1">
      <c r="A48" s="4" t="n">
        <v>9</v>
      </c>
      <c r="B48" s="4" t="n"/>
      <c r="C48" s="4" t="n"/>
      <c r="D48" s="4" t="n"/>
      <c r="E48" s="4" t="n"/>
      <c r="F48" s="4" t="n"/>
      <c r="G48" s="4" t="n"/>
      <c r="H48" s="4" t="n"/>
      <c r="I48" s="3" t="n"/>
      <c r="J48" s="3" t="n"/>
    </row>
    <row r="49" ht="54" customHeight="1">
      <c r="A49" s="4" t="n">
        <v>10</v>
      </c>
      <c r="B49" s="4" t="n"/>
      <c r="C49" s="4" t="n"/>
      <c r="D49" s="4" t="n"/>
      <c r="E49" s="4" t="n"/>
      <c r="F49" s="4" t="n"/>
      <c r="G49" s="4" t="n"/>
      <c r="H49" s="4" t="n"/>
      <c r="I49" s="3" t="n"/>
      <c r="J49" s="3" t="n"/>
    </row>
    <row r="50" ht="54" customHeight="1">
      <c r="A50" s="4" t="n">
        <v>11</v>
      </c>
      <c r="B50" s="4" t="n"/>
      <c r="C50" s="4" t="n"/>
      <c r="D50" s="4" t="n"/>
      <c r="E50" s="4" t="n"/>
      <c r="F50" s="4" t="n"/>
      <c r="G50" s="4" t="n"/>
      <c r="H50" s="4" t="n"/>
      <c r="I50" s="3" t="n"/>
      <c r="J50" s="3" t="n"/>
    </row>
    <row r="51" ht="54" customHeight="1">
      <c r="A51" s="4" t="n">
        <v>12</v>
      </c>
      <c r="B51" s="4" t="n"/>
      <c r="C51" s="4" t="n"/>
      <c r="D51" s="4" t="n"/>
      <c r="E51" s="4" t="n"/>
      <c r="F51" s="4" t="n"/>
      <c r="G51" s="4" t="n"/>
      <c r="H51" s="4" t="n"/>
      <c r="I51" s="3" t="n"/>
      <c r="J51" s="3" t="n"/>
    </row>
    <row r="52" ht="54" customHeight="1">
      <c r="A52" s="4" t="n">
        <v>13</v>
      </c>
      <c r="B52" s="4" t="n"/>
      <c r="C52" s="4" t="n"/>
      <c r="D52" s="4" t="n"/>
      <c r="E52" s="4" t="n"/>
      <c r="F52" s="4" t="n"/>
      <c r="G52" s="4" t="n"/>
      <c r="H52" s="4" t="n"/>
      <c r="I52" s="3" t="n"/>
      <c r="J52" s="3" t="n"/>
    </row>
    <row r="53" ht="54" customHeight="1">
      <c r="A53" s="4" t="n">
        <v>14</v>
      </c>
      <c r="B53" s="4" t="n"/>
      <c r="C53" s="4" t="n"/>
      <c r="D53" s="4" t="n"/>
      <c r="E53" s="4" t="n"/>
      <c r="F53" s="4" t="n"/>
      <c r="G53" s="4" t="n"/>
      <c r="H53" s="4" t="n"/>
      <c r="I53" s="3" t="n"/>
      <c r="J53" s="3" t="n"/>
    </row>
    <row r="54" ht="54" customHeight="1">
      <c r="A54" s="4" t="n">
        <v>15</v>
      </c>
      <c r="B54" s="4" t="n"/>
      <c r="C54" s="4" t="n"/>
      <c r="D54" s="4" t="n"/>
      <c r="E54" s="4" t="n"/>
      <c r="F54" s="4" t="n"/>
      <c r="G54" s="4" t="n"/>
      <c r="H54" s="4" t="n"/>
      <c r="I54" s="3" t="n"/>
      <c r="J54" s="3" t="n"/>
    </row>
    <row r="55" ht="54" customHeight="1">
      <c r="A55" s="4" t="n">
        <v>16</v>
      </c>
      <c r="B55" s="4" t="n"/>
      <c r="C55" s="4" t="n"/>
      <c r="D55" s="4" t="n"/>
      <c r="E55" s="4" t="n"/>
      <c r="F55" s="4" t="n"/>
      <c r="G55" s="4" t="n"/>
      <c r="H55" s="4" t="n"/>
      <c r="I55" s="3" t="n"/>
      <c r="J55" s="3" t="n"/>
    </row>
    <row r="56" ht="54" customHeight="1">
      <c r="A56" s="4" t="n">
        <v>17</v>
      </c>
      <c r="B56" s="4" t="n"/>
      <c r="C56" s="4" t="n"/>
      <c r="D56" s="4" t="n"/>
      <c r="E56" s="4" t="n"/>
      <c r="F56" s="4" t="n"/>
      <c r="G56" s="4" t="n"/>
      <c r="H56" s="4" t="n"/>
      <c r="I56" s="3" t="n"/>
      <c r="J56" s="3" t="n"/>
    </row>
    <row r="57" ht="54" customHeight="1">
      <c r="A57" s="4" t="n">
        <v>18</v>
      </c>
      <c r="B57" s="4" t="n"/>
      <c r="C57" s="4" t="n"/>
      <c r="D57" s="4" t="n"/>
      <c r="E57" s="4" t="n"/>
      <c r="F57" s="4" t="n"/>
      <c r="G57" s="4" t="n"/>
      <c r="H57" s="4" t="n"/>
      <c r="I57" s="3" t="n"/>
      <c r="J57" s="3" t="n"/>
    </row>
    <row r="58" ht="54" customHeight="1">
      <c r="A58" s="4" t="n">
        <v>19</v>
      </c>
      <c r="B58" s="4" t="n"/>
      <c r="C58" s="4" t="n"/>
      <c r="D58" s="4" t="n"/>
      <c r="E58" s="4" t="n"/>
      <c r="F58" s="4" t="n"/>
      <c r="G58" s="4" t="n"/>
      <c r="H58" s="4" t="n"/>
      <c r="I58" s="3" t="n"/>
      <c r="J58" s="3" t="n"/>
    </row>
    <row r="59" ht="54" customHeight="1">
      <c r="A59" s="4" t="n">
        <v>20</v>
      </c>
      <c r="B59" s="4" t="n"/>
      <c r="C59" s="4" t="n"/>
      <c r="D59" s="4" t="n"/>
      <c r="E59" s="4" t="n"/>
      <c r="F59" s="4" t="n"/>
      <c r="G59" s="4" t="n"/>
      <c r="H59" s="4" t="n"/>
      <c r="I59" s="3" t="n"/>
      <c r="J59" s="3" t="n"/>
    </row>
    <row r="60">
      <c r="A60" s="3" t="n"/>
      <c r="B60" s="3" t="n"/>
      <c r="C60" s="3" t="n"/>
      <c r="D60" s="3" t="n"/>
      <c r="E60" s="3" t="n"/>
      <c r="F60" s="3" t="n"/>
      <c r="G60" s="3" t="n"/>
      <c r="H60" s="3" t="n"/>
      <c r="I60" s="3" t="n"/>
      <c r="J60" s="3" t="n"/>
    </row>
    <row r="61">
      <c r="A61" s="8" t="inlineStr">
        <is>
          <t>Final expert verdict</t>
        </is>
      </c>
      <c r="B61" s="3" t="n"/>
      <c r="C61" s="3" t="n"/>
      <c r="D61" s="3" t="n"/>
      <c r="E61" s="3" t="n"/>
      <c r="F61" s="3" t="n"/>
      <c r="G61" s="3" t="n"/>
      <c r="H61" s="3" t="n"/>
      <c r="I61" s="3" t="n"/>
      <c r="J61" s="3" t="n"/>
    </row>
    <row r="62">
      <c r="A62" s="12" t="inlineStr">
        <is>
          <t>Is the answer acceptable?</t>
        </is>
      </c>
      <c r="B62" s="4" t="inlineStr"/>
      <c r="C62" s="4" t="n"/>
      <c r="D62" s="4" t="n"/>
      <c r="E62" s="4" t="n"/>
      <c r="F62" s="4" t="n"/>
      <c r="G62" s="4" t="n"/>
      <c r="H62" s="4" t="n"/>
      <c r="I62" s="3" t="n"/>
      <c r="J62" s="3" t="n"/>
    </row>
    <row r="63" ht="54" customHeight="1">
      <c r="A63" s="12" t="inlineStr">
        <is>
          <t>Overall comment / required fixes</t>
        </is>
      </c>
      <c r="B63" s="4" t="n"/>
      <c r="C63" s="4" t="n"/>
      <c r="D63" s="4" t="n"/>
      <c r="E63" s="4" t="n"/>
      <c r="F63" s="4" t="n"/>
      <c r="G63" s="4" t="n"/>
      <c r="H63" s="4" t="n"/>
      <c r="I63" s="3" t="n"/>
      <c r="J63" s="3" t="n"/>
    </row>
    <row r="64">
      <c r="A64" s="4" t="n"/>
      <c r="B64" s="4" t="n"/>
      <c r="C64" s="4" t="n"/>
      <c r="D64" s="4" t="n"/>
      <c r="E64" s="4" t="n"/>
      <c r="F64" s="4" t="n"/>
      <c r="G64" s="4" t="n"/>
      <c r="H64" s="4" t="n"/>
      <c r="I64" s="3" t="n"/>
      <c r="J64" s="3" t="n"/>
    </row>
    <row r="65">
      <c r="A65" s="12" t="inlineStr">
        <is>
          <t>Missing key sources?</t>
        </is>
      </c>
      <c r="B65" s="4" t="n"/>
      <c r="C65" s="4" t="n"/>
      <c r="D65" s="4" t="n"/>
      <c r="E65" s="4" t="n"/>
      <c r="F65" s="4" t="n"/>
      <c r="G65" s="4" t="n"/>
      <c r="H65" s="4" t="n"/>
      <c r="I65" s="3" t="n"/>
      <c r="J65" s="3" t="n"/>
    </row>
    <row r="66">
      <c r="A66" s="12" t="inlineStr">
        <is>
          <t>Review completed?</t>
        </is>
      </c>
      <c r="B66" s="4" t="inlineStr"/>
      <c r="C66" s="4" t="n"/>
      <c r="D66" s="4" t="n"/>
      <c r="E66" s="4" t="n"/>
      <c r="F66" s="4" t="n"/>
      <c r="G66" s="4" t="n"/>
      <c r="H66" s="4" t="n"/>
      <c r="I66" s="3" t="n"/>
      <c r="J66" s="3" t="n"/>
    </row>
    <row r="67">
      <c r="A67" s="12" t="inlineStr">
        <is>
          <t>Reviewer</t>
        </is>
      </c>
      <c r="B67" s="4" t="n"/>
      <c r="C67" s="12" t="inlineStr">
        <is>
          <t>Review date</t>
        </is>
      </c>
      <c r="D67" s="5" t="inlineStr"/>
      <c r="E67" s="4" t="n"/>
      <c r="F67" s="4" t="n"/>
      <c r="G67" s="4" t="n"/>
      <c r="H67" s="4" t="n"/>
      <c r="I67" s="3" t="n"/>
      <c r="J67" s="3" t="n"/>
    </row>
    <row r="68">
      <c r="A68" s="3" t="n"/>
      <c r="B68" s="3" t="n"/>
      <c r="C68" s="3" t="n"/>
      <c r="D68" s="3" t="n"/>
      <c r="E68" s="3" t="n"/>
      <c r="F68" s="3" t="n"/>
      <c r="G68" s="3" t="n"/>
      <c r="H68" s="3" t="n"/>
      <c r="I68" s="3" t="n"/>
      <c r="J68" s="3" t="n"/>
    </row>
    <row r="69">
      <c r="A69" s="8" t="inlineStr">
        <is>
          <t>Original source notes</t>
        </is>
      </c>
      <c r="B69" s="3" t="n"/>
      <c r="C69" s="3" t="n"/>
      <c r="D69" s="3" t="n"/>
      <c r="E69" s="3" t="n"/>
      <c r="F69" s="3" t="n"/>
      <c r="G69" s="3" t="n"/>
      <c r="H69" s="3" t="n"/>
      <c r="I69" s="3" t="n"/>
      <c r="J69" s="3" t="n"/>
    </row>
    <row r="70">
      <c r="A70" s="12" t="inlineStr">
        <is>
          <t>WAB notes</t>
        </is>
      </c>
      <c r="B70" s="4" t="inlineStr"/>
      <c r="C70" s="4" t="n"/>
      <c r="D70" s="4" t="n"/>
      <c r="E70" s="4" t="n"/>
      <c r="F70" s="4" t="n"/>
      <c r="G70" s="4" t="n"/>
      <c r="H70" s="4" t="n"/>
      <c r="I70" s="3" t="n"/>
      <c r="J70" s="3" t="n"/>
    </row>
    <row r="71" ht="54" customHeight="1">
      <c r="A71" s="12" t="inlineStr">
        <is>
          <t>Reviewer notes from question approval</t>
        </is>
      </c>
      <c r="B71" s="4" t="inlineStr"/>
      <c r="C71" s="4" t="n"/>
      <c r="D71" s="4" t="n"/>
      <c r="E71" s="4" t="n"/>
      <c r="F71" s="4" t="n"/>
      <c r="G71" s="4" t="n"/>
      <c r="H71" s="4" t="n"/>
      <c r="I71" s="3" t="n"/>
      <c r="J71" s="3" t="n"/>
    </row>
    <row r="72">
      <c r="A72" s="4" t="n"/>
      <c r="B72" s="4" t="n"/>
      <c r="C72" s="4" t="n"/>
      <c r="D72" s="4" t="n"/>
      <c r="E72" s="4" t="n"/>
      <c r="F72" s="4" t="n"/>
      <c r="G72" s="4" t="n"/>
      <c r="H72" s="4" t="n"/>
      <c r="I72" s="3" t="n"/>
      <c r="J72" s="3" t="n"/>
    </row>
  </sheetData>
  <autoFilter ref="A21:J36"/>
  <mergeCells count="20">
    <mergeCell ref="B65:H65"/>
    <mergeCell ref="B71:H72"/>
    <mergeCell ref="B6:H6"/>
    <mergeCell ref="A20:J20"/>
    <mergeCell ref="A1:H1"/>
    <mergeCell ref="B5:H5"/>
    <mergeCell ref="A61:H61"/>
    <mergeCell ref="A69:H69"/>
    <mergeCell ref="B4:H4"/>
    <mergeCell ref="B62:H62"/>
    <mergeCell ref="B7:H7"/>
    <mergeCell ref="B66:H66"/>
    <mergeCell ref="A3:H3"/>
    <mergeCell ref="A16:H18"/>
    <mergeCell ref="B70:H70"/>
    <mergeCell ref="A14:H14"/>
    <mergeCell ref="B63:H64"/>
    <mergeCell ref="B8:H8"/>
    <mergeCell ref="B10:H12"/>
    <mergeCell ref="A38:H38"/>
  </mergeCells>
  <dataValidations count="9">
    <dataValidation sqref="C22:C36" showDropDown="0" showInputMessage="0" showErrorMessage="0" allowBlank="1" type="list">
      <formula1>=Lists!$F$2:$F$5</formula1>
    </dataValidation>
    <dataValidation sqref="F22:F36" showDropDown="0" showInputMessage="0" showErrorMessage="0" allowBlank="1" type="list">
      <formula1>=Lists!$G$2:$G$4</formula1>
    </dataValidation>
    <dataValidation sqref="G22:G36" showDropDown="0" showInputMessage="0" showErrorMessage="0" allowBlank="1" type="list">
      <formula1>=Lists!$G$2:$G$4</formula1>
    </dataValidation>
    <dataValidation sqref="H22:H36" showDropDown="0" showInputMessage="0" showErrorMessage="0" allowBlank="1" type="list">
      <formula1>=Lists!$G$2:$G$4</formula1>
    </dataValidation>
    <dataValidation sqref="I22:I36" showDropDown="0" showInputMessage="0" showErrorMessage="0" allowBlank="1" type="list">
      <formula1>=Lists!$H$2:$H$6</formula1>
    </dataValidation>
    <dataValidation sqref="D40:D59" showDropDown="0" showInputMessage="0" showErrorMessage="0" allowBlank="1" type="list">
      <formula1>=Lists!$D$2:$D$7</formula1>
    </dataValidation>
    <dataValidation sqref="E40:E59" showDropDown="0" showInputMessage="0" showErrorMessage="0" allowBlank="1" type="list">
      <formula1>=Lists!$E$2:$E$8</formula1>
    </dataValidation>
    <dataValidation sqref="B62" showDropDown="0" showInputMessage="0" showErrorMessage="0" allowBlank="1" type="list">
      <formula1>=Lists!$C$2:$C$4</formula1>
    </dataValidation>
    <dataValidation sqref="B66" showDropDown="0" showInputMessage="0" showErrorMessage="0" allowBlank="1" type="list">
      <formula1>=Lists!$A$2:$A$3</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J72"/>
  <sheetViews>
    <sheetView showGridLines="0" workbookViewId="0">
      <pane ySplit="21" topLeftCell="A22" activePane="bottomLeft" state="frozen"/>
      <selection pane="bottomLeft" activeCell="A1" sqref="A1"/>
    </sheetView>
  </sheetViews>
  <sheetFormatPr baseColWidth="8" defaultRowHeight="15"/>
  <cols>
    <col width="12" customWidth="1" min="1" max="1"/>
    <col width="34" customWidth="1" min="2" max="2"/>
    <col width="22" customWidth="1" min="3" max="3"/>
    <col width="18" customWidth="1" min="4" max="4"/>
    <col width="20" customWidth="1" min="5" max="5"/>
    <col width="30" customWidth="1" min="6" max="6"/>
    <col width="34" customWidth="1" min="7" max="7"/>
    <col width="18" customWidth="1" min="8" max="8"/>
    <col width="18" customWidth="1" min="9" max="9"/>
    <col width="30" customWidth="1" min="10" max="10"/>
  </cols>
  <sheetData>
    <row r="1" ht="28" customHeight="1">
      <c r="A1" s="6" t="inlineStr">
        <is>
          <t>Q08 — Expert Review</t>
        </is>
      </c>
      <c r="B1" s="3" t="n"/>
      <c r="C1" s="3" t="n"/>
      <c r="D1" s="3" t="n"/>
      <c r="E1" s="3" t="n"/>
      <c r="F1" s="3" t="n"/>
      <c r="G1" s="3" t="n"/>
      <c r="H1" s="3" t="n"/>
      <c r="I1" s="3" t="n"/>
      <c r="J1" s="3" t="n"/>
    </row>
    <row r="2">
      <c r="A2" s="3" t="n"/>
      <c r="B2" s="3" t="n"/>
      <c r="C2" s="3" t="n"/>
      <c r="D2" s="3" t="n"/>
      <c r="E2" s="3" t="n"/>
      <c r="F2" s="3" t="n"/>
      <c r="G2" s="3" t="n"/>
      <c r="H2" s="3" t="n"/>
      <c r="I2" s="3" t="n"/>
      <c r="J2" s="3" t="n"/>
    </row>
    <row r="3">
      <c r="A3" s="8" t="inlineStr">
        <is>
          <t>Question metadata</t>
        </is>
      </c>
      <c r="B3" s="3" t="n"/>
      <c r="C3" s="3" t="n"/>
      <c r="D3" s="3" t="n"/>
      <c r="E3" s="3" t="n"/>
      <c r="F3" s="3" t="n"/>
      <c r="G3" s="3" t="n"/>
      <c r="H3" s="3" t="n"/>
      <c r="I3" s="3" t="n"/>
      <c r="J3" s="3" t="n"/>
    </row>
    <row r="4">
      <c r="A4" s="9" t="inlineStr">
        <is>
          <t>Question ID</t>
        </is>
      </c>
      <c r="B4" s="3" t="n">
        <v>8</v>
      </c>
      <c r="C4" s="3" t="n"/>
      <c r="D4" s="3" t="n"/>
      <c r="E4" s="3" t="n"/>
      <c r="F4" s="3" t="n"/>
      <c r="G4" s="3" t="n"/>
      <c r="H4" s="3" t="n"/>
      <c r="I4" s="3" t="n"/>
      <c r="J4" s="3" t="n"/>
    </row>
    <row r="5">
      <c r="A5" s="9" t="inlineStr">
        <is>
          <t>Topic</t>
        </is>
      </c>
      <c r="B5" s="3" t="inlineStr">
        <is>
          <t>Food delivery — remedies</t>
        </is>
      </c>
      <c r="C5" s="3" t="n"/>
      <c r="D5" s="3" t="n"/>
      <c r="E5" s="3" t="n"/>
      <c r="F5" s="3" t="n"/>
      <c r="G5" s="3" t="n"/>
      <c r="H5" s="3" t="n"/>
      <c r="I5" s="3" t="n"/>
      <c r="J5" s="3" t="n"/>
    </row>
    <row r="6">
      <c r="A6" s="9" t="inlineStr">
        <is>
          <t>Scope</t>
        </is>
      </c>
      <c r="B6" s="3" t="inlineStr">
        <is>
          <t>EU + UK + ES</t>
        </is>
      </c>
      <c r="C6" s="3" t="n"/>
      <c r="D6" s="3" t="n"/>
      <c r="E6" s="3" t="n"/>
      <c r="F6" s="3" t="n"/>
      <c r="G6" s="3" t="n"/>
      <c r="H6" s="3" t="n"/>
      <c r="I6" s="3" t="n"/>
      <c r="J6" s="3" t="n"/>
    </row>
    <row r="7">
      <c r="A7" s="9" t="inlineStr">
        <is>
          <t>Original reviewer</t>
        </is>
      </c>
      <c r="B7" s="3" t="inlineStr">
        <is>
          <t>Carolina</t>
        </is>
      </c>
      <c r="C7" s="3" t="n"/>
      <c r="D7" s="3" t="n"/>
      <c r="E7" s="3" t="n"/>
      <c r="F7" s="3" t="n"/>
      <c r="G7" s="3" t="n"/>
      <c r="H7" s="3" t="n"/>
      <c r="I7" s="3" t="n"/>
      <c r="J7" s="3" t="n"/>
    </row>
    <row r="8">
      <c r="A8" s="9" t="inlineStr">
        <is>
          <t>Original status</t>
        </is>
      </c>
      <c r="B8" s="3" t="inlineStr">
        <is>
          <t>Approved</t>
        </is>
      </c>
      <c r="C8" s="3" t="n"/>
      <c r="D8" s="3" t="n"/>
      <c r="E8" s="3" t="n"/>
      <c r="F8" s="3" t="n"/>
      <c r="G8" s="3" t="n"/>
      <c r="H8" s="3" t="n"/>
      <c r="I8" s="3" t="n"/>
      <c r="J8" s="3" t="n"/>
    </row>
    <row r="9">
      <c r="A9" s="3" t="n"/>
      <c r="B9" s="3" t="n"/>
      <c r="C9" s="3" t="n"/>
      <c r="D9" s="3" t="n"/>
      <c r="E9" s="3" t="n"/>
      <c r="F9" s="3" t="n"/>
      <c r="G9" s="3" t="n"/>
      <c r="H9" s="3" t="n"/>
      <c r="I9" s="3" t="n"/>
      <c r="J9" s="3" t="n"/>
    </row>
    <row r="10" ht="45" customHeight="1">
      <c r="A10" s="9" t="inlineStr">
        <is>
          <t>Question</t>
        </is>
      </c>
      <c r="B10" s="3" t="inlineStr">
        <is>
          <t>Remedies in food-delivery mergers — which European reviews ended in remedies or commitments, and what did they look like?</t>
        </is>
      </c>
      <c r="C10" s="3" t="n"/>
      <c r="D10" s="3" t="n"/>
      <c r="E10" s="3" t="n"/>
      <c r="F10" s="3" t="n"/>
      <c r="G10" s="3" t="n"/>
      <c r="H10" s="3" t="n"/>
      <c r="I10" s="3" t="n"/>
      <c r="J10" s="3" t="n"/>
    </row>
    <row r="11">
      <c r="A11" s="3" t="n"/>
      <c r="B11" s="3" t="n"/>
      <c r="C11" s="3" t="n"/>
      <c r="D11" s="3" t="n"/>
      <c r="E11" s="3" t="n"/>
      <c r="F11" s="3" t="n"/>
      <c r="G11" s="3" t="n"/>
      <c r="H11" s="3" t="n"/>
      <c r="I11" s="3" t="n"/>
      <c r="J11" s="3" t="n"/>
    </row>
    <row r="12">
      <c r="A12" s="3" t="n"/>
      <c r="B12" s="3" t="n"/>
      <c r="C12" s="3" t="n"/>
      <c r="D12" s="3" t="n"/>
      <c r="E12" s="3" t="n"/>
      <c r="F12" s="3" t="n"/>
      <c r="G12" s="3" t="n"/>
      <c r="H12" s="3" t="n"/>
      <c r="I12" s="3" t="n"/>
      <c r="J12" s="3" t="n"/>
    </row>
    <row r="13">
      <c r="A13" s="3" t="n"/>
      <c r="B13" s="3" t="n"/>
      <c r="C13" s="3" t="n"/>
      <c r="D13" s="3" t="n"/>
      <c r="E13" s="3" t="n"/>
      <c r="F13" s="3" t="n"/>
      <c r="G13" s="3" t="n"/>
      <c r="H13" s="3" t="n"/>
      <c r="I13" s="3" t="n"/>
      <c r="J13" s="3" t="n"/>
    </row>
    <row r="14">
      <c r="A14" s="8" t="inlineStr">
        <is>
          <t>Generated answer</t>
        </is>
      </c>
      <c r="B14" s="3" t="n"/>
      <c r="C14" s="3" t="n"/>
      <c r="D14" s="3" t="n"/>
      <c r="E14" s="3" t="n"/>
      <c r="F14" s="3" t="n"/>
      <c r="G14" s="3" t="n"/>
      <c r="H14" s="3" t="n"/>
      <c r="I14" s="3" t="n"/>
      <c r="J14" s="3" t="n"/>
    </row>
    <row r="15">
      <c r="A15" s="10" t="inlineStr">
        <is>
          <t>Paste the generated answer below.</t>
        </is>
      </c>
      <c r="B15" s="3" t="n"/>
      <c r="C15" s="3" t="n"/>
      <c r="D15" s="3" t="n"/>
      <c r="E15" s="3" t="n"/>
      <c r="F15" s="3" t="n"/>
      <c r="G15" s="3" t="n"/>
      <c r="H15" s="3" t="n"/>
      <c r="I15" s="3" t="n"/>
      <c r="J15" s="3" t="n"/>
    </row>
    <row r="16" ht="90" customHeight="1">
      <c r="A16" s="3" t="inlineStr"/>
      <c r="B16" s="3" t="n"/>
      <c r="C16" s="3" t="n"/>
      <c r="D16" s="3" t="n"/>
      <c r="E16" s="3" t="n"/>
      <c r="F16" s="3" t="n"/>
      <c r="G16" s="3" t="n"/>
      <c r="H16" s="3" t="n"/>
      <c r="I16" s="3" t="n"/>
      <c r="J16" s="3" t="n"/>
    </row>
    <row r="17" ht="30" customHeight="1">
      <c r="A17" s="3" t="n"/>
      <c r="B17" s="3" t="n"/>
      <c r="C17" s="3" t="n"/>
      <c r="D17" s="3" t="n"/>
      <c r="E17" s="3" t="n"/>
      <c r="F17" s="3" t="n"/>
      <c r="G17" s="3" t="n"/>
      <c r="H17" s="3" t="n"/>
      <c r="I17" s="3" t="n"/>
      <c r="J17" s="3" t="n"/>
    </row>
    <row r="18" ht="30" customHeight="1">
      <c r="A18" s="3" t="n"/>
      <c r="B18" s="3" t="n"/>
      <c r="C18" s="3" t="n"/>
      <c r="D18" s="3" t="n"/>
      <c r="E18" s="3" t="n"/>
      <c r="F18" s="3" t="n"/>
      <c r="G18" s="3" t="n"/>
      <c r="H18" s="3" t="n"/>
      <c r="I18" s="3" t="n"/>
      <c r="J18" s="3" t="n"/>
    </row>
    <row r="19">
      <c r="A19" s="9" t="inlineStr">
        <is>
          <t>Run ID</t>
        </is>
      </c>
      <c r="B19" s="3" t="inlineStr"/>
      <c r="C19" s="9" t="inlineStr">
        <is>
          <t>Run date</t>
        </is>
      </c>
      <c r="D19" s="3" t="inlineStr"/>
      <c r="E19" s="9" t="inlineStr">
        <is>
          <t>Model / prompt version</t>
        </is>
      </c>
      <c r="F19" s="3" t="inlineStr"/>
      <c r="G19" s="9" t="inlineStr">
        <is>
          <t>Corpus snapshot</t>
        </is>
      </c>
      <c r="H19" s="3" t="inlineStr"/>
      <c r="I19" s="3" t="n"/>
      <c r="J19" s="3" t="n"/>
    </row>
    <row r="20">
      <c r="A20" s="8" t="inlineStr">
        <is>
          <t>Retrieval set review</t>
        </is>
      </c>
      <c r="B20" s="3" t="n"/>
      <c r="C20" s="3" t="n"/>
      <c r="D20" s="3" t="n"/>
      <c r="E20" s="3" t="n"/>
      <c r="F20" s="3" t="n"/>
      <c r="G20" s="3" t="n"/>
      <c r="H20" s="3" t="n"/>
      <c r="I20" s="3" t="n"/>
      <c r="J20" s="3" t="n"/>
    </row>
    <row r="21">
      <c r="A21" s="11" t="inlineStr">
        <is>
          <t>Rank</t>
        </is>
      </c>
      <c r="B21" s="11" t="inlineStr">
        <is>
          <t>Retrieved source</t>
        </is>
      </c>
      <c r="C21" s="11" t="inlineStr">
        <is>
          <t>Source type</t>
        </is>
      </c>
      <c r="D21" s="11" t="inlineStr">
        <is>
          <t>Jurisdiction</t>
        </is>
      </c>
      <c r="E21" s="11" t="inlineStr">
        <is>
          <t>URL / Document ID</t>
        </is>
      </c>
      <c r="F21" s="11" t="inlineStr">
        <is>
          <t>Returned by engine?</t>
        </is>
      </c>
      <c r="G21" s="11" t="inlineStr">
        <is>
          <t>Required source?</t>
        </is>
      </c>
      <c r="H21" s="11" t="inlineStr">
        <is>
          <t>Trap?</t>
        </is>
      </c>
      <c r="I21" s="11" t="inlineStr">
        <is>
          <t>Expert verdict</t>
        </is>
      </c>
      <c r="J21" s="11" t="inlineStr">
        <is>
          <t>Notes</t>
        </is>
      </c>
    </row>
    <row r="22" ht="44" customHeight="1">
      <c r="A22" s="4" t="n">
        <v>1</v>
      </c>
      <c r="B22" s="4" t="n"/>
      <c r="C22" s="4" t="n"/>
      <c r="D22" s="4" t="n"/>
      <c r="E22" s="4" t="n"/>
      <c r="F22" s="4" t="n"/>
      <c r="G22" s="4" t="n"/>
      <c r="H22" s="4" t="n"/>
      <c r="I22" s="4" t="n"/>
      <c r="J22" s="4" t="n"/>
    </row>
    <row r="23" ht="44" customHeight="1">
      <c r="A23" s="4" t="n">
        <v>2</v>
      </c>
      <c r="B23" s="4" t="n"/>
      <c r="C23" s="4" t="n"/>
      <c r="D23" s="4" t="n"/>
      <c r="E23" s="4" t="n"/>
      <c r="F23" s="4" t="n"/>
      <c r="G23" s="4" t="n"/>
      <c r="H23" s="4" t="n"/>
      <c r="I23" s="4" t="n"/>
      <c r="J23" s="4" t="n"/>
    </row>
    <row r="24" ht="44" customHeight="1">
      <c r="A24" s="4" t="n">
        <v>3</v>
      </c>
      <c r="B24" s="4" t="n"/>
      <c r="C24" s="4" t="n"/>
      <c r="D24" s="4" t="n"/>
      <c r="E24" s="4" t="n"/>
      <c r="F24" s="4" t="n"/>
      <c r="G24" s="4" t="n"/>
      <c r="H24" s="4" t="n"/>
      <c r="I24" s="4" t="n"/>
      <c r="J24" s="4" t="n"/>
    </row>
    <row r="25" ht="44" customHeight="1">
      <c r="A25" s="4" t="n">
        <v>4</v>
      </c>
      <c r="B25" s="4" t="n"/>
      <c r="C25" s="4" t="n"/>
      <c r="D25" s="4" t="n"/>
      <c r="E25" s="4" t="n"/>
      <c r="F25" s="4" t="n"/>
      <c r="G25" s="4" t="n"/>
      <c r="H25" s="4" t="n"/>
      <c r="I25" s="4" t="n"/>
      <c r="J25" s="4" t="n"/>
    </row>
    <row r="26" ht="44" customHeight="1">
      <c r="A26" s="4" t="n">
        <v>5</v>
      </c>
      <c r="B26" s="4" t="n"/>
      <c r="C26" s="4" t="n"/>
      <c r="D26" s="4" t="n"/>
      <c r="E26" s="4" t="n"/>
      <c r="F26" s="4" t="n"/>
      <c r="G26" s="4" t="n"/>
      <c r="H26" s="4" t="n"/>
      <c r="I26" s="4" t="n"/>
      <c r="J26" s="4" t="n"/>
    </row>
    <row r="27" ht="44" customHeight="1">
      <c r="A27" s="4" t="n">
        <v>6</v>
      </c>
      <c r="B27" s="4" t="n"/>
      <c r="C27" s="4" t="n"/>
      <c r="D27" s="4" t="n"/>
      <c r="E27" s="4" t="n"/>
      <c r="F27" s="4" t="n"/>
      <c r="G27" s="4" t="n"/>
      <c r="H27" s="4" t="n"/>
      <c r="I27" s="4" t="n"/>
      <c r="J27" s="4" t="n"/>
    </row>
    <row r="28" ht="44" customHeight="1">
      <c r="A28" s="4" t="n">
        <v>7</v>
      </c>
      <c r="B28" s="4" t="n"/>
      <c r="C28" s="4" t="n"/>
      <c r="D28" s="4" t="n"/>
      <c r="E28" s="4" t="n"/>
      <c r="F28" s="4" t="n"/>
      <c r="G28" s="4" t="n"/>
      <c r="H28" s="4" t="n"/>
      <c r="I28" s="4" t="n"/>
      <c r="J28" s="4" t="n"/>
    </row>
    <row r="29" ht="44" customHeight="1">
      <c r="A29" s="4" t="n">
        <v>8</v>
      </c>
      <c r="B29" s="4" t="n"/>
      <c r="C29" s="4" t="n"/>
      <c r="D29" s="4" t="n"/>
      <c r="E29" s="4" t="n"/>
      <c r="F29" s="4" t="n"/>
      <c r="G29" s="4" t="n"/>
      <c r="H29" s="4" t="n"/>
      <c r="I29" s="4" t="n"/>
      <c r="J29" s="4" t="n"/>
    </row>
    <row r="30" ht="44" customHeight="1">
      <c r="A30" s="4" t="n">
        <v>9</v>
      </c>
      <c r="B30" s="4" t="n"/>
      <c r="C30" s="4" t="n"/>
      <c r="D30" s="4" t="n"/>
      <c r="E30" s="4" t="n"/>
      <c r="F30" s="4" t="n"/>
      <c r="G30" s="4" t="n"/>
      <c r="H30" s="4" t="n"/>
      <c r="I30" s="4" t="n"/>
      <c r="J30" s="4" t="n"/>
    </row>
    <row r="31" ht="44" customHeight="1">
      <c r="A31" s="4" t="n">
        <v>10</v>
      </c>
      <c r="B31" s="4" t="n"/>
      <c r="C31" s="4" t="n"/>
      <c r="D31" s="4" t="n"/>
      <c r="E31" s="4" t="n"/>
      <c r="F31" s="4" t="n"/>
      <c r="G31" s="4" t="n"/>
      <c r="H31" s="4" t="n"/>
      <c r="I31" s="4" t="n"/>
      <c r="J31" s="4" t="n"/>
    </row>
    <row r="32" ht="44" customHeight="1">
      <c r="A32" s="4" t="n">
        <v>11</v>
      </c>
      <c r="B32" s="4" t="n"/>
      <c r="C32" s="4" t="n"/>
      <c r="D32" s="4" t="n"/>
      <c r="E32" s="4" t="n"/>
      <c r="F32" s="4" t="n"/>
      <c r="G32" s="4" t="n"/>
      <c r="H32" s="4" t="n"/>
      <c r="I32" s="4" t="n"/>
      <c r="J32" s="4" t="n"/>
    </row>
    <row r="33" ht="44" customHeight="1">
      <c r="A33" s="4" t="n">
        <v>12</v>
      </c>
      <c r="B33" s="4" t="n"/>
      <c r="C33" s="4" t="n"/>
      <c r="D33" s="4" t="n"/>
      <c r="E33" s="4" t="n"/>
      <c r="F33" s="4" t="n"/>
      <c r="G33" s="4" t="n"/>
      <c r="H33" s="4" t="n"/>
      <c r="I33" s="4" t="n"/>
      <c r="J33" s="4" t="n"/>
    </row>
    <row r="34" ht="44" customHeight="1">
      <c r="A34" s="4" t="n">
        <v>13</v>
      </c>
      <c r="B34" s="4" t="n"/>
      <c r="C34" s="4" t="n"/>
      <c r="D34" s="4" t="n"/>
      <c r="E34" s="4" t="n"/>
      <c r="F34" s="4" t="n"/>
      <c r="G34" s="4" t="n"/>
      <c r="H34" s="4" t="n"/>
      <c r="I34" s="4" t="n"/>
      <c r="J34" s="4" t="n"/>
    </row>
    <row r="35" ht="44" customHeight="1">
      <c r="A35" s="4" t="n">
        <v>14</v>
      </c>
      <c r="B35" s="4" t="n"/>
      <c r="C35" s="4" t="n"/>
      <c r="D35" s="4" t="n"/>
      <c r="E35" s="4" t="n"/>
      <c r="F35" s="4" t="n"/>
      <c r="G35" s="4" t="n"/>
      <c r="H35" s="4" t="n"/>
      <c r="I35" s="4" t="n"/>
      <c r="J35" s="4" t="n"/>
    </row>
    <row r="36" ht="44" customHeight="1">
      <c r="A36" s="4" t="n">
        <v>15</v>
      </c>
      <c r="B36" s="4" t="n"/>
      <c r="C36" s="4" t="n"/>
      <c r="D36" s="4" t="n"/>
      <c r="E36" s="4" t="n"/>
      <c r="F36" s="4" t="n"/>
      <c r="G36" s="4" t="n"/>
      <c r="H36" s="4" t="n"/>
      <c r="I36" s="4" t="n"/>
      <c r="J36" s="4" t="n"/>
    </row>
    <row r="37">
      <c r="A37" s="3" t="n"/>
      <c r="B37" s="3" t="n"/>
      <c r="C37" s="3" t="n"/>
      <c r="D37" s="3" t="n"/>
      <c r="E37" s="3" t="n"/>
      <c r="F37" s="3" t="n"/>
      <c r="G37" s="3" t="n"/>
      <c r="H37" s="3" t="n"/>
      <c r="I37" s="3" t="n"/>
      <c r="J37" s="3" t="n"/>
    </row>
    <row r="38">
      <c r="A38" s="8" t="inlineStr">
        <is>
          <t>Claim-by-claim review</t>
        </is>
      </c>
      <c r="B38" s="3" t="n"/>
      <c r="C38" s="3" t="n"/>
      <c r="D38" s="3" t="n"/>
      <c r="E38" s="3" t="n"/>
      <c r="F38" s="3" t="n"/>
      <c r="G38" s="3" t="n"/>
      <c r="H38" s="3" t="n"/>
      <c r="I38" s="3" t="n"/>
      <c r="J38" s="3" t="n"/>
    </row>
    <row r="39">
      <c r="A39" s="11" t="inlineStr">
        <is>
          <t>Claim ID</t>
        </is>
      </c>
      <c r="B39" s="11" t="inlineStr">
        <is>
          <t>Claim from answer</t>
        </is>
      </c>
      <c r="C39" s="11" t="inlineStr">
        <is>
          <t>Citation used</t>
        </is>
      </c>
      <c r="D39" s="11" t="inlineStr">
        <is>
          <t>Expert verdict</t>
        </is>
      </c>
      <c r="E39" s="11" t="inlineStr">
        <is>
          <t>Issue type</t>
        </is>
      </c>
      <c r="F39" s="11" t="inlineStr">
        <is>
          <t>Cited passage / source note</t>
        </is>
      </c>
      <c r="G39" s="11" t="inlineStr">
        <is>
          <t>Required fix / comment</t>
        </is>
      </c>
      <c r="H39" s="11" t="inlineStr">
        <is>
          <t>Reviewer</t>
        </is>
      </c>
      <c r="I39" s="11" t="n"/>
      <c r="J39" s="11" t="n"/>
    </row>
    <row r="40" ht="54" customHeight="1">
      <c r="A40" s="4" t="n">
        <v>1</v>
      </c>
      <c r="B40" s="4" t="n"/>
      <c r="C40" s="4" t="n"/>
      <c r="D40" s="4" t="n"/>
      <c r="E40" s="4" t="n"/>
      <c r="F40" s="4" t="n"/>
      <c r="G40" s="4" t="n"/>
      <c r="H40" s="4" t="n"/>
      <c r="I40" s="3" t="n"/>
      <c r="J40" s="3" t="n"/>
    </row>
    <row r="41" ht="54" customHeight="1">
      <c r="A41" s="4" t="n">
        <v>2</v>
      </c>
      <c r="B41" s="4" t="n"/>
      <c r="C41" s="4" t="n"/>
      <c r="D41" s="4" t="n"/>
      <c r="E41" s="4" t="n"/>
      <c r="F41" s="4" t="n"/>
      <c r="G41" s="4" t="n"/>
      <c r="H41" s="4" t="n"/>
      <c r="I41" s="3" t="n"/>
      <c r="J41" s="3" t="n"/>
    </row>
    <row r="42" ht="54" customHeight="1">
      <c r="A42" s="4" t="n">
        <v>3</v>
      </c>
      <c r="B42" s="4" t="n"/>
      <c r="C42" s="4" t="n"/>
      <c r="D42" s="4" t="n"/>
      <c r="E42" s="4" t="n"/>
      <c r="F42" s="4" t="n"/>
      <c r="G42" s="4" t="n"/>
      <c r="H42" s="4" t="n"/>
      <c r="I42" s="3" t="n"/>
      <c r="J42" s="3" t="n"/>
    </row>
    <row r="43" ht="54" customHeight="1">
      <c r="A43" s="4" t="n">
        <v>4</v>
      </c>
      <c r="B43" s="4" t="n"/>
      <c r="C43" s="4" t="n"/>
      <c r="D43" s="4" t="n"/>
      <c r="E43" s="4" t="n"/>
      <c r="F43" s="4" t="n"/>
      <c r="G43" s="4" t="n"/>
      <c r="H43" s="4" t="n"/>
      <c r="I43" s="3" t="n"/>
      <c r="J43" s="3" t="n"/>
    </row>
    <row r="44" ht="54" customHeight="1">
      <c r="A44" s="4" t="n">
        <v>5</v>
      </c>
      <c r="B44" s="4" t="n"/>
      <c r="C44" s="4" t="n"/>
      <c r="D44" s="4" t="n"/>
      <c r="E44" s="4" t="n"/>
      <c r="F44" s="4" t="n"/>
      <c r="G44" s="4" t="n"/>
      <c r="H44" s="4" t="n"/>
      <c r="I44" s="3" t="n"/>
      <c r="J44" s="3" t="n"/>
    </row>
    <row r="45" ht="54" customHeight="1">
      <c r="A45" s="4" t="n">
        <v>6</v>
      </c>
      <c r="B45" s="4" t="n"/>
      <c r="C45" s="4" t="n"/>
      <c r="D45" s="4" t="n"/>
      <c r="E45" s="4" t="n"/>
      <c r="F45" s="4" t="n"/>
      <c r="G45" s="4" t="n"/>
      <c r="H45" s="4" t="n"/>
      <c r="I45" s="3" t="n"/>
      <c r="J45" s="3" t="n"/>
    </row>
    <row r="46" ht="54" customHeight="1">
      <c r="A46" s="4" t="n">
        <v>7</v>
      </c>
      <c r="B46" s="4" t="n"/>
      <c r="C46" s="4" t="n"/>
      <c r="D46" s="4" t="n"/>
      <c r="E46" s="4" t="n"/>
      <c r="F46" s="4" t="n"/>
      <c r="G46" s="4" t="n"/>
      <c r="H46" s="4" t="n"/>
      <c r="I46" s="3" t="n"/>
      <c r="J46" s="3" t="n"/>
    </row>
    <row r="47" ht="54" customHeight="1">
      <c r="A47" s="4" t="n">
        <v>8</v>
      </c>
      <c r="B47" s="4" t="n"/>
      <c r="C47" s="4" t="n"/>
      <c r="D47" s="4" t="n"/>
      <c r="E47" s="4" t="n"/>
      <c r="F47" s="4" t="n"/>
      <c r="G47" s="4" t="n"/>
      <c r="H47" s="4" t="n"/>
      <c r="I47" s="3" t="n"/>
      <c r="J47" s="3" t="n"/>
    </row>
    <row r="48" ht="54" customHeight="1">
      <c r="A48" s="4" t="n">
        <v>9</v>
      </c>
      <c r="B48" s="4" t="n"/>
      <c r="C48" s="4" t="n"/>
      <c r="D48" s="4" t="n"/>
      <c r="E48" s="4" t="n"/>
      <c r="F48" s="4" t="n"/>
      <c r="G48" s="4" t="n"/>
      <c r="H48" s="4" t="n"/>
      <c r="I48" s="3" t="n"/>
      <c r="J48" s="3" t="n"/>
    </row>
    <row r="49" ht="54" customHeight="1">
      <c r="A49" s="4" t="n">
        <v>10</v>
      </c>
      <c r="B49" s="4" t="n"/>
      <c r="C49" s="4" t="n"/>
      <c r="D49" s="4" t="n"/>
      <c r="E49" s="4" t="n"/>
      <c r="F49" s="4" t="n"/>
      <c r="G49" s="4" t="n"/>
      <c r="H49" s="4" t="n"/>
      <c r="I49" s="3" t="n"/>
      <c r="J49" s="3" t="n"/>
    </row>
    <row r="50" ht="54" customHeight="1">
      <c r="A50" s="4" t="n">
        <v>11</v>
      </c>
      <c r="B50" s="4" t="n"/>
      <c r="C50" s="4" t="n"/>
      <c r="D50" s="4" t="n"/>
      <c r="E50" s="4" t="n"/>
      <c r="F50" s="4" t="n"/>
      <c r="G50" s="4" t="n"/>
      <c r="H50" s="4" t="n"/>
      <c r="I50" s="3" t="n"/>
      <c r="J50" s="3" t="n"/>
    </row>
    <row r="51" ht="54" customHeight="1">
      <c r="A51" s="4" t="n">
        <v>12</v>
      </c>
      <c r="B51" s="4" t="n"/>
      <c r="C51" s="4" t="n"/>
      <c r="D51" s="4" t="n"/>
      <c r="E51" s="4" t="n"/>
      <c r="F51" s="4" t="n"/>
      <c r="G51" s="4" t="n"/>
      <c r="H51" s="4" t="n"/>
      <c r="I51" s="3" t="n"/>
      <c r="J51" s="3" t="n"/>
    </row>
    <row r="52" ht="54" customHeight="1">
      <c r="A52" s="4" t="n">
        <v>13</v>
      </c>
      <c r="B52" s="4" t="n"/>
      <c r="C52" s="4" t="n"/>
      <c r="D52" s="4" t="n"/>
      <c r="E52" s="4" t="n"/>
      <c r="F52" s="4" t="n"/>
      <c r="G52" s="4" t="n"/>
      <c r="H52" s="4" t="n"/>
      <c r="I52" s="3" t="n"/>
      <c r="J52" s="3" t="n"/>
    </row>
    <row r="53" ht="54" customHeight="1">
      <c r="A53" s="4" t="n">
        <v>14</v>
      </c>
      <c r="B53" s="4" t="n"/>
      <c r="C53" s="4" t="n"/>
      <c r="D53" s="4" t="n"/>
      <c r="E53" s="4" t="n"/>
      <c r="F53" s="4" t="n"/>
      <c r="G53" s="4" t="n"/>
      <c r="H53" s="4" t="n"/>
      <c r="I53" s="3" t="n"/>
      <c r="J53" s="3" t="n"/>
    </row>
    <row r="54" ht="54" customHeight="1">
      <c r="A54" s="4" t="n">
        <v>15</v>
      </c>
      <c r="B54" s="4" t="n"/>
      <c r="C54" s="4" t="n"/>
      <c r="D54" s="4" t="n"/>
      <c r="E54" s="4" t="n"/>
      <c r="F54" s="4" t="n"/>
      <c r="G54" s="4" t="n"/>
      <c r="H54" s="4" t="n"/>
      <c r="I54" s="3" t="n"/>
      <c r="J54" s="3" t="n"/>
    </row>
    <row r="55" ht="54" customHeight="1">
      <c r="A55" s="4" t="n">
        <v>16</v>
      </c>
      <c r="B55" s="4" t="n"/>
      <c r="C55" s="4" t="n"/>
      <c r="D55" s="4" t="n"/>
      <c r="E55" s="4" t="n"/>
      <c r="F55" s="4" t="n"/>
      <c r="G55" s="4" t="n"/>
      <c r="H55" s="4" t="n"/>
      <c r="I55" s="3" t="n"/>
      <c r="J55" s="3" t="n"/>
    </row>
    <row r="56" ht="54" customHeight="1">
      <c r="A56" s="4" t="n">
        <v>17</v>
      </c>
      <c r="B56" s="4" t="n"/>
      <c r="C56" s="4" t="n"/>
      <c r="D56" s="4" t="n"/>
      <c r="E56" s="4" t="n"/>
      <c r="F56" s="4" t="n"/>
      <c r="G56" s="4" t="n"/>
      <c r="H56" s="4" t="n"/>
      <c r="I56" s="3" t="n"/>
      <c r="J56" s="3" t="n"/>
    </row>
    <row r="57" ht="54" customHeight="1">
      <c r="A57" s="4" t="n">
        <v>18</v>
      </c>
      <c r="B57" s="4" t="n"/>
      <c r="C57" s="4" t="n"/>
      <c r="D57" s="4" t="n"/>
      <c r="E57" s="4" t="n"/>
      <c r="F57" s="4" t="n"/>
      <c r="G57" s="4" t="n"/>
      <c r="H57" s="4" t="n"/>
      <c r="I57" s="3" t="n"/>
      <c r="J57" s="3" t="n"/>
    </row>
    <row r="58" ht="54" customHeight="1">
      <c r="A58" s="4" t="n">
        <v>19</v>
      </c>
      <c r="B58" s="4" t="n"/>
      <c r="C58" s="4" t="n"/>
      <c r="D58" s="4" t="n"/>
      <c r="E58" s="4" t="n"/>
      <c r="F58" s="4" t="n"/>
      <c r="G58" s="4" t="n"/>
      <c r="H58" s="4" t="n"/>
      <c r="I58" s="3" t="n"/>
      <c r="J58" s="3" t="n"/>
    </row>
    <row r="59" ht="54" customHeight="1">
      <c r="A59" s="4" t="n">
        <v>20</v>
      </c>
      <c r="B59" s="4" t="n"/>
      <c r="C59" s="4" t="n"/>
      <c r="D59" s="4" t="n"/>
      <c r="E59" s="4" t="n"/>
      <c r="F59" s="4" t="n"/>
      <c r="G59" s="4" t="n"/>
      <c r="H59" s="4" t="n"/>
      <c r="I59" s="3" t="n"/>
      <c r="J59" s="3" t="n"/>
    </row>
    <row r="60">
      <c r="A60" s="3" t="n"/>
      <c r="B60" s="3" t="n"/>
      <c r="C60" s="3" t="n"/>
      <c r="D60" s="3" t="n"/>
      <c r="E60" s="3" t="n"/>
      <c r="F60" s="3" t="n"/>
      <c r="G60" s="3" t="n"/>
      <c r="H60" s="3" t="n"/>
      <c r="I60" s="3" t="n"/>
      <c r="J60" s="3" t="n"/>
    </row>
    <row r="61">
      <c r="A61" s="8" t="inlineStr">
        <is>
          <t>Final expert verdict</t>
        </is>
      </c>
      <c r="B61" s="3" t="n"/>
      <c r="C61" s="3" t="n"/>
      <c r="D61" s="3" t="n"/>
      <c r="E61" s="3" t="n"/>
      <c r="F61" s="3" t="n"/>
      <c r="G61" s="3" t="n"/>
      <c r="H61" s="3" t="n"/>
      <c r="I61" s="3" t="n"/>
      <c r="J61" s="3" t="n"/>
    </row>
    <row r="62">
      <c r="A62" s="12" t="inlineStr">
        <is>
          <t>Is the answer acceptable?</t>
        </is>
      </c>
      <c r="B62" s="4" t="inlineStr"/>
      <c r="C62" s="4" t="n"/>
      <c r="D62" s="4" t="n"/>
      <c r="E62" s="4" t="n"/>
      <c r="F62" s="4" t="n"/>
      <c r="G62" s="4" t="n"/>
      <c r="H62" s="4" t="n"/>
      <c r="I62" s="3" t="n"/>
      <c r="J62" s="3" t="n"/>
    </row>
    <row r="63" ht="54" customHeight="1">
      <c r="A63" s="12" t="inlineStr">
        <is>
          <t>Overall comment / required fixes</t>
        </is>
      </c>
      <c r="B63" s="4" t="n"/>
      <c r="C63" s="4" t="n"/>
      <c r="D63" s="4" t="n"/>
      <c r="E63" s="4" t="n"/>
      <c r="F63" s="4" t="n"/>
      <c r="G63" s="4" t="n"/>
      <c r="H63" s="4" t="n"/>
      <c r="I63" s="3" t="n"/>
      <c r="J63" s="3" t="n"/>
    </row>
    <row r="64">
      <c r="A64" s="4" t="n"/>
      <c r="B64" s="4" t="n"/>
      <c r="C64" s="4" t="n"/>
      <c r="D64" s="4" t="n"/>
      <c r="E64" s="4" t="n"/>
      <c r="F64" s="4" t="n"/>
      <c r="G64" s="4" t="n"/>
      <c r="H64" s="4" t="n"/>
      <c r="I64" s="3" t="n"/>
      <c r="J64" s="3" t="n"/>
    </row>
    <row r="65">
      <c r="A65" s="12" t="inlineStr">
        <is>
          <t>Missing key sources?</t>
        </is>
      </c>
      <c r="B65" s="4" t="n"/>
      <c r="C65" s="4" t="n"/>
      <c r="D65" s="4" t="n"/>
      <c r="E65" s="4" t="n"/>
      <c r="F65" s="4" t="n"/>
      <c r="G65" s="4" t="n"/>
      <c r="H65" s="4" t="n"/>
      <c r="I65" s="3" t="n"/>
      <c r="J65" s="3" t="n"/>
    </row>
    <row r="66">
      <c r="A66" s="12" t="inlineStr">
        <is>
          <t>Review completed?</t>
        </is>
      </c>
      <c r="B66" s="4" t="inlineStr"/>
      <c r="C66" s="4" t="n"/>
      <c r="D66" s="4" t="n"/>
      <c r="E66" s="4" t="n"/>
      <c r="F66" s="4" t="n"/>
      <c r="G66" s="4" t="n"/>
      <c r="H66" s="4" t="n"/>
      <c r="I66" s="3" t="n"/>
      <c r="J66" s="3" t="n"/>
    </row>
    <row r="67">
      <c r="A67" s="12" t="inlineStr">
        <is>
          <t>Reviewer</t>
        </is>
      </c>
      <c r="B67" s="4" t="n"/>
      <c r="C67" s="12" t="inlineStr">
        <is>
          <t>Review date</t>
        </is>
      </c>
      <c r="D67" s="5" t="inlineStr"/>
      <c r="E67" s="4" t="n"/>
      <c r="F67" s="4" t="n"/>
      <c r="G67" s="4" t="n"/>
      <c r="H67" s="4" t="n"/>
      <c r="I67" s="3" t="n"/>
      <c r="J67" s="3" t="n"/>
    </row>
    <row r="68">
      <c r="A68" s="3" t="n"/>
      <c r="B68" s="3" t="n"/>
      <c r="C68" s="3" t="n"/>
      <c r="D68" s="3" t="n"/>
      <c r="E68" s="3" t="n"/>
      <c r="F68" s="3" t="n"/>
      <c r="G68" s="3" t="n"/>
      <c r="H68" s="3" t="n"/>
      <c r="I68" s="3" t="n"/>
      <c r="J68" s="3" t="n"/>
    </row>
    <row r="69">
      <c r="A69" s="8" t="inlineStr">
        <is>
          <t>Original source notes</t>
        </is>
      </c>
      <c r="B69" s="3" t="n"/>
      <c r="C69" s="3" t="n"/>
      <c r="D69" s="3" t="n"/>
      <c r="E69" s="3" t="n"/>
      <c r="F69" s="3" t="n"/>
      <c r="G69" s="3" t="n"/>
      <c r="H69" s="3" t="n"/>
      <c r="I69" s="3" t="n"/>
      <c r="J69" s="3" t="n"/>
    </row>
    <row r="70">
      <c r="A70" s="12" t="inlineStr">
        <is>
          <t>WAB notes</t>
        </is>
      </c>
      <c r="B70" s="4" t="inlineStr"/>
      <c r="C70" s="4" t="n"/>
      <c r="D70" s="4" t="n"/>
      <c r="E70" s="4" t="n"/>
      <c r="F70" s="4" t="n"/>
      <c r="G70" s="4" t="n"/>
      <c r="H70" s="4" t="n"/>
      <c r="I70" s="3" t="n"/>
      <c r="J70" s="3" t="n"/>
    </row>
    <row r="71" ht="54" customHeight="1">
      <c r="A71" s="12" t="inlineStr">
        <is>
          <t>Reviewer notes from question approval</t>
        </is>
      </c>
      <c r="B71" s="4" t="inlineStr"/>
      <c r="C71" s="4" t="n"/>
      <c r="D71" s="4" t="n"/>
      <c r="E71" s="4" t="n"/>
      <c r="F71" s="4" t="n"/>
      <c r="G71" s="4" t="n"/>
      <c r="H71" s="4" t="n"/>
      <c r="I71" s="3" t="n"/>
      <c r="J71" s="3" t="n"/>
    </row>
    <row r="72">
      <c r="A72" s="4" t="n"/>
      <c r="B72" s="4" t="n"/>
      <c r="C72" s="4" t="n"/>
      <c r="D72" s="4" t="n"/>
      <c r="E72" s="4" t="n"/>
      <c r="F72" s="4" t="n"/>
      <c r="G72" s="4" t="n"/>
      <c r="H72" s="4" t="n"/>
      <c r="I72" s="3" t="n"/>
      <c r="J72" s="3" t="n"/>
    </row>
  </sheetData>
  <autoFilter ref="A21:J36"/>
  <mergeCells count="20">
    <mergeCell ref="B65:H65"/>
    <mergeCell ref="B71:H72"/>
    <mergeCell ref="B6:H6"/>
    <mergeCell ref="A20:J20"/>
    <mergeCell ref="A1:H1"/>
    <mergeCell ref="B5:H5"/>
    <mergeCell ref="A61:H61"/>
    <mergeCell ref="A69:H69"/>
    <mergeCell ref="B4:H4"/>
    <mergeCell ref="B62:H62"/>
    <mergeCell ref="B7:H7"/>
    <mergeCell ref="B66:H66"/>
    <mergeCell ref="A3:H3"/>
    <mergeCell ref="A16:H18"/>
    <mergeCell ref="B70:H70"/>
    <mergeCell ref="A14:H14"/>
    <mergeCell ref="B63:H64"/>
    <mergeCell ref="B8:H8"/>
    <mergeCell ref="B10:H12"/>
    <mergeCell ref="A38:H38"/>
  </mergeCells>
  <dataValidations count="9">
    <dataValidation sqref="C22:C36" showDropDown="0" showInputMessage="0" showErrorMessage="0" allowBlank="1" type="list">
      <formula1>=Lists!$F$2:$F$5</formula1>
    </dataValidation>
    <dataValidation sqref="F22:F36" showDropDown="0" showInputMessage="0" showErrorMessage="0" allowBlank="1" type="list">
      <formula1>=Lists!$G$2:$G$4</formula1>
    </dataValidation>
    <dataValidation sqref="G22:G36" showDropDown="0" showInputMessage="0" showErrorMessage="0" allowBlank="1" type="list">
      <formula1>=Lists!$G$2:$G$4</formula1>
    </dataValidation>
    <dataValidation sqref="H22:H36" showDropDown="0" showInputMessage="0" showErrorMessage="0" allowBlank="1" type="list">
      <formula1>=Lists!$G$2:$G$4</formula1>
    </dataValidation>
    <dataValidation sqref="I22:I36" showDropDown="0" showInputMessage="0" showErrorMessage="0" allowBlank="1" type="list">
      <formula1>=Lists!$H$2:$H$6</formula1>
    </dataValidation>
    <dataValidation sqref="D40:D59" showDropDown="0" showInputMessage="0" showErrorMessage="0" allowBlank="1" type="list">
      <formula1>=Lists!$D$2:$D$7</formula1>
    </dataValidation>
    <dataValidation sqref="E40:E59" showDropDown="0" showInputMessage="0" showErrorMessage="0" allowBlank="1" type="list">
      <formula1>=Lists!$E$2:$E$8</formula1>
    </dataValidation>
    <dataValidation sqref="B62" showDropDown="0" showInputMessage="0" showErrorMessage="0" allowBlank="1" type="list">
      <formula1>=Lists!$C$2:$C$4</formula1>
    </dataValidation>
    <dataValidation sqref="B66" showDropDown="0" showInputMessage="0" showErrorMessage="0" allowBlank="1" type="list">
      <formula1>=Lists!$A$2:$A$3</formula1>
    </dataValidation>
  </dataValidation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J72"/>
  <sheetViews>
    <sheetView showGridLines="0" workbookViewId="0">
      <pane ySplit="21" topLeftCell="A22" activePane="bottomLeft" state="frozen"/>
      <selection pane="bottomLeft" activeCell="A1" sqref="A1"/>
    </sheetView>
  </sheetViews>
  <sheetFormatPr baseColWidth="8" defaultRowHeight="15"/>
  <cols>
    <col width="12" customWidth="1" min="1" max="1"/>
    <col width="34" customWidth="1" min="2" max="2"/>
    <col width="22" customWidth="1" min="3" max="3"/>
    <col width="18" customWidth="1" min="4" max="4"/>
    <col width="20" customWidth="1" min="5" max="5"/>
    <col width="30" customWidth="1" min="6" max="6"/>
    <col width="34" customWidth="1" min="7" max="7"/>
    <col width="18" customWidth="1" min="8" max="8"/>
    <col width="18" customWidth="1" min="9" max="9"/>
    <col width="30" customWidth="1" min="10" max="10"/>
  </cols>
  <sheetData>
    <row r="1" ht="28" customHeight="1">
      <c r="A1" s="6" t="inlineStr">
        <is>
          <t>Q09 — Expert Review</t>
        </is>
      </c>
      <c r="B1" s="3" t="n"/>
      <c r="C1" s="3" t="n"/>
      <c r="D1" s="3" t="n"/>
      <c r="E1" s="3" t="n"/>
      <c r="F1" s="3" t="n"/>
      <c r="G1" s="3" t="n"/>
      <c r="H1" s="3" t="n"/>
      <c r="I1" s="3" t="n"/>
      <c r="J1" s="3" t="n"/>
    </row>
    <row r="2">
      <c r="A2" s="3" t="n"/>
      <c r="B2" s="3" t="n"/>
      <c r="C2" s="3" t="n"/>
      <c r="D2" s="3" t="n"/>
      <c r="E2" s="3" t="n"/>
      <c r="F2" s="3" t="n"/>
      <c r="G2" s="3" t="n"/>
      <c r="H2" s="3" t="n"/>
      <c r="I2" s="3" t="n"/>
      <c r="J2" s="3" t="n"/>
    </row>
    <row r="3">
      <c r="A3" s="8" t="inlineStr">
        <is>
          <t>Question metadata</t>
        </is>
      </c>
      <c r="B3" s="3" t="n"/>
      <c r="C3" s="3" t="n"/>
      <c r="D3" s="3" t="n"/>
      <c r="E3" s="3" t="n"/>
      <c r="F3" s="3" t="n"/>
      <c r="G3" s="3" t="n"/>
      <c r="H3" s="3" t="n"/>
      <c r="I3" s="3" t="n"/>
      <c r="J3" s="3" t="n"/>
    </row>
    <row r="4">
      <c r="A4" s="9" t="inlineStr">
        <is>
          <t>Question ID</t>
        </is>
      </c>
      <c r="B4" s="3" t="n">
        <v>9</v>
      </c>
      <c r="C4" s="3" t="n"/>
      <c r="D4" s="3" t="n"/>
      <c r="E4" s="3" t="n"/>
      <c r="F4" s="3" t="n"/>
      <c r="G4" s="3" t="n"/>
      <c r="H4" s="3" t="n"/>
      <c r="I4" s="3" t="n"/>
      <c r="J4" s="3" t="n"/>
    </row>
    <row r="5">
      <c r="A5" s="9" t="inlineStr">
        <is>
          <t>Topic</t>
        </is>
      </c>
      <c r="B5" s="3" t="inlineStr">
        <is>
          <t>Food delivery — Spanish practice</t>
        </is>
      </c>
      <c r="C5" s="3" t="n"/>
      <c r="D5" s="3" t="n"/>
      <c r="E5" s="3" t="n"/>
      <c r="F5" s="3" t="n"/>
      <c r="G5" s="3" t="n"/>
      <c r="H5" s="3" t="n"/>
      <c r="I5" s="3" t="n"/>
      <c r="J5" s="3" t="n"/>
    </row>
    <row r="6">
      <c r="A6" s="9" t="inlineStr">
        <is>
          <t>Scope</t>
        </is>
      </c>
      <c r="B6" s="3" t="inlineStr">
        <is>
          <t>ES</t>
        </is>
      </c>
      <c r="C6" s="3" t="n"/>
      <c r="D6" s="3" t="n"/>
      <c r="E6" s="3" t="n"/>
      <c r="F6" s="3" t="n"/>
      <c r="G6" s="3" t="n"/>
      <c r="H6" s="3" t="n"/>
      <c r="I6" s="3" t="n"/>
      <c r="J6" s="3" t="n"/>
    </row>
    <row r="7">
      <c r="A7" s="9" t="inlineStr">
        <is>
          <t>Original reviewer</t>
        </is>
      </c>
      <c r="B7" s="3" t="inlineStr">
        <is>
          <t>Carolina</t>
        </is>
      </c>
      <c r="C7" s="3" t="n"/>
      <c r="D7" s="3" t="n"/>
      <c r="E7" s="3" t="n"/>
      <c r="F7" s="3" t="n"/>
      <c r="G7" s="3" t="n"/>
      <c r="H7" s="3" t="n"/>
      <c r="I7" s="3" t="n"/>
      <c r="J7" s="3" t="n"/>
    </row>
    <row r="8">
      <c r="A8" s="9" t="inlineStr">
        <is>
          <t>Original status</t>
        </is>
      </c>
      <c r="B8" s="3" t="inlineStr">
        <is>
          <t>Approved</t>
        </is>
      </c>
      <c r="C8" s="3" t="n"/>
      <c r="D8" s="3" t="n"/>
      <c r="E8" s="3" t="n"/>
      <c r="F8" s="3" t="n"/>
      <c r="G8" s="3" t="n"/>
      <c r="H8" s="3" t="n"/>
      <c r="I8" s="3" t="n"/>
      <c r="J8" s="3" t="n"/>
    </row>
    <row r="9">
      <c r="A9" s="3" t="n"/>
      <c r="B9" s="3" t="n"/>
      <c r="C9" s="3" t="n"/>
      <c r="D9" s="3" t="n"/>
      <c r="E9" s="3" t="n"/>
      <c r="F9" s="3" t="n"/>
      <c r="G9" s="3" t="n"/>
      <c r="H9" s="3" t="n"/>
      <c r="I9" s="3" t="n"/>
      <c r="J9" s="3" t="n"/>
    </row>
    <row r="10" ht="45" customHeight="1">
      <c r="A10" s="9" t="inlineStr">
        <is>
          <t>Question</t>
        </is>
      </c>
      <c r="B10" s="3" t="inlineStr">
        <is>
          <t>The Spanish (CNMC) food-delivery reviews — what is the CNMC's decisional practice, how many cases, and how were they resolved?</t>
        </is>
      </c>
      <c r="C10" s="3" t="n"/>
      <c r="D10" s="3" t="n"/>
      <c r="E10" s="3" t="n"/>
      <c r="F10" s="3" t="n"/>
      <c r="G10" s="3" t="n"/>
      <c r="H10" s="3" t="n"/>
      <c r="I10" s="3" t="n"/>
      <c r="J10" s="3" t="n"/>
    </row>
    <row r="11">
      <c r="A11" s="3" t="n"/>
      <c r="B11" s="3" t="n"/>
      <c r="C11" s="3" t="n"/>
      <c r="D11" s="3" t="n"/>
      <c r="E11" s="3" t="n"/>
      <c r="F11" s="3" t="n"/>
      <c r="G11" s="3" t="n"/>
      <c r="H11" s="3" t="n"/>
      <c r="I11" s="3" t="n"/>
      <c r="J11" s="3" t="n"/>
    </row>
    <row r="12">
      <c r="A12" s="3" t="n"/>
      <c r="B12" s="3" t="n"/>
      <c r="C12" s="3" t="n"/>
      <c r="D12" s="3" t="n"/>
      <c r="E12" s="3" t="n"/>
      <c r="F12" s="3" t="n"/>
      <c r="G12" s="3" t="n"/>
      <c r="H12" s="3" t="n"/>
      <c r="I12" s="3" t="n"/>
      <c r="J12" s="3" t="n"/>
    </row>
    <row r="13">
      <c r="A13" s="3" t="n"/>
      <c r="B13" s="3" t="n"/>
      <c r="C13" s="3" t="n"/>
      <c r="D13" s="3" t="n"/>
      <c r="E13" s="3" t="n"/>
      <c r="F13" s="3" t="n"/>
      <c r="G13" s="3" t="n"/>
      <c r="H13" s="3" t="n"/>
      <c r="I13" s="3" t="n"/>
      <c r="J13" s="3" t="n"/>
    </row>
    <row r="14">
      <c r="A14" s="8" t="inlineStr">
        <is>
          <t>Generated answer</t>
        </is>
      </c>
      <c r="B14" s="3" t="n"/>
      <c r="C14" s="3" t="n"/>
      <c r="D14" s="3" t="n"/>
      <c r="E14" s="3" t="n"/>
      <c r="F14" s="3" t="n"/>
      <c r="G14" s="3" t="n"/>
      <c r="H14" s="3" t="n"/>
      <c r="I14" s="3" t="n"/>
      <c r="J14" s="3" t="n"/>
    </row>
    <row r="15">
      <c r="A15" s="10" t="inlineStr">
        <is>
          <t>Paste the generated answer below.</t>
        </is>
      </c>
      <c r="B15" s="3" t="n"/>
      <c r="C15" s="3" t="n"/>
      <c r="D15" s="3" t="n"/>
      <c r="E15" s="3" t="n"/>
      <c r="F15" s="3" t="n"/>
      <c r="G15" s="3" t="n"/>
      <c r="H15" s="3" t="n"/>
      <c r="I15" s="3" t="n"/>
      <c r="J15" s="3" t="n"/>
    </row>
    <row r="16" ht="90" customHeight="1">
      <c r="A16" s="3" t="inlineStr"/>
      <c r="B16" s="3" t="n"/>
      <c r="C16" s="3" t="n"/>
      <c r="D16" s="3" t="n"/>
      <c r="E16" s="3" t="n"/>
      <c r="F16" s="3" t="n"/>
      <c r="G16" s="3" t="n"/>
      <c r="H16" s="3" t="n"/>
      <c r="I16" s="3" t="n"/>
      <c r="J16" s="3" t="n"/>
    </row>
    <row r="17" ht="30" customHeight="1">
      <c r="A17" s="3" t="n"/>
      <c r="B17" s="3" t="n"/>
      <c r="C17" s="3" t="n"/>
      <c r="D17" s="3" t="n"/>
      <c r="E17" s="3" t="n"/>
      <c r="F17" s="3" t="n"/>
      <c r="G17" s="3" t="n"/>
      <c r="H17" s="3" t="n"/>
      <c r="I17" s="3" t="n"/>
      <c r="J17" s="3" t="n"/>
    </row>
    <row r="18" ht="30" customHeight="1">
      <c r="A18" s="3" t="n"/>
      <c r="B18" s="3" t="n"/>
      <c r="C18" s="3" t="n"/>
      <c r="D18" s="3" t="n"/>
      <c r="E18" s="3" t="n"/>
      <c r="F18" s="3" t="n"/>
      <c r="G18" s="3" t="n"/>
      <c r="H18" s="3" t="n"/>
      <c r="I18" s="3" t="n"/>
      <c r="J18" s="3" t="n"/>
    </row>
    <row r="19">
      <c r="A19" s="9" t="inlineStr">
        <is>
          <t>Run ID</t>
        </is>
      </c>
      <c r="B19" s="3" t="inlineStr"/>
      <c r="C19" s="9" t="inlineStr">
        <is>
          <t>Run date</t>
        </is>
      </c>
      <c r="D19" s="3" t="inlineStr"/>
      <c r="E19" s="9" t="inlineStr">
        <is>
          <t>Model / prompt version</t>
        </is>
      </c>
      <c r="F19" s="3" t="inlineStr"/>
      <c r="G19" s="9" t="inlineStr">
        <is>
          <t>Corpus snapshot</t>
        </is>
      </c>
      <c r="H19" s="3" t="inlineStr"/>
      <c r="I19" s="3" t="n"/>
      <c r="J19" s="3" t="n"/>
    </row>
    <row r="20">
      <c r="A20" s="8" t="inlineStr">
        <is>
          <t>Retrieval set review</t>
        </is>
      </c>
      <c r="B20" s="3" t="n"/>
      <c r="C20" s="3" t="n"/>
      <c r="D20" s="3" t="n"/>
      <c r="E20" s="3" t="n"/>
      <c r="F20" s="3" t="n"/>
      <c r="G20" s="3" t="n"/>
      <c r="H20" s="3" t="n"/>
      <c r="I20" s="3" t="n"/>
      <c r="J20" s="3" t="n"/>
    </row>
    <row r="21">
      <c r="A21" s="11" t="inlineStr">
        <is>
          <t>Rank</t>
        </is>
      </c>
      <c r="B21" s="11" t="inlineStr">
        <is>
          <t>Retrieved source</t>
        </is>
      </c>
      <c r="C21" s="11" t="inlineStr">
        <is>
          <t>Source type</t>
        </is>
      </c>
      <c r="D21" s="11" t="inlineStr">
        <is>
          <t>Jurisdiction</t>
        </is>
      </c>
      <c r="E21" s="11" t="inlineStr">
        <is>
          <t>URL / Document ID</t>
        </is>
      </c>
      <c r="F21" s="11" t="inlineStr">
        <is>
          <t>Returned by engine?</t>
        </is>
      </c>
      <c r="G21" s="11" t="inlineStr">
        <is>
          <t>Required source?</t>
        </is>
      </c>
      <c r="H21" s="11" t="inlineStr">
        <is>
          <t>Trap?</t>
        </is>
      </c>
      <c r="I21" s="11" t="inlineStr">
        <is>
          <t>Expert verdict</t>
        </is>
      </c>
      <c r="J21" s="11" t="inlineStr">
        <is>
          <t>Notes</t>
        </is>
      </c>
    </row>
    <row r="22" ht="44" customHeight="1">
      <c r="A22" s="4" t="n">
        <v>1</v>
      </c>
      <c r="B22" s="4" t="n"/>
      <c r="C22" s="4" t="n"/>
      <c r="D22" s="4" t="n"/>
      <c r="E22" s="4" t="n"/>
      <c r="F22" s="4" t="n"/>
      <c r="G22" s="4" t="n"/>
      <c r="H22" s="4" t="n"/>
      <c r="I22" s="4" t="n"/>
      <c r="J22" s="4" t="n"/>
    </row>
    <row r="23" ht="44" customHeight="1">
      <c r="A23" s="4" t="n">
        <v>2</v>
      </c>
      <c r="B23" s="4" t="n"/>
      <c r="C23" s="4" t="n"/>
      <c r="D23" s="4" t="n"/>
      <c r="E23" s="4" t="n"/>
      <c r="F23" s="4" t="n"/>
      <c r="G23" s="4" t="n"/>
      <c r="H23" s="4" t="n"/>
      <c r="I23" s="4" t="n"/>
      <c r="J23" s="4" t="n"/>
    </row>
    <row r="24" ht="44" customHeight="1">
      <c r="A24" s="4" t="n">
        <v>3</v>
      </c>
      <c r="B24" s="4" t="n"/>
      <c r="C24" s="4" t="n"/>
      <c r="D24" s="4" t="n"/>
      <c r="E24" s="4" t="n"/>
      <c r="F24" s="4" t="n"/>
      <c r="G24" s="4" t="n"/>
      <c r="H24" s="4" t="n"/>
      <c r="I24" s="4" t="n"/>
      <c r="J24" s="4" t="n"/>
    </row>
    <row r="25" ht="44" customHeight="1">
      <c r="A25" s="4" t="n">
        <v>4</v>
      </c>
      <c r="B25" s="4" t="n"/>
      <c r="C25" s="4" t="n"/>
      <c r="D25" s="4" t="n"/>
      <c r="E25" s="4" t="n"/>
      <c r="F25" s="4" t="n"/>
      <c r="G25" s="4" t="n"/>
      <c r="H25" s="4" t="n"/>
      <c r="I25" s="4" t="n"/>
      <c r="J25" s="4" t="n"/>
    </row>
    <row r="26" ht="44" customHeight="1">
      <c r="A26" s="4" t="n">
        <v>5</v>
      </c>
      <c r="B26" s="4" t="n"/>
      <c r="C26" s="4" t="n"/>
      <c r="D26" s="4" t="n"/>
      <c r="E26" s="4" t="n"/>
      <c r="F26" s="4" t="n"/>
      <c r="G26" s="4" t="n"/>
      <c r="H26" s="4" t="n"/>
      <c r="I26" s="4" t="n"/>
      <c r="J26" s="4" t="n"/>
    </row>
    <row r="27" ht="44" customHeight="1">
      <c r="A27" s="4" t="n">
        <v>6</v>
      </c>
      <c r="B27" s="4" t="n"/>
      <c r="C27" s="4" t="n"/>
      <c r="D27" s="4" t="n"/>
      <c r="E27" s="4" t="n"/>
      <c r="F27" s="4" t="n"/>
      <c r="G27" s="4" t="n"/>
      <c r="H27" s="4" t="n"/>
      <c r="I27" s="4" t="n"/>
      <c r="J27" s="4" t="n"/>
    </row>
    <row r="28" ht="44" customHeight="1">
      <c r="A28" s="4" t="n">
        <v>7</v>
      </c>
      <c r="B28" s="4" t="n"/>
      <c r="C28" s="4" t="n"/>
      <c r="D28" s="4" t="n"/>
      <c r="E28" s="4" t="n"/>
      <c r="F28" s="4" t="n"/>
      <c r="G28" s="4" t="n"/>
      <c r="H28" s="4" t="n"/>
      <c r="I28" s="4" t="n"/>
      <c r="J28" s="4" t="n"/>
    </row>
    <row r="29" ht="44" customHeight="1">
      <c r="A29" s="4" t="n">
        <v>8</v>
      </c>
      <c r="B29" s="4" t="n"/>
      <c r="C29" s="4" t="n"/>
      <c r="D29" s="4" t="n"/>
      <c r="E29" s="4" t="n"/>
      <c r="F29" s="4" t="n"/>
      <c r="G29" s="4" t="n"/>
      <c r="H29" s="4" t="n"/>
      <c r="I29" s="4" t="n"/>
      <c r="J29" s="4" t="n"/>
    </row>
    <row r="30" ht="44" customHeight="1">
      <c r="A30" s="4" t="n">
        <v>9</v>
      </c>
      <c r="B30" s="4" t="n"/>
      <c r="C30" s="4" t="n"/>
      <c r="D30" s="4" t="n"/>
      <c r="E30" s="4" t="n"/>
      <c r="F30" s="4" t="n"/>
      <c r="G30" s="4" t="n"/>
      <c r="H30" s="4" t="n"/>
      <c r="I30" s="4" t="n"/>
      <c r="J30" s="4" t="n"/>
    </row>
    <row r="31" ht="44" customHeight="1">
      <c r="A31" s="4" t="n">
        <v>10</v>
      </c>
      <c r="B31" s="4" t="n"/>
      <c r="C31" s="4" t="n"/>
      <c r="D31" s="4" t="n"/>
      <c r="E31" s="4" t="n"/>
      <c r="F31" s="4" t="n"/>
      <c r="G31" s="4" t="n"/>
      <c r="H31" s="4" t="n"/>
      <c r="I31" s="4" t="n"/>
      <c r="J31" s="4" t="n"/>
    </row>
    <row r="32" ht="44" customHeight="1">
      <c r="A32" s="4" t="n">
        <v>11</v>
      </c>
      <c r="B32" s="4" t="n"/>
      <c r="C32" s="4" t="n"/>
      <c r="D32" s="4" t="n"/>
      <c r="E32" s="4" t="n"/>
      <c r="F32" s="4" t="n"/>
      <c r="G32" s="4" t="n"/>
      <c r="H32" s="4" t="n"/>
      <c r="I32" s="4" t="n"/>
      <c r="J32" s="4" t="n"/>
    </row>
    <row r="33" ht="44" customHeight="1">
      <c r="A33" s="4" t="n">
        <v>12</v>
      </c>
      <c r="B33" s="4" t="n"/>
      <c r="C33" s="4" t="n"/>
      <c r="D33" s="4" t="n"/>
      <c r="E33" s="4" t="n"/>
      <c r="F33" s="4" t="n"/>
      <c r="G33" s="4" t="n"/>
      <c r="H33" s="4" t="n"/>
      <c r="I33" s="4" t="n"/>
      <c r="J33" s="4" t="n"/>
    </row>
    <row r="34" ht="44" customHeight="1">
      <c r="A34" s="4" t="n">
        <v>13</v>
      </c>
      <c r="B34" s="4" t="n"/>
      <c r="C34" s="4" t="n"/>
      <c r="D34" s="4" t="n"/>
      <c r="E34" s="4" t="n"/>
      <c r="F34" s="4" t="n"/>
      <c r="G34" s="4" t="n"/>
      <c r="H34" s="4" t="n"/>
      <c r="I34" s="4" t="n"/>
      <c r="J34" s="4" t="n"/>
    </row>
    <row r="35" ht="44" customHeight="1">
      <c r="A35" s="4" t="n">
        <v>14</v>
      </c>
      <c r="B35" s="4" t="n"/>
      <c r="C35" s="4" t="n"/>
      <c r="D35" s="4" t="n"/>
      <c r="E35" s="4" t="n"/>
      <c r="F35" s="4" t="n"/>
      <c r="G35" s="4" t="n"/>
      <c r="H35" s="4" t="n"/>
      <c r="I35" s="4" t="n"/>
      <c r="J35" s="4" t="n"/>
    </row>
    <row r="36" ht="44" customHeight="1">
      <c r="A36" s="4" t="n">
        <v>15</v>
      </c>
      <c r="B36" s="4" t="n"/>
      <c r="C36" s="4" t="n"/>
      <c r="D36" s="4" t="n"/>
      <c r="E36" s="4" t="n"/>
      <c r="F36" s="4" t="n"/>
      <c r="G36" s="4" t="n"/>
      <c r="H36" s="4" t="n"/>
      <c r="I36" s="4" t="n"/>
      <c r="J36" s="4" t="n"/>
    </row>
    <row r="37">
      <c r="A37" s="3" t="n"/>
      <c r="B37" s="3" t="n"/>
      <c r="C37" s="3" t="n"/>
      <c r="D37" s="3" t="n"/>
      <c r="E37" s="3" t="n"/>
      <c r="F37" s="3" t="n"/>
      <c r="G37" s="3" t="n"/>
      <c r="H37" s="3" t="n"/>
      <c r="I37" s="3" t="n"/>
      <c r="J37" s="3" t="n"/>
    </row>
    <row r="38">
      <c r="A38" s="8" t="inlineStr">
        <is>
          <t>Claim-by-claim review</t>
        </is>
      </c>
      <c r="B38" s="3" t="n"/>
      <c r="C38" s="3" t="n"/>
      <c r="D38" s="3" t="n"/>
      <c r="E38" s="3" t="n"/>
      <c r="F38" s="3" t="n"/>
      <c r="G38" s="3" t="n"/>
      <c r="H38" s="3" t="n"/>
      <c r="I38" s="3" t="n"/>
      <c r="J38" s="3" t="n"/>
    </row>
    <row r="39">
      <c r="A39" s="11" t="inlineStr">
        <is>
          <t>Claim ID</t>
        </is>
      </c>
      <c r="B39" s="11" t="inlineStr">
        <is>
          <t>Claim from answer</t>
        </is>
      </c>
      <c r="C39" s="11" t="inlineStr">
        <is>
          <t>Citation used</t>
        </is>
      </c>
      <c r="D39" s="11" t="inlineStr">
        <is>
          <t>Expert verdict</t>
        </is>
      </c>
      <c r="E39" s="11" t="inlineStr">
        <is>
          <t>Issue type</t>
        </is>
      </c>
      <c r="F39" s="11" t="inlineStr">
        <is>
          <t>Cited passage / source note</t>
        </is>
      </c>
      <c r="G39" s="11" t="inlineStr">
        <is>
          <t>Required fix / comment</t>
        </is>
      </c>
      <c r="H39" s="11" t="inlineStr">
        <is>
          <t>Reviewer</t>
        </is>
      </c>
      <c r="I39" s="11" t="n"/>
      <c r="J39" s="11" t="n"/>
    </row>
    <row r="40" ht="54" customHeight="1">
      <c r="A40" s="4" t="n">
        <v>1</v>
      </c>
      <c r="B40" s="4" t="n"/>
      <c r="C40" s="4" t="n"/>
      <c r="D40" s="4" t="n"/>
      <c r="E40" s="4" t="n"/>
      <c r="F40" s="4" t="n"/>
      <c r="G40" s="4" t="n"/>
      <c r="H40" s="4" t="n"/>
      <c r="I40" s="3" t="n"/>
      <c r="J40" s="3" t="n"/>
    </row>
    <row r="41" ht="54" customHeight="1">
      <c r="A41" s="4" t="n">
        <v>2</v>
      </c>
      <c r="B41" s="4" t="n"/>
      <c r="C41" s="4" t="n"/>
      <c r="D41" s="4" t="n"/>
      <c r="E41" s="4" t="n"/>
      <c r="F41" s="4" t="n"/>
      <c r="G41" s="4" t="n"/>
      <c r="H41" s="4" t="n"/>
      <c r="I41" s="3" t="n"/>
      <c r="J41" s="3" t="n"/>
    </row>
    <row r="42" ht="54" customHeight="1">
      <c r="A42" s="4" t="n">
        <v>3</v>
      </c>
      <c r="B42" s="4" t="n"/>
      <c r="C42" s="4" t="n"/>
      <c r="D42" s="4" t="n"/>
      <c r="E42" s="4" t="n"/>
      <c r="F42" s="4" t="n"/>
      <c r="G42" s="4" t="n"/>
      <c r="H42" s="4" t="n"/>
      <c r="I42" s="3" t="n"/>
      <c r="J42" s="3" t="n"/>
    </row>
    <row r="43" ht="54" customHeight="1">
      <c r="A43" s="4" t="n">
        <v>4</v>
      </c>
      <c r="B43" s="4" t="n"/>
      <c r="C43" s="4" t="n"/>
      <c r="D43" s="4" t="n"/>
      <c r="E43" s="4" t="n"/>
      <c r="F43" s="4" t="n"/>
      <c r="G43" s="4" t="n"/>
      <c r="H43" s="4" t="n"/>
      <c r="I43" s="3" t="n"/>
      <c r="J43" s="3" t="n"/>
    </row>
    <row r="44" ht="54" customHeight="1">
      <c r="A44" s="4" t="n">
        <v>5</v>
      </c>
      <c r="B44" s="4" t="n"/>
      <c r="C44" s="4" t="n"/>
      <c r="D44" s="4" t="n"/>
      <c r="E44" s="4" t="n"/>
      <c r="F44" s="4" t="n"/>
      <c r="G44" s="4" t="n"/>
      <c r="H44" s="4" t="n"/>
      <c r="I44" s="3" t="n"/>
      <c r="J44" s="3" t="n"/>
    </row>
    <row r="45" ht="54" customHeight="1">
      <c r="A45" s="4" t="n">
        <v>6</v>
      </c>
      <c r="B45" s="4" t="n"/>
      <c r="C45" s="4" t="n"/>
      <c r="D45" s="4" t="n"/>
      <c r="E45" s="4" t="n"/>
      <c r="F45" s="4" t="n"/>
      <c r="G45" s="4" t="n"/>
      <c r="H45" s="4" t="n"/>
      <c r="I45" s="3" t="n"/>
      <c r="J45" s="3" t="n"/>
    </row>
    <row r="46" ht="54" customHeight="1">
      <c r="A46" s="4" t="n">
        <v>7</v>
      </c>
      <c r="B46" s="4" t="n"/>
      <c r="C46" s="4" t="n"/>
      <c r="D46" s="4" t="n"/>
      <c r="E46" s="4" t="n"/>
      <c r="F46" s="4" t="n"/>
      <c r="G46" s="4" t="n"/>
      <c r="H46" s="4" t="n"/>
      <c r="I46" s="3" t="n"/>
      <c r="J46" s="3" t="n"/>
    </row>
    <row r="47" ht="54" customHeight="1">
      <c r="A47" s="4" t="n">
        <v>8</v>
      </c>
      <c r="B47" s="4" t="n"/>
      <c r="C47" s="4" t="n"/>
      <c r="D47" s="4" t="n"/>
      <c r="E47" s="4" t="n"/>
      <c r="F47" s="4" t="n"/>
      <c r="G47" s="4" t="n"/>
      <c r="H47" s="4" t="n"/>
      <c r="I47" s="3" t="n"/>
      <c r="J47" s="3" t="n"/>
    </row>
    <row r="48" ht="54" customHeight="1">
      <c r="A48" s="4" t="n">
        <v>9</v>
      </c>
      <c r="B48" s="4" t="n"/>
      <c r="C48" s="4" t="n"/>
      <c r="D48" s="4" t="n"/>
      <c r="E48" s="4" t="n"/>
      <c r="F48" s="4" t="n"/>
      <c r="G48" s="4" t="n"/>
      <c r="H48" s="4" t="n"/>
      <c r="I48" s="3" t="n"/>
      <c r="J48" s="3" t="n"/>
    </row>
    <row r="49" ht="54" customHeight="1">
      <c r="A49" s="4" t="n">
        <v>10</v>
      </c>
      <c r="B49" s="4" t="n"/>
      <c r="C49" s="4" t="n"/>
      <c r="D49" s="4" t="n"/>
      <c r="E49" s="4" t="n"/>
      <c r="F49" s="4" t="n"/>
      <c r="G49" s="4" t="n"/>
      <c r="H49" s="4" t="n"/>
      <c r="I49" s="3" t="n"/>
      <c r="J49" s="3" t="n"/>
    </row>
    <row r="50" ht="54" customHeight="1">
      <c r="A50" s="4" t="n">
        <v>11</v>
      </c>
      <c r="B50" s="4" t="n"/>
      <c r="C50" s="4" t="n"/>
      <c r="D50" s="4" t="n"/>
      <c r="E50" s="4" t="n"/>
      <c r="F50" s="4" t="n"/>
      <c r="G50" s="4" t="n"/>
      <c r="H50" s="4" t="n"/>
      <c r="I50" s="3" t="n"/>
      <c r="J50" s="3" t="n"/>
    </row>
    <row r="51" ht="54" customHeight="1">
      <c r="A51" s="4" t="n">
        <v>12</v>
      </c>
      <c r="B51" s="4" t="n"/>
      <c r="C51" s="4" t="n"/>
      <c r="D51" s="4" t="n"/>
      <c r="E51" s="4" t="n"/>
      <c r="F51" s="4" t="n"/>
      <c r="G51" s="4" t="n"/>
      <c r="H51" s="4" t="n"/>
      <c r="I51" s="3" t="n"/>
      <c r="J51" s="3" t="n"/>
    </row>
    <row r="52" ht="54" customHeight="1">
      <c r="A52" s="4" t="n">
        <v>13</v>
      </c>
      <c r="B52" s="4" t="n"/>
      <c r="C52" s="4" t="n"/>
      <c r="D52" s="4" t="n"/>
      <c r="E52" s="4" t="n"/>
      <c r="F52" s="4" t="n"/>
      <c r="G52" s="4" t="n"/>
      <c r="H52" s="4" t="n"/>
      <c r="I52" s="3" t="n"/>
      <c r="J52" s="3" t="n"/>
    </row>
    <row r="53" ht="54" customHeight="1">
      <c r="A53" s="4" t="n">
        <v>14</v>
      </c>
      <c r="B53" s="4" t="n"/>
      <c r="C53" s="4" t="n"/>
      <c r="D53" s="4" t="n"/>
      <c r="E53" s="4" t="n"/>
      <c r="F53" s="4" t="n"/>
      <c r="G53" s="4" t="n"/>
      <c r="H53" s="4" t="n"/>
      <c r="I53" s="3" t="n"/>
      <c r="J53" s="3" t="n"/>
    </row>
    <row r="54" ht="54" customHeight="1">
      <c r="A54" s="4" t="n">
        <v>15</v>
      </c>
      <c r="B54" s="4" t="n"/>
      <c r="C54" s="4" t="n"/>
      <c r="D54" s="4" t="n"/>
      <c r="E54" s="4" t="n"/>
      <c r="F54" s="4" t="n"/>
      <c r="G54" s="4" t="n"/>
      <c r="H54" s="4" t="n"/>
      <c r="I54" s="3" t="n"/>
      <c r="J54" s="3" t="n"/>
    </row>
    <row r="55" ht="54" customHeight="1">
      <c r="A55" s="4" t="n">
        <v>16</v>
      </c>
      <c r="B55" s="4" t="n"/>
      <c r="C55" s="4" t="n"/>
      <c r="D55" s="4" t="n"/>
      <c r="E55" s="4" t="n"/>
      <c r="F55" s="4" t="n"/>
      <c r="G55" s="4" t="n"/>
      <c r="H55" s="4" t="n"/>
      <c r="I55" s="3" t="n"/>
      <c r="J55" s="3" t="n"/>
    </row>
    <row r="56" ht="54" customHeight="1">
      <c r="A56" s="4" t="n">
        <v>17</v>
      </c>
      <c r="B56" s="4" t="n"/>
      <c r="C56" s="4" t="n"/>
      <c r="D56" s="4" t="n"/>
      <c r="E56" s="4" t="n"/>
      <c r="F56" s="4" t="n"/>
      <c r="G56" s="4" t="n"/>
      <c r="H56" s="4" t="n"/>
      <c r="I56" s="3" t="n"/>
      <c r="J56" s="3" t="n"/>
    </row>
    <row r="57" ht="54" customHeight="1">
      <c r="A57" s="4" t="n">
        <v>18</v>
      </c>
      <c r="B57" s="4" t="n"/>
      <c r="C57" s="4" t="n"/>
      <c r="D57" s="4" t="n"/>
      <c r="E57" s="4" t="n"/>
      <c r="F57" s="4" t="n"/>
      <c r="G57" s="4" t="n"/>
      <c r="H57" s="4" t="n"/>
      <c r="I57" s="3" t="n"/>
      <c r="J57" s="3" t="n"/>
    </row>
    <row r="58" ht="54" customHeight="1">
      <c r="A58" s="4" t="n">
        <v>19</v>
      </c>
      <c r="B58" s="4" t="n"/>
      <c r="C58" s="4" t="n"/>
      <c r="D58" s="4" t="n"/>
      <c r="E58" s="4" t="n"/>
      <c r="F58" s="4" t="n"/>
      <c r="G58" s="4" t="n"/>
      <c r="H58" s="4" t="n"/>
      <c r="I58" s="3" t="n"/>
      <c r="J58" s="3" t="n"/>
    </row>
    <row r="59" ht="54" customHeight="1">
      <c r="A59" s="4" t="n">
        <v>20</v>
      </c>
      <c r="B59" s="4" t="n"/>
      <c r="C59" s="4" t="n"/>
      <c r="D59" s="4" t="n"/>
      <c r="E59" s="4" t="n"/>
      <c r="F59" s="4" t="n"/>
      <c r="G59" s="4" t="n"/>
      <c r="H59" s="4" t="n"/>
      <c r="I59" s="3" t="n"/>
      <c r="J59" s="3" t="n"/>
    </row>
    <row r="60">
      <c r="A60" s="3" t="n"/>
      <c r="B60" s="3" t="n"/>
      <c r="C60" s="3" t="n"/>
      <c r="D60" s="3" t="n"/>
      <c r="E60" s="3" t="n"/>
      <c r="F60" s="3" t="n"/>
      <c r="G60" s="3" t="n"/>
      <c r="H60" s="3" t="n"/>
      <c r="I60" s="3" t="n"/>
      <c r="J60" s="3" t="n"/>
    </row>
    <row r="61">
      <c r="A61" s="8" t="inlineStr">
        <is>
          <t>Final expert verdict</t>
        </is>
      </c>
      <c r="B61" s="3" t="n"/>
      <c r="C61" s="3" t="n"/>
      <c r="D61" s="3" t="n"/>
      <c r="E61" s="3" t="n"/>
      <c r="F61" s="3" t="n"/>
      <c r="G61" s="3" t="n"/>
      <c r="H61" s="3" t="n"/>
      <c r="I61" s="3" t="n"/>
      <c r="J61" s="3" t="n"/>
    </row>
    <row r="62">
      <c r="A62" s="12" t="inlineStr">
        <is>
          <t>Is the answer acceptable?</t>
        </is>
      </c>
      <c r="B62" s="4" t="inlineStr"/>
      <c r="C62" s="4" t="n"/>
      <c r="D62" s="4" t="n"/>
      <c r="E62" s="4" t="n"/>
      <c r="F62" s="4" t="n"/>
      <c r="G62" s="4" t="n"/>
      <c r="H62" s="4" t="n"/>
      <c r="I62" s="3" t="n"/>
      <c r="J62" s="3" t="n"/>
    </row>
    <row r="63" ht="54" customHeight="1">
      <c r="A63" s="12" t="inlineStr">
        <is>
          <t>Overall comment / required fixes</t>
        </is>
      </c>
      <c r="B63" s="4" t="n"/>
      <c r="C63" s="4" t="n"/>
      <c r="D63" s="4" t="n"/>
      <c r="E63" s="4" t="n"/>
      <c r="F63" s="4" t="n"/>
      <c r="G63" s="4" t="n"/>
      <c r="H63" s="4" t="n"/>
      <c r="I63" s="3" t="n"/>
      <c r="J63" s="3" t="n"/>
    </row>
    <row r="64">
      <c r="A64" s="4" t="n"/>
      <c r="B64" s="4" t="n"/>
      <c r="C64" s="4" t="n"/>
      <c r="D64" s="4" t="n"/>
      <c r="E64" s="4" t="n"/>
      <c r="F64" s="4" t="n"/>
      <c r="G64" s="4" t="n"/>
      <c r="H64" s="4" t="n"/>
      <c r="I64" s="3" t="n"/>
      <c r="J64" s="3" t="n"/>
    </row>
    <row r="65">
      <c r="A65" s="12" t="inlineStr">
        <is>
          <t>Missing key sources?</t>
        </is>
      </c>
      <c r="B65" s="4" t="n"/>
      <c r="C65" s="4" t="n"/>
      <c r="D65" s="4" t="n"/>
      <c r="E65" s="4" t="n"/>
      <c r="F65" s="4" t="n"/>
      <c r="G65" s="4" t="n"/>
      <c r="H65" s="4" t="n"/>
      <c r="I65" s="3" t="n"/>
      <c r="J65" s="3" t="n"/>
    </row>
    <row r="66">
      <c r="A66" s="12" t="inlineStr">
        <is>
          <t>Review completed?</t>
        </is>
      </c>
      <c r="B66" s="4" t="inlineStr"/>
      <c r="C66" s="4" t="n"/>
      <c r="D66" s="4" t="n"/>
      <c r="E66" s="4" t="n"/>
      <c r="F66" s="4" t="n"/>
      <c r="G66" s="4" t="n"/>
      <c r="H66" s="4" t="n"/>
      <c r="I66" s="3" t="n"/>
      <c r="J66" s="3" t="n"/>
    </row>
    <row r="67">
      <c r="A67" s="12" t="inlineStr">
        <is>
          <t>Reviewer</t>
        </is>
      </c>
      <c r="B67" s="4" t="n"/>
      <c r="C67" s="12" t="inlineStr">
        <is>
          <t>Review date</t>
        </is>
      </c>
      <c r="D67" s="5" t="inlineStr"/>
      <c r="E67" s="4" t="n"/>
      <c r="F67" s="4" t="n"/>
      <c r="G67" s="4" t="n"/>
      <c r="H67" s="4" t="n"/>
      <c r="I67" s="3" t="n"/>
      <c r="J67" s="3" t="n"/>
    </row>
    <row r="68">
      <c r="A68" s="3" t="n"/>
      <c r="B68" s="3" t="n"/>
      <c r="C68" s="3" t="n"/>
      <c r="D68" s="3" t="n"/>
      <c r="E68" s="3" t="n"/>
      <c r="F68" s="3" t="n"/>
      <c r="G68" s="3" t="n"/>
      <c r="H68" s="3" t="n"/>
      <c r="I68" s="3" t="n"/>
      <c r="J68" s="3" t="n"/>
    </row>
    <row r="69">
      <c r="A69" s="8" t="inlineStr">
        <is>
          <t>Original source notes</t>
        </is>
      </c>
      <c r="B69" s="3" t="n"/>
      <c r="C69" s="3" t="n"/>
      <c r="D69" s="3" t="n"/>
      <c r="E69" s="3" t="n"/>
      <c r="F69" s="3" t="n"/>
      <c r="G69" s="3" t="n"/>
      <c r="H69" s="3" t="n"/>
      <c r="I69" s="3" t="n"/>
      <c r="J69" s="3" t="n"/>
    </row>
    <row r="70">
      <c r="A70" s="12" t="inlineStr">
        <is>
          <t>WAB notes</t>
        </is>
      </c>
      <c r="B70" s="4" t="inlineStr"/>
      <c r="C70" s="4" t="n"/>
      <c r="D70" s="4" t="n"/>
      <c r="E70" s="4" t="n"/>
      <c r="F70" s="4" t="n"/>
      <c r="G70" s="4" t="n"/>
      <c r="H70" s="4" t="n"/>
      <c r="I70" s="3" t="n"/>
      <c r="J70" s="3" t="n"/>
    </row>
    <row r="71" ht="54" customHeight="1">
      <c r="A71" s="12" t="inlineStr">
        <is>
          <t>Reviewer notes from question approval</t>
        </is>
      </c>
      <c r="B71" s="4" t="inlineStr"/>
      <c r="C71" s="4" t="n"/>
      <c r="D71" s="4" t="n"/>
      <c r="E71" s="4" t="n"/>
      <c r="F71" s="4" t="n"/>
      <c r="G71" s="4" t="n"/>
      <c r="H71" s="4" t="n"/>
      <c r="I71" s="3" t="n"/>
      <c r="J71" s="3" t="n"/>
    </row>
    <row r="72">
      <c r="A72" s="4" t="n"/>
      <c r="B72" s="4" t="n"/>
      <c r="C72" s="4" t="n"/>
      <c r="D72" s="4" t="n"/>
      <c r="E72" s="4" t="n"/>
      <c r="F72" s="4" t="n"/>
      <c r="G72" s="4" t="n"/>
      <c r="H72" s="4" t="n"/>
      <c r="I72" s="3" t="n"/>
      <c r="J72" s="3" t="n"/>
    </row>
  </sheetData>
  <autoFilter ref="A21:J36"/>
  <mergeCells count="20">
    <mergeCell ref="B65:H65"/>
    <mergeCell ref="B71:H72"/>
    <mergeCell ref="B6:H6"/>
    <mergeCell ref="A20:J20"/>
    <mergeCell ref="A1:H1"/>
    <mergeCell ref="B5:H5"/>
    <mergeCell ref="A61:H61"/>
    <mergeCell ref="A69:H69"/>
    <mergeCell ref="B4:H4"/>
    <mergeCell ref="B62:H62"/>
    <mergeCell ref="B7:H7"/>
    <mergeCell ref="B66:H66"/>
    <mergeCell ref="A3:H3"/>
    <mergeCell ref="A16:H18"/>
    <mergeCell ref="B70:H70"/>
    <mergeCell ref="A14:H14"/>
    <mergeCell ref="B63:H64"/>
    <mergeCell ref="B8:H8"/>
    <mergeCell ref="B10:H12"/>
    <mergeCell ref="A38:H38"/>
  </mergeCells>
  <dataValidations count="9">
    <dataValidation sqref="C22:C36" showDropDown="0" showInputMessage="0" showErrorMessage="0" allowBlank="1" type="list">
      <formula1>=Lists!$F$2:$F$5</formula1>
    </dataValidation>
    <dataValidation sqref="F22:F36" showDropDown="0" showInputMessage="0" showErrorMessage="0" allowBlank="1" type="list">
      <formula1>=Lists!$G$2:$G$4</formula1>
    </dataValidation>
    <dataValidation sqref="G22:G36" showDropDown="0" showInputMessage="0" showErrorMessage="0" allowBlank="1" type="list">
      <formula1>=Lists!$G$2:$G$4</formula1>
    </dataValidation>
    <dataValidation sqref="H22:H36" showDropDown="0" showInputMessage="0" showErrorMessage="0" allowBlank="1" type="list">
      <formula1>=Lists!$G$2:$G$4</formula1>
    </dataValidation>
    <dataValidation sqref="I22:I36" showDropDown="0" showInputMessage="0" showErrorMessage="0" allowBlank="1" type="list">
      <formula1>=Lists!$H$2:$H$6</formula1>
    </dataValidation>
    <dataValidation sqref="D40:D59" showDropDown="0" showInputMessage="0" showErrorMessage="0" allowBlank="1" type="list">
      <formula1>=Lists!$D$2:$D$7</formula1>
    </dataValidation>
    <dataValidation sqref="E40:E59" showDropDown="0" showInputMessage="0" showErrorMessage="0" allowBlank="1" type="list">
      <formula1>=Lists!$E$2:$E$8</formula1>
    </dataValidation>
    <dataValidation sqref="B62" showDropDown="0" showInputMessage="0" showErrorMessage="0" allowBlank="1" type="list">
      <formula1>=Lists!$C$2:$C$4</formula1>
    </dataValidation>
    <dataValidation sqref="B66" showDropDown="0" showInputMessage="0" showErrorMessage="0" allowBlank="1" type="list">
      <formula1>=Lists!$A$2:$A$3</formula1>
    </dataValidation>
  </dataValidation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J72"/>
  <sheetViews>
    <sheetView showGridLines="0" workbookViewId="0">
      <pane ySplit="21" topLeftCell="A22" activePane="bottomLeft" state="frozen"/>
      <selection pane="bottomLeft" activeCell="A1" sqref="A1"/>
    </sheetView>
  </sheetViews>
  <sheetFormatPr baseColWidth="8" defaultRowHeight="15"/>
  <cols>
    <col width="12" customWidth="1" min="1" max="1"/>
    <col width="34" customWidth="1" min="2" max="2"/>
    <col width="22" customWidth="1" min="3" max="3"/>
    <col width="18" customWidth="1" min="4" max="4"/>
    <col width="20" customWidth="1" min="5" max="5"/>
    <col width="30" customWidth="1" min="6" max="6"/>
    <col width="34" customWidth="1" min="7" max="7"/>
    <col width="18" customWidth="1" min="8" max="8"/>
    <col width="18" customWidth="1" min="9" max="9"/>
    <col width="30" customWidth="1" min="10" max="10"/>
  </cols>
  <sheetData>
    <row r="1" ht="28" customHeight="1">
      <c r="A1" s="6" t="inlineStr">
        <is>
          <t>Q10 — Expert Review</t>
        </is>
      </c>
      <c r="B1" s="3" t="n"/>
      <c r="C1" s="3" t="n"/>
      <c r="D1" s="3" t="n"/>
      <c r="E1" s="3" t="n"/>
      <c r="F1" s="3" t="n"/>
      <c r="G1" s="3" t="n"/>
      <c r="H1" s="3" t="n"/>
      <c r="I1" s="3" t="n"/>
      <c r="J1" s="3" t="n"/>
    </row>
    <row r="2">
      <c r="A2" s="3" t="n"/>
      <c r="B2" s="3" t="n"/>
      <c r="C2" s="3" t="n"/>
      <c r="D2" s="3" t="n"/>
      <c r="E2" s="3" t="n"/>
      <c r="F2" s="3" t="n"/>
      <c r="G2" s="3" t="n"/>
      <c r="H2" s="3" t="n"/>
      <c r="I2" s="3" t="n"/>
      <c r="J2" s="3" t="n"/>
    </row>
    <row r="3">
      <c r="A3" s="8" t="inlineStr">
        <is>
          <t>Question metadata</t>
        </is>
      </c>
      <c r="B3" s="3" t="n"/>
      <c r="C3" s="3" t="n"/>
      <c r="D3" s="3" t="n"/>
      <c r="E3" s="3" t="n"/>
      <c r="F3" s="3" t="n"/>
      <c r="G3" s="3" t="n"/>
      <c r="H3" s="3" t="n"/>
      <c r="I3" s="3" t="n"/>
      <c r="J3" s="3" t="n"/>
    </row>
    <row r="4">
      <c r="A4" s="9" t="inlineStr">
        <is>
          <t>Question ID</t>
        </is>
      </c>
      <c r="B4" s="3" t="n">
        <v>10</v>
      </c>
      <c r="C4" s="3" t="n"/>
      <c r="D4" s="3" t="n"/>
      <c r="E4" s="3" t="n"/>
      <c r="F4" s="3" t="n"/>
      <c r="G4" s="3" t="n"/>
      <c r="H4" s="3" t="n"/>
      <c r="I4" s="3" t="n"/>
      <c r="J4" s="3" t="n"/>
    </row>
    <row r="5">
      <c r="A5" s="9" t="inlineStr">
        <is>
          <t>Topic</t>
        </is>
      </c>
      <c r="B5" s="3" t="inlineStr">
        <is>
          <t>Food delivery — minority shareholdings</t>
        </is>
      </c>
      <c r="C5" s="3" t="n"/>
      <c r="D5" s="3" t="n"/>
      <c r="E5" s="3" t="n"/>
      <c r="F5" s="3" t="n"/>
      <c r="G5" s="3" t="n"/>
      <c r="H5" s="3" t="n"/>
      <c r="I5" s="3" t="n"/>
      <c r="J5" s="3" t="n"/>
    </row>
    <row r="6">
      <c r="A6" s="9" t="inlineStr">
        <is>
          <t>Scope</t>
        </is>
      </c>
      <c r="B6" s="3" t="inlineStr">
        <is>
          <t>EU + UK</t>
        </is>
      </c>
      <c r="C6" s="3" t="n"/>
      <c r="D6" s="3" t="n"/>
      <c r="E6" s="3" t="n"/>
      <c r="F6" s="3" t="n"/>
      <c r="G6" s="3" t="n"/>
      <c r="H6" s="3" t="n"/>
      <c r="I6" s="3" t="n"/>
      <c r="J6" s="3" t="n"/>
    </row>
    <row r="7">
      <c r="A7" s="9" t="inlineStr">
        <is>
          <t>Original reviewer</t>
        </is>
      </c>
      <c r="B7" s="3" t="inlineStr">
        <is>
          <t>Carolina</t>
        </is>
      </c>
      <c r="C7" s="3" t="n"/>
      <c r="D7" s="3" t="n"/>
      <c r="E7" s="3" t="n"/>
      <c r="F7" s="3" t="n"/>
      <c r="G7" s="3" t="n"/>
      <c r="H7" s="3" t="n"/>
      <c r="I7" s="3" t="n"/>
      <c r="J7" s="3" t="n"/>
    </row>
    <row r="8">
      <c r="A8" s="9" t="inlineStr">
        <is>
          <t>Original status</t>
        </is>
      </c>
      <c r="B8" s="3" t="inlineStr">
        <is>
          <t>Approved</t>
        </is>
      </c>
      <c r="C8" s="3" t="n"/>
      <c r="D8" s="3" t="n"/>
      <c r="E8" s="3" t="n"/>
      <c r="F8" s="3" t="n"/>
      <c r="G8" s="3" t="n"/>
      <c r="H8" s="3" t="n"/>
      <c r="I8" s="3" t="n"/>
      <c r="J8" s="3" t="n"/>
    </row>
    <row r="9">
      <c r="A9" s="3" t="n"/>
      <c r="B9" s="3" t="n"/>
      <c r="C9" s="3" t="n"/>
      <c r="D9" s="3" t="n"/>
      <c r="E9" s="3" t="n"/>
      <c r="F9" s="3" t="n"/>
      <c r="G9" s="3" t="n"/>
      <c r="H9" s="3" t="n"/>
      <c r="I9" s="3" t="n"/>
      <c r="J9" s="3" t="n"/>
    </row>
    <row r="10" ht="45" customHeight="1">
      <c r="A10" s="9" t="inlineStr">
        <is>
          <t>Question</t>
        </is>
      </c>
      <c r="B10" s="3" t="inlineStr">
        <is>
          <t>Material influence and minority shareholdings — on what basis did the CMA take jurisdiction over a c.16% stake, and how else have authorities treated minority shareholdings in merger control?</t>
        </is>
      </c>
      <c r="C10" s="3" t="n"/>
      <c r="D10" s="3" t="n"/>
      <c r="E10" s="3" t="n"/>
      <c r="F10" s="3" t="n"/>
      <c r="G10" s="3" t="n"/>
      <c r="H10" s="3" t="n"/>
      <c r="I10" s="3" t="n"/>
      <c r="J10" s="3" t="n"/>
    </row>
    <row r="11">
      <c r="A11" s="3" t="n"/>
      <c r="B11" s="3" t="n"/>
      <c r="C11" s="3" t="n"/>
      <c r="D11" s="3" t="n"/>
      <c r="E11" s="3" t="n"/>
      <c r="F11" s="3" t="n"/>
      <c r="G11" s="3" t="n"/>
      <c r="H11" s="3" t="n"/>
      <c r="I11" s="3" t="n"/>
      <c r="J11" s="3" t="n"/>
    </row>
    <row r="12">
      <c r="A12" s="3" t="n"/>
      <c r="B12" s="3" t="n"/>
      <c r="C12" s="3" t="n"/>
      <c r="D12" s="3" t="n"/>
      <c r="E12" s="3" t="n"/>
      <c r="F12" s="3" t="n"/>
      <c r="G12" s="3" t="n"/>
      <c r="H12" s="3" t="n"/>
      <c r="I12" s="3" t="n"/>
      <c r="J12" s="3" t="n"/>
    </row>
    <row r="13">
      <c r="A13" s="3" t="n"/>
      <c r="B13" s="3" t="n"/>
      <c r="C13" s="3" t="n"/>
      <c r="D13" s="3" t="n"/>
      <c r="E13" s="3" t="n"/>
      <c r="F13" s="3" t="n"/>
      <c r="G13" s="3" t="n"/>
      <c r="H13" s="3" t="n"/>
      <c r="I13" s="3" t="n"/>
      <c r="J13" s="3" t="n"/>
    </row>
    <row r="14">
      <c r="A14" s="8" t="inlineStr">
        <is>
          <t>Generated answer</t>
        </is>
      </c>
      <c r="B14" s="3" t="n"/>
      <c r="C14" s="3" t="n"/>
      <c r="D14" s="3" t="n"/>
      <c r="E14" s="3" t="n"/>
      <c r="F14" s="3" t="n"/>
      <c r="G14" s="3" t="n"/>
      <c r="H14" s="3" t="n"/>
      <c r="I14" s="3" t="n"/>
      <c r="J14" s="3" t="n"/>
    </row>
    <row r="15">
      <c r="A15" s="10" t="inlineStr">
        <is>
          <t>Paste the generated answer below.</t>
        </is>
      </c>
      <c r="B15" s="3" t="n"/>
      <c r="C15" s="3" t="n"/>
      <c r="D15" s="3" t="n"/>
      <c r="E15" s="3" t="n"/>
      <c r="F15" s="3" t="n"/>
      <c r="G15" s="3" t="n"/>
      <c r="H15" s="3" t="n"/>
      <c r="I15" s="3" t="n"/>
      <c r="J15" s="3" t="n"/>
    </row>
    <row r="16" ht="90" customHeight="1">
      <c r="A16" s="3" t="inlineStr"/>
      <c r="B16" s="3" t="n"/>
      <c r="C16" s="3" t="n"/>
      <c r="D16" s="3" t="n"/>
      <c r="E16" s="3" t="n"/>
      <c r="F16" s="3" t="n"/>
      <c r="G16" s="3" t="n"/>
      <c r="H16" s="3" t="n"/>
      <c r="I16" s="3" t="n"/>
      <c r="J16" s="3" t="n"/>
    </row>
    <row r="17" ht="30" customHeight="1">
      <c r="A17" s="3" t="n"/>
      <c r="B17" s="3" t="n"/>
      <c r="C17" s="3" t="n"/>
      <c r="D17" s="3" t="n"/>
      <c r="E17" s="3" t="n"/>
      <c r="F17" s="3" t="n"/>
      <c r="G17" s="3" t="n"/>
      <c r="H17" s="3" t="n"/>
      <c r="I17" s="3" t="n"/>
      <c r="J17" s="3" t="n"/>
    </row>
    <row r="18" ht="30" customHeight="1">
      <c r="A18" s="3" t="n"/>
      <c r="B18" s="3" t="n"/>
      <c r="C18" s="3" t="n"/>
      <c r="D18" s="3" t="n"/>
      <c r="E18" s="3" t="n"/>
      <c r="F18" s="3" t="n"/>
      <c r="G18" s="3" t="n"/>
      <c r="H18" s="3" t="n"/>
      <c r="I18" s="3" t="n"/>
      <c r="J18" s="3" t="n"/>
    </row>
    <row r="19">
      <c r="A19" s="9" t="inlineStr">
        <is>
          <t>Run ID</t>
        </is>
      </c>
      <c r="B19" s="3" t="inlineStr"/>
      <c r="C19" s="9" t="inlineStr">
        <is>
          <t>Run date</t>
        </is>
      </c>
      <c r="D19" s="3" t="inlineStr"/>
      <c r="E19" s="9" t="inlineStr">
        <is>
          <t>Model / prompt version</t>
        </is>
      </c>
      <c r="F19" s="3" t="inlineStr"/>
      <c r="G19" s="9" t="inlineStr">
        <is>
          <t>Corpus snapshot</t>
        </is>
      </c>
      <c r="H19" s="3" t="inlineStr"/>
      <c r="I19" s="3" t="n"/>
      <c r="J19" s="3" t="n"/>
    </row>
    <row r="20">
      <c r="A20" s="8" t="inlineStr">
        <is>
          <t>Retrieval set review</t>
        </is>
      </c>
      <c r="B20" s="3" t="n"/>
      <c r="C20" s="3" t="n"/>
      <c r="D20" s="3" t="n"/>
      <c r="E20" s="3" t="n"/>
      <c r="F20" s="3" t="n"/>
      <c r="G20" s="3" t="n"/>
      <c r="H20" s="3" t="n"/>
      <c r="I20" s="3" t="n"/>
      <c r="J20" s="3" t="n"/>
    </row>
    <row r="21">
      <c r="A21" s="11" t="inlineStr">
        <is>
          <t>Rank</t>
        </is>
      </c>
      <c r="B21" s="11" t="inlineStr">
        <is>
          <t>Retrieved source</t>
        </is>
      </c>
      <c r="C21" s="11" t="inlineStr">
        <is>
          <t>Source type</t>
        </is>
      </c>
      <c r="D21" s="11" t="inlineStr">
        <is>
          <t>Jurisdiction</t>
        </is>
      </c>
      <c r="E21" s="11" t="inlineStr">
        <is>
          <t>URL / Document ID</t>
        </is>
      </c>
      <c r="F21" s="11" t="inlineStr">
        <is>
          <t>Returned by engine?</t>
        </is>
      </c>
      <c r="G21" s="11" t="inlineStr">
        <is>
          <t>Required source?</t>
        </is>
      </c>
      <c r="H21" s="11" t="inlineStr">
        <is>
          <t>Trap?</t>
        </is>
      </c>
      <c r="I21" s="11" t="inlineStr">
        <is>
          <t>Expert verdict</t>
        </is>
      </c>
      <c r="J21" s="11" t="inlineStr">
        <is>
          <t>Notes</t>
        </is>
      </c>
    </row>
    <row r="22" ht="44" customHeight="1">
      <c r="A22" s="4" t="n">
        <v>1</v>
      </c>
      <c r="B22" s="4" t="n"/>
      <c r="C22" s="4" t="n"/>
      <c r="D22" s="4" t="n"/>
      <c r="E22" s="4" t="n"/>
      <c r="F22" s="4" t="n"/>
      <c r="G22" s="4" t="n"/>
      <c r="H22" s="4" t="n"/>
      <c r="I22" s="4" t="n"/>
      <c r="J22" s="4" t="n"/>
    </row>
    <row r="23" ht="44" customHeight="1">
      <c r="A23" s="4" t="n">
        <v>2</v>
      </c>
      <c r="B23" s="4" t="n"/>
      <c r="C23" s="4" t="n"/>
      <c r="D23" s="4" t="n"/>
      <c r="E23" s="4" t="n"/>
      <c r="F23" s="4" t="n"/>
      <c r="G23" s="4" t="n"/>
      <c r="H23" s="4" t="n"/>
      <c r="I23" s="4" t="n"/>
      <c r="J23" s="4" t="n"/>
    </row>
    <row r="24" ht="44" customHeight="1">
      <c r="A24" s="4" t="n">
        <v>3</v>
      </c>
      <c r="B24" s="4" t="n"/>
      <c r="C24" s="4" t="n"/>
      <c r="D24" s="4" t="n"/>
      <c r="E24" s="4" t="n"/>
      <c r="F24" s="4" t="n"/>
      <c r="G24" s="4" t="n"/>
      <c r="H24" s="4" t="n"/>
      <c r="I24" s="4" t="n"/>
      <c r="J24" s="4" t="n"/>
    </row>
    <row r="25" ht="44" customHeight="1">
      <c r="A25" s="4" t="n">
        <v>4</v>
      </c>
      <c r="B25" s="4" t="n"/>
      <c r="C25" s="4" t="n"/>
      <c r="D25" s="4" t="n"/>
      <c r="E25" s="4" t="n"/>
      <c r="F25" s="4" t="n"/>
      <c r="G25" s="4" t="n"/>
      <c r="H25" s="4" t="n"/>
      <c r="I25" s="4" t="n"/>
      <c r="J25" s="4" t="n"/>
    </row>
    <row r="26" ht="44" customHeight="1">
      <c r="A26" s="4" t="n">
        <v>5</v>
      </c>
      <c r="B26" s="4" t="n"/>
      <c r="C26" s="4" t="n"/>
      <c r="D26" s="4" t="n"/>
      <c r="E26" s="4" t="n"/>
      <c r="F26" s="4" t="n"/>
      <c r="G26" s="4" t="n"/>
      <c r="H26" s="4" t="n"/>
      <c r="I26" s="4" t="n"/>
      <c r="J26" s="4" t="n"/>
    </row>
    <row r="27" ht="44" customHeight="1">
      <c r="A27" s="4" t="n">
        <v>6</v>
      </c>
      <c r="B27" s="4" t="n"/>
      <c r="C27" s="4" t="n"/>
      <c r="D27" s="4" t="n"/>
      <c r="E27" s="4" t="n"/>
      <c r="F27" s="4" t="n"/>
      <c r="G27" s="4" t="n"/>
      <c r="H27" s="4" t="n"/>
      <c r="I27" s="4" t="n"/>
      <c r="J27" s="4" t="n"/>
    </row>
    <row r="28" ht="44" customHeight="1">
      <c r="A28" s="4" t="n">
        <v>7</v>
      </c>
      <c r="B28" s="4" t="n"/>
      <c r="C28" s="4" t="n"/>
      <c r="D28" s="4" t="n"/>
      <c r="E28" s="4" t="n"/>
      <c r="F28" s="4" t="n"/>
      <c r="G28" s="4" t="n"/>
      <c r="H28" s="4" t="n"/>
      <c r="I28" s="4" t="n"/>
      <c r="J28" s="4" t="n"/>
    </row>
    <row r="29" ht="44" customHeight="1">
      <c r="A29" s="4" t="n">
        <v>8</v>
      </c>
      <c r="B29" s="4" t="n"/>
      <c r="C29" s="4" t="n"/>
      <c r="D29" s="4" t="n"/>
      <c r="E29" s="4" t="n"/>
      <c r="F29" s="4" t="n"/>
      <c r="G29" s="4" t="n"/>
      <c r="H29" s="4" t="n"/>
      <c r="I29" s="4" t="n"/>
      <c r="J29" s="4" t="n"/>
    </row>
    <row r="30" ht="44" customHeight="1">
      <c r="A30" s="4" t="n">
        <v>9</v>
      </c>
      <c r="B30" s="4" t="n"/>
      <c r="C30" s="4" t="n"/>
      <c r="D30" s="4" t="n"/>
      <c r="E30" s="4" t="n"/>
      <c r="F30" s="4" t="n"/>
      <c r="G30" s="4" t="n"/>
      <c r="H30" s="4" t="n"/>
      <c r="I30" s="4" t="n"/>
      <c r="J30" s="4" t="n"/>
    </row>
    <row r="31" ht="44" customHeight="1">
      <c r="A31" s="4" t="n">
        <v>10</v>
      </c>
      <c r="B31" s="4" t="n"/>
      <c r="C31" s="4" t="n"/>
      <c r="D31" s="4" t="n"/>
      <c r="E31" s="4" t="n"/>
      <c r="F31" s="4" t="n"/>
      <c r="G31" s="4" t="n"/>
      <c r="H31" s="4" t="n"/>
      <c r="I31" s="4" t="n"/>
      <c r="J31" s="4" t="n"/>
    </row>
    <row r="32" ht="44" customHeight="1">
      <c r="A32" s="4" t="n">
        <v>11</v>
      </c>
      <c r="B32" s="4" t="n"/>
      <c r="C32" s="4" t="n"/>
      <c r="D32" s="4" t="n"/>
      <c r="E32" s="4" t="n"/>
      <c r="F32" s="4" t="n"/>
      <c r="G32" s="4" t="n"/>
      <c r="H32" s="4" t="n"/>
      <c r="I32" s="4" t="n"/>
      <c r="J32" s="4" t="n"/>
    </row>
    <row r="33" ht="44" customHeight="1">
      <c r="A33" s="4" t="n">
        <v>12</v>
      </c>
      <c r="B33" s="4" t="n"/>
      <c r="C33" s="4" t="n"/>
      <c r="D33" s="4" t="n"/>
      <c r="E33" s="4" t="n"/>
      <c r="F33" s="4" t="n"/>
      <c r="G33" s="4" t="n"/>
      <c r="H33" s="4" t="n"/>
      <c r="I33" s="4" t="n"/>
      <c r="J33" s="4" t="n"/>
    </row>
    <row r="34" ht="44" customHeight="1">
      <c r="A34" s="4" t="n">
        <v>13</v>
      </c>
      <c r="B34" s="4" t="n"/>
      <c r="C34" s="4" t="n"/>
      <c r="D34" s="4" t="n"/>
      <c r="E34" s="4" t="n"/>
      <c r="F34" s="4" t="n"/>
      <c r="G34" s="4" t="n"/>
      <c r="H34" s="4" t="n"/>
      <c r="I34" s="4" t="n"/>
      <c r="J34" s="4" t="n"/>
    </row>
    <row r="35" ht="44" customHeight="1">
      <c r="A35" s="4" t="n">
        <v>14</v>
      </c>
      <c r="B35" s="4" t="n"/>
      <c r="C35" s="4" t="n"/>
      <c r="D35" s="4" t="n"/>
      <c r="E35" s="4" t="n"/>
      <c r="F35" s="4" t="n"/>
      <c r="G35" s="4" t="n"/>
      <c r="H35" s="4" t="n"/>
      <c r="I35" s="4" t="n"/>
      <c r="J35" s="4" t="n"/>
    </row>
    <row r="36" ht="44" customHeight="1">
      <c r="A36" s="4" t="n">
        <v>15</v>
      </c>
      <c r="B36" s="4" t="n"/>
      <c r="C36" s="4" t="n"/>
      <c r="D36" s="4" t="n"/>
      <c r="E36" s="4" t="n"/>
      <c r="F36" s="4" t="n"/>
      <c r="G36" s="4" t="n"/>
      <c r="H36" s="4" t="n"/>
      <c r="I36" s="4" t="n"/>
      <c r="J36" s="4" t="n"/>
    </row>
    <row r="37">
      <c r="A37" s="3" t="n"/>
      <c r="B37" s="3" t="n"/>
      <c r="C37" s="3" t="n"/>
      <c r="D37" s="3" t="n"/>
      <c r="E37" s="3" t="n"/>
      <c r="F37" s="3" t="n"/>
      <c r="G37" s="3" t="n"/>
      <c r="H37" s="3" t="n"/>
      <c r="I37" s="3" t="n"/>
      <c r="J37" s="3" t="n"/>
    </row>
    <row r="38">
      <c r="A38" s="8" t="inlineStr">
        <is>
          <t>Claim-by-claim review</t>
        </is>
      </c>
      <c r="B38" s="3" t="n"/>
      <c r="C38" s="3" t="n"/>
      <c r="D38" s="3" t="n"/>
      <c r="E38" s="3" t="n"/>
      <c r="F38" s="3" t="n"/>
      <c r="G38" s="3" t="n"/>
      <c r="H38" s="3" t="n"/>
      <c r="I38" s="3" t="n"/>
      <c r="J38" s="3" t="n"/>
    </row>
    <row r="39">
      <c r="A39" s="11" t="inlineStr">
        <is>
          <t>Claim ID</t>
        </is>
      </c>
      <c r="B39" s="11" t="inlineStr">
        <is>
          <t>Claim from answer</t>
        </is>
      </c>
      <c r="C39" s="11" t="inlineStr">
        <is>
          <t>Citation used</t>
        </is>
      </c>
      <c r="D39" s="11" t="inlineStr">
        <is>
          <t>Expert verdict</t>
        </is>
      </c>
      <c r="E39" s="11" t="inlineStr">
        <is>
          <t>Issue type</t>
        </is>
      </c>
      <c r="F39" s="11" t="inlineStr">
        <is>
          <t>Cited passage / source note</t>
        </is>
      </c>
      <c r="G39" s="11" t="inlineStr">
        <is>
          <t>Required fix / comment</t>
        </is>
      </c>
      <c r="H39" s="11" t="inlineStr">
        <is>
          <t>Reviewer</t>
        </is>
      </c>
      <c r="I39" s="11" t="n"/>
      <c r="J39" s="11" t="n"/>
    </row>
    <row r="40" ht="54" customHeight="1">
      <c r="A40" s="4" t="n">
        <v>1</v>
      </c>
      <c r="B40" s="4" t="n"/>
      <c r="C40" s="4" t="n"/>
      <c r="D40" s="4" t="n"/>
      <c r="E40" s="4" t="n"/>
      <c r="F40" s="4" t="n"/>
      <c r="G40" s="4" t="n"/>
      <c r="H40" s="4" t="n"/>
      <c r="I40" s="3" t="n"/>
      <c r="J40" s="3" t="n"/>
    </row>
    <row r="41" ht="54" customHeight="1">
      <c r="A41" s="4" t="n">
        <v>2</v>
      </c>
      <c r="B41" s="4" t="n"/>
      <c r="C41" s="4" t="n"/>
      <c r="D41" s="4" t="n"/>
      <c r="E41" s="4" t="n"/>
      <c r="F41" s="4" t="n"/>
      <c r="G41" s="4" t="n"/>
      <c r="H41" s="4" t="n"/>
      <c r="I41" s="3" t="n"/>
      <c r="J41" s="3" t="n"/>
    </row>
    <row r="42" ht="54" customHeight="1">
      <c r="A42" s="4" t="n">
        <v>3</v>
      </c>
      <c r="B42" s="4" t="n"/>
      <c r="C42" s="4" t="n"/>
      <c r="D42" s="4" t="n"/>
      <c r="E42" s="4" t="n"/>
      <c r="F42" s="4" t="n"/>
      <c r="G42" s="4" t="n"/>
      <c r="H42" s="4" t="n"/>
      <c r="I42" s="3" t="n"/>
      <c r="J42" s="3" t="n"/>
    </row>
    <row r="43" ht="54" customHeight="1">
      <c r="A43" s="4" t="n">
        <v>4</v>
      </c>
      <c r="B43" s="4" t="n"/>
      <c r="C43" s="4" t="n"/>
      <c r="D43" s="4" t="n"/>
      <c r="E43" s="4" t="n"/>
      <c r="F43" s="4" t="n"/>
      <c r="G43" s="4" t="n"/>
      <c r="H43" s="4" t="n"/>
      <c r="I43" s="3" t="n"/>
      <c r="J43" s="3" t="n"/>
    </row>
    <row r="44" ht="54" customHeight="1">
      <c r="A44" s="4" t="n">
        <v>5</v>
      </c>
      <c r="B44" s="4" t="n"/>
      <c r="C44" s="4" t="n"/>
      <c r="D44" s="4" t="n"/>
      <c r="E44" s="4" t="n"/>
      <c r="F44" s="4" t="n"/>
      <c r="G44" s="4" t="n"/>
      <c r="H44" s="4" t="n"/>
      <c r="I44" s="3" t="n"/>
      <c r="J44" s="3" t="n"/>
    </row>
    <row r="45" ht="54" customHeight="1">
      <c r="A45" s="4" t="n">
        <v>6</v>
      </c>
      <c r="B45" s="4" t="n"/>
      <c r="C45" s="4" t="n"/>
      <c r="D45" s="4" t="n"/>
      <c r="E45" s="4" t="n"/>
      <c r="F45" s="4" t="n"/>
      <c r="G45" s="4" t="n"/>
      <c r="H45" s="4" t="n"/>
      <c r="I45" s="3" t="n"/>
      <c r="J45" s="3" t="n"/>
    </row>
    <row r="46" ht="54" customHeight="1">
      <c r="A46" s="4" t="n">
        <v>7</v>
      </c>
      <c r="B46" s="4" t="n"/>
      <c r="C46" s="4" t="n"/>
      <c r="D46" s="4" t="n"/>
      <c r="E46" s="4" t="n"/>
      <c r="F46" s="4" t="n"/>
      <c r="G46" s="4" t="n"/>
      <c r="H46" s="4" t="n"/>
      <c r="I46" s="3" t="n"/>
      <c r="J46" s="3" t="n"/>
    </row>
    <row r="47" ht="54" customHeight="1">
      <c r="A47" s="4" t="n">
        <v>8</v>
      </c>
      <c r="B47" s="4" t="n"/>
      <c r="C47" s="4" t="n"/>
      <c r="D47" s="4" t="n"/>
      <c r="E47" s="4" t="n"/>
      <c r="F47" s="4" t="n"/>
      <c r="G47" s="4" t="n"/>
      <c r="H47" s="4" t="n"/>
      <c r="I47" s="3" t="n"/>
      <c r="J47" s="3" t="n"/>
    </row>
    <row r="48" ht="54" customHeight="1">
      <c r="A48" s="4" t="n">
        <v>9</v>
      </c>
      <c r="B48" s="4" t="n"/>
      <c r="C48" s="4" t="n"/>
      <c r="D48" s="4" t="n"/>
      <c r="E48" s="4" t="n"/>
      <c r="F48" s="4" t="n"/>
      <c r="G48" s="4" t="n"/>
      <c r="H48" s="4" t="n"/>
      <c r="I48" s="3" t="n"/>
      <c r="J48" s="3" t="n"/>
    </row>
    <row r="49" ht="54" customHeight="1">
      <c r="A49" s="4" t="n">
        <v>10</v>
      </c>
      <c r="B49" s="4" t="n"/>
      <c r="C49" s="4" t="n"/>
      <c r="D49" s="4" t="n"/>
      <c r="E49" s="4" t="n"/>
      <c r="F49" s="4" t="n"/>
      <c r="G49" s="4" t="n"/>
      <c r="H49" s="4" t="n"/>
      <c r="I49" s="3" t="n"/>
      <c r="J49" s="3" t="n"/>
    </row>
    <row r="50" ht="54" customHeight="1">
      <c r="A50" s="4" t="n">
        <v>11</v>
      </c>
      <c r="B50" s="4" t="n"/>
      <c r="C50" s="4" t="n"/>
      <c r="D50" s="4" t="n"/>
      <c r="E50" s="4" t="n"/>
      <c r="F50" s="4" t="n"/>
      <c r="G50" s="4" t="n"/>
      <c r="H50" s="4" t="n"/>
      <c r="I50" s="3" t="n"/>
      <c r="J50" s="3" t="n"/>
    </row>
    <row r="51" ht="54" customHeight="1">
      <c r="A51" s="4" t="n">
        <v>12</v>
      </c>
      <c r="B51" s="4" t="n"/>
      <c r="C51" s="4" t="n"/>
      <c r="D51" s="4" t="n"/>
      <c r="E51" s="4" t="n"/>
      <c r="F51" s="4" t="n"/>
      <c r="G51" s="4" t="n"/>
      <c r="H51" s="4" t="n"/>
      <c r="I51" s="3" t="n"/>
      <c r="J51" s="3" t="n"/>
    </row>
    <row r="52" ht="54" customHeight="1">
      <c r="A52" s="4" t="n">
        <v>13</v>
      </c>
      <c r="B52" s="4" t="n"/>
      <c r="C52" s="4" t="n"/>
      <c r="D52" s="4" t="n"/>
      <c r="E52" s="4" t="n"/>
      <c r="F52" s="4" t="n"/>
      <c r="G52" s="4" t="n"/>
      <c r="H52" s="4" t="n"/>
      <c r="I52" s="3" t="n"/>
      <c r="J52" s="3" t="n"/>
    </row>
    <row r="53" ht="54" customHeight="1">
      <c r="A53" s="4" t="n">
        <v>14</v>
      </c>
      <c r="B53" s="4" t="n"/>
      <c r="C53" s="4" t="n"/>
      <c r="D53" s="4" t="n"/>
      <c r="E53" s="4" t="n"/>
      <c r="F53" s="4" t="n"/>
      <c r="G53" s="4" t="n"/>
      <c r="H53" s="4" t="n"/>
      <c r="I53" s="3" t="n"/>
      <c r="J53" s="3" t="n"/>
    </row>
    <row r="54" ht="54" customHeight="1">
      <c r="A54" s="4" t="n">
        <v>15</v>
      </c>
      <c r="B54" s="4" t="n"/>
      <c r="C54" s="4" t="n"/>
      <c r="D54" s="4" t="n"/>
      <c r="E54" s="4" t="n"/>
      <c r="F54" s="4" t="n"/>
      <c r="G54" s="4" t="n"/>
      <c r="H54" s="4" t="n"/>
      <c r="I54" s="3" t="n"/>
      <c r="J54" s="3" t="n"/>
    </row>
    <row r="55" ht="54" customHeight="1">
      <c r="A55" s="4" t="n">
        <v>16</v>
      </c>
      <c r="B55" s="4" t="n"/>
      <c r="C55" s="4" t="n"/>
      <c r="D55" s="4" t="n"/>
      <c r="E55" s="4" t="n"/>
      <c r="F55" s="4" t="n"/>
      <c r="G55" s="4" t="n"/>
      <c r="H55" s="4" t="n"/>
      <c r="I55" s="3" t="n"/>
      <c r="J55" s="3" t="n"/>
    </row>
    <row r="56" ht="54" customHeight="1">
      <c r="A56" s="4" t="n">
        <v>17</v>
      </c>
      <c r="B56" s="4" t="n"/>
      <c r="C56" s="4" t="n"/>
      <c r="D56" s="4" t="n"/>
      <c r="E56" s="4" t="n"/>
      <c r="F56" s="4" t="n"/>
      <c r="G56" s="4" t="n"/>
      <c r="H56" s="4" t="n"/>
      <c r="I56" s="3" t="n"/>
      <c r="J56" s="3" t="n"/>
    </row>
    <row r="57" ht="54" customHeight="1">
      <c r="A57" s="4" t="n">
        <v>18</v>
      </c>
      <c r="B57" s="4" t="n"/>
      <c r="C57" s="4" t="n"/>
      <c r="D57" s="4" t="n"/>
      <c r="E57" s="4" t="n"/>
      <c r="F57" s="4" t="n"/>
      <c r="G57" s="4" t="n"/>
      <c r="H57" s="4" t="n"/>
      <c r="I57" s="3" t="n"/>
      <c r="J57" s="3" t="n"/>
    </row>
    <row r="58" ht="54" customHeight="1">
      <c r="A58" s="4" t="n">
        <v>19</v>
      </c>
      <c r="B58" s="4" t="n"/>
      <c r="C58" s="4" t="n"/>
      <c r="D58" s="4" t="n"/>
      <c r="E58" s="4" t="n"/>
      <c r="F58" s="4" t="n"/>
      <c r="G58" s="4" t="n"/>
      <c r="H58" s="4" t="n"/>
      <c r="I58" s="3" t="n"/>
      <c r="J58" s="3" t="n"/>
    </row>
    <row r="59" ht="54" customHeight="1">
      <c r="A59" s="4" t="n">
        <v>20</v>
      </c>
      <c r="B59" s="4" t="n"/>
      <c r="C59" s="4" t="n"/>
      <c r="D59" s="4" t="n"/>
      <c r="E59" s="4" t="n"/>
      <c r="F59" s="4" t="n"/>
      <c r="G59" s="4" t="n"/>
      <c r="H59" s="4" t="n"/>
      <c r="I59" s="3" t="n"/>
      <c r="J59" s="3" t="n"/>
    </row>
    <row r="60">
      <c r="A60" s="3" t="n"/>
      <c r="B60" s="3" t="n"/>
      <c r="C60" s="3" t="n"/>
      <c r="D60" s="3" t="n"/>
      <c r="E60" s="3" t="n"/>
      <c r="F60" s="3" t="n"/>
      <c r="G60" s="3" t="n"/>
      <c r="H60" s="3" t="n"/>
      <c r="I60" s="3" t="n"/>
      <c r="J60" s="3" t="n"/>
    </row>
    <row r="61">
      <c r="A61" s="8" t="inlineStr">
        <is>
          <t>Final expert verdict</t>
        </is>
      </c>
      <c r="B61" s="3" t="n"/>
      <c r="C61" s="3" t="n"/>
      <c r="D61" s="3" t="n"/>
      <c r="E61" s="3" t="n"/>
      <c r="F61" s="3" t="n"/>
      <c r="G61" s="3" t="n"/>
      <c r="H61" s="3" t="n"/>
      <c r="I61" s="3" t="n"/>
      <c r="J61" s="3" t="n"/>
    </row>
    <row r="62">
      <c r="A62" s="12" t="inlineStr">
        <is>
          <t>Is the answer acceptable?</t>
        </is>
      </c>
      <c r="B62" s="4" t="inlineStr"/>
      <c r="C62" s="4" t="n"/>
      <c r="D62" s="4" t="n"/>
      <c r="E62" s="4" t="n"/>
      <c r="F62" s="4" t="n"/>
      <c r="G62" s="4" t="n"/>
      <c r="H62" s="4" t="n"/>
      <c r="I62" s="3" t="n"/>
      <c r="J62" s="3" t="n"/>
    </row>
    <row r="63" ht="54" customHeight="1">
      <c r="A63" s="12" t="inlineStr">
        <is>
          <t>Overall comment / required fixes</t>
        </is>
      </c>
      <c r="B63" s="4" t="n"/>
      <c r="C63" s="4" t="n"/>
      <c r="D63" s="4" t="n"/>
      <c r="E63" s="4" t="n"/>
      <c r="F63" s="4" t="n"/>
      <c r="G63" s="4" t="n"/>
      <c r="H63" s="4" t="n"/>
      <c r="I63" s="3" t="n"/>
      <c r="J63" s="3" t="n"/>
    </row>
    <row r="64">
      <c r="A64" s="4" t="n"/>
      <c r="B64" s="4" t="n"/>
      <c r="C64" s="4" t="n"/>
      <c r="D64" s="4" t="n"/>
      <c r="E64" s="4" t="n"/>
      <c r="F64" s="4" t="n"/>
      <c r="G64" s="4" t="n"/>
      <c r="H64" s="4" t="n"/>
      <c r="I64" s="3" t="n"/>
      <c r="J64" s="3" t="n"/>
    </row>
    <row r="65">
      <c r="A65" s="12" t="inlineStr">
        <is>
          <t>Missing key sources?</t>
        </is>
      </c>
      <c r="B65" s="4" t="n"/>
      <c r="C65" s="4" t="n"/>
      <c r="D65" s="4" t="n"/>
      <c r="E65" s="4" t="n"/>
      <c r="F65" s="4" t="n"/>
      <c r="G65" s="4" t="n"/>
      <c r="H65" s="4" t="n"/>
      <c r="I65" s="3" t="n"/>
      <c r="J65" s="3" t="n"/>
    </row>
    <row r="66">
      <c r="A66" s="12" t="inlineStr">
        <is>
          <t>Review completed?</t>
        </is>
      </c>
      <c r="B66" s="4" t="inlineStr"/>
      <c r="C66" s="4" t="n"/>
      <c r="D66" s="4" t="n"/>
      <c r="E66" s="4" t="n"/>
      <c r="F66" s="4" t="n"/>
      <c r="G66" s="4" t="n"/>
      <c r="H66" s="4" t="n"/>
      <c r="I66" s="3" t="n"/>
      <c r="J66" s="3" t="n"/>
    </row>
    <row r="67">
      <c r="A67" s="12" t="inlineStr">
        <is>
          <t>Reviewer</t>
        </is>
      </c>
      <c r="B67" s="4" t="n"/>
      <c r="C67" s="12" t="inlineStr">
        <is>
          <t>Review date</t>
        </is>
      </c>
      <c r="D67" s="5" t="inlineStr"/>
      <c r="E67" s="4" t="n"/>
      <c r="F67" s="4" t="n"/>
      <c r="G67" s="4" t="n"/>
      <c r="H67" s="4" t="n"/>
      <c r="I67" s="3" t="n"/>
      <c r="J67" s="3" t="n"/>
    </row>
    <row r="68">
      <c r="A68" s="3" t="n"/>
      <c r="B68" s="3" t="n"/>
      <c r="C68" s="3" t="n"/>
      <c r="D68" s="3" t="n"/>
      <c r="E68" s="3" t="n"/>
      <c r="F68" s="3" t="n"/>
      <c r="G68" s="3" t="n"/>
      <c r="H68" s="3" t="n"/>
      <c r="I68" s="3" t="n"/>
      <c r="J68" s="3" t="n"/>
    </row>
    <row r="69">
      <c r="A69" s="8" t="inlineStr">
        <is>
          <t>Original source notes</t>
        </is>
      </c>
      <c r="B69" s="3" t="n"/>
      <c r="C69" s="3" t="n"/>
      <c r="D69" s="3" t="n"/>
      <c r="E69" s="3" t="n"/>
      <c r="F69" s="3" t="n"/>
      <c r="G69" s="3" t="n"/>
      <c r="H69" s="3" t="n"/>
      <c r="I69" s="3" t="n"/>
      <c r="J69" s="3" t="n"/>
    </row>
    <row r="70">
      <c r="A70" s="12" t="inlineStr">
        <is>
          <t>WAB notes</t>
        </is>
      </c>
      <c r="B70" s="4" t="inlineStr"/>
      <c r="C70" s="4" t="n"/>
      <c r="D70" s="4" t="n"/>
      <c r="E70" s="4" t="n"/>
      <c r="F70" s="4" t="n"/>
      <c r="G70" s="4" t="n"/>
      <c r="H70" s="4" t="n"/>
      <c r="I70" s="3" t="n"/>
      <c r="J70" s="3" t="n"/>
    </row>
    <row r="71" ht="54" customHeight="1">
      <c r="A71" s="12" t="inlineStr">
        <is>
          <t>Reviewer notes from question approval</t>
        </is>
      </c>
      <c r="B71" s="4" t="inlineStr"/>
      <c r="C71" s="4" t="n"/>
      <c r="D71" s="4" t="n"/>
      <c r="E71" s="4" t="n"/>
      <c r="F71" s="4" t="n"/>
      <c r="G71" s="4" t="n"/>
      <c r="H71" s="4" t="n"/>
      <c r="I71" s="3" t="n"/>
      <c r="J71" s="3" t="n"/>
    </row>
    <row r="72">
      <c r="A72" s="4" t="n"/>
      <c r="B72" s="4" t="n"/>
      <c r="C72" s="4" t="n"/>
      <c r="D72" s="4" t="n"/>
      <c r="E72" s="4" t="n"/>
      <c r="F72" s="4" t="n"/>
      <c r="G72" s="4" t="n"/>
      <c r="H72" s="4" t="n"/>
      <c r="I72" s="3" t="n"/>
      <c r="J72" s="3" t="n"/>
    </row>
  </sheetData>
  <autoFilter ref="A21:J36"/>
  <mergeCells count="20">
    <mergeCell ref="B65:H65"/>
    <mergeCell ref="B71:H72"/>
    <mergeCell ref="B6:H6"/>
    <mergeCell ref="A20:J20"/>
    <mergeCell ref="A1:H1"/>
    <mergeCell ref="B5:H5"/>
    <mergeCell ref="A61:H61"/>
    <mergeCell ref="A69:H69"/>
    <mergeCell ref="B4:H4"/>
    <mergeCell ref="B62:H62"/>
    <mergeCell ref="B7:H7"/>
    <mergeCell ref="B66:H66"/>
    <mergeCell ref="A3:H3"/>
    <mergeCell ref="A16:H18"/>
    <mergeCell ref="B70:H70"/>
    <mergeCell ref="A14:H14"/>
    <mergeCell ref="B63:H64"/>
    <mergeCell ref="B8:H8"/>
    <mergeCell ref="B10:H12"/>
    <mergeCell ref="A38:H38"/>
  </mergeCells>
  <dataValidations count="9">
    <dataValidation sqref="C22:C36" showDropDown="0" showInputMessage="0" showErrorMessage="0" allowBlank="1" type="list">
      <formula1>=Lists!$F$2:$F$5</formula1>
    </dataValidation>
    <dataValidation sqref="F22:F36" showDropDown="0" showInputMessage="0" showErrorMessage="0" allowBlank="1" type="list">
      <formula1>=Lists!$G$2:$G$4</formula1>
    </dataValidation>
    <dataValidation sqref="G22:G36" showDropDown="0" showInputMessage="0" showErrorMessage="0" allowBlank="1" type="list">
      <formula1>=Lists!$G$2:$G$4</formula1>
    </dataValidation>
    <dataValidation sqref="H22:H36" showDropDown="0" showInputMessage="0" showErrorMessage="0" allowBlank="1" type="list">
      <formula1>=Lists!$G$2:$G$4</formula1>
    </dataValidation>
    <dataValidation sqref="I22:I36" showDropDown="0" showInputMessage="0" showErrorMessage="0" allowBlank="1" type="list">
      <formula1>=Lists!$H$2:$H$6</formula1>
    </dataValidation>
    <dataValidation sqref="D40:D59" showDropDown="0" showInputMessage="0" showErrorMessage="0" allowBlank="1" type="list">
      <formula1>=Lists!$D$2:$D$7</formula1>
    </dataValidation>
    <dataValidation sqref="E40:E59" showDropDown="0" showInputMessage="0" showErrorMessage="0" allowBlank="1" type="list">
      <formula1>=Lists!$E$2:$E$8</formula1>
    </dataValidation>
    <dataValidation sqref="B62" showDropDown="0" showInputMessage="0" showErrorMessage="0" allowBlank="1" type="list">
      <formula1>=Lists!$C$2:$C$4</formula1>
    </dataValidation>
    <dataValidation sqref="B66" showDropDown="0" showInputMessage="0" showErrorMessage="0" allowBlank="1" type="list">
      <formula1>=Lists!$A$2:$A$3</formula1>
    </dataValidation>
  </dataValidation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J72"/>
  <sheetViews>
    <sheetView showGridLines="0" workbookViewId="0">
      <pane ySplit="21" topLeftCell="A22" activePane="bottomLeft" state="frozen"/>
      <selection pane="bottomLeft" activeCell="A1" sqref="A1"/>
    </sheetView>
  </sheetViews>
  <sheetFormatPr baseColWidth="8" defaultRowHeight="15"/>
  <cols>
    <col width="12" customWidth="1" min="1" max="1"/>
    <col width="34" customWidth="1" min="2" max="2"/>
    <col width="22" customWidth="1" min="3" max="3"/>
    <col width="18" customWidth="1" min="4" max="4"/>
    <col width="20" customWidth="1" min="5" max="5"/>
    <col width="30" customWidth="1" min="6" max="6"/>
    <col width="34" customWidth="1" min="7" max="7"/>
    <col width="18" customWidth="1" min="8" max="8"/>
    <col width="18" customWidth="1" min="9" max="9"/>
    <col width="30" customWidth="1" min="10" max="10"/>
  </cols>
  <sheetData>
    <row r="1" ht="28" customHeight="1">
      <c r="A1" s="6" t="inlineStr">
        <is>
          <t>Q11 — Expert Review</t>
        </is>
      </c>
      <c r="B1" s="3" t="n"/>
      <c r="C1" s="3" t="n"/>
      <c r="D1" s="3" t="n"/>
      <c r="E1" s="3" t="n"/>
      <c r="F1" s="3" t="n"/>
      <c r="G1" s="3" t="n"/>
      <c r="H1" s="3" t="n"/>
      <c r="I1" s="3" t="n"/>
      <c r="J1" s="3" t="n"/>
    </row>
    <row r="2">
      <c r="A2" s="3" t="n"/>
      <c r="B2" s="3" t="n"/>
      <c r="C2" s="3" t="n"/>
      <c r="D2" s="3" t="n"/>
      <c r="E2" s="3" t="n"/>
      <c r="F2" s="3" t="n"/>
      <c r="G2" s="3" t="n"/>
      <c r="H2" s="3" t="n"/>
      <c r="I2" s="3" t="n"/>
      <c r="J2" s="3" t="n"/>
    </row>
    <row r="3">
      <c r="A3" s="8" t="inlineStr">
        <is>
          <t>Question metadata</t>
        </is>
      </c>
      <c r="B3" s="3" t="n"/>
      <c r="C3" s="3" t="n"/>
      <c r="D3" s="3" t="n"/>
      <c r="E3" s="3" t="n"/>
      <c r="F3" s="3" t="n"/>
      <c r="G3" s="3" t="n"/>
      <c r="H3" s="3" t="n"/>
      <c r="I3" s="3" t="n"/>
      <c r="J3" s="3" t="n"/>
    </row>
    <row r="4">
      <c r="A4" s="9" t="inlineStr">
        <is>
          <t>Question ID</t>
        </is>
      </c>
      <c r="B4" s="3" t="n">
        <v>11</v>
      </c>
      <c r="C4" s="3" t="n"/>
      <c r="D4" s="3" t="n"/>
      <c r="E4" s="3" t="n"/>
      <c r="F4" s="3" t="n"/>
      <c r="G4" s="3" t="n"/>
      <c r="H4" s="3" t="n"/>
      <c r="I4" s="3" t="n"/>
      <c r="J4" s="3" t="n"/>
    </row>
    <row r="5">
      <c r="A5" s="9" t="inlineStr">
        <is>
          <t>Topic</t>
        </is>
      </c>
      <c r="B5" s="3" t="inlineStr">
        <is>
          <t>Food delivery — evolution of practice</t>
        </is>
      </c>
      <c r="C5" s="3" t="n"/>
      <c r="D5" s="3" t="n"/>
      <c r="E5" s="3" t="n"/>
      <c r="F5" s="3" t="n"/>
      <c r="G5" s="3" t="n"/>
      <c r="H5" s="3" t="n"/>
      <c r="I5" s="3" t="n"/>
      <c r="J5" s="3" t="n"/>
    </row>
    <row r="6">
      <c r="A6" s="9" t="inlineStr">
        <is>
          <t>Scope</t>
        </is>
      </c>
      <c r="B6" s="3" t="inlineStr">
        <is>
          <t>EU + UK + ES</t>
        </is>
      </c>
      <c r="C6" s="3" t="n"/>
      <c r="D6" s="3" t="n"/>
      <c r="E6" s="3" t="n"/>
      <c r="F6" s="3" t="n"/>
      <c r="G6" s="3" t="n"/>
      <c r="H6" s="3" t="n"/>
      <c r="I6" s="3" t="n"/>
      <c r="J6" s="3" t="n"/>
    </row>
    <row r="7">
      <c r="A7" s="9" t="inlineStr">
        <is>
          <t>Original reviewer</t>
        </is>
      </c>
      <c r="B7" s="3" t="inlineStr">
        <is>
          <t>Carolina</t>
        </is>
      </c>
      <c r="C7" s="3" t="n"/>
      <c r="D7" s="3" t="n"/>
      <c r="E7" s="3" t="n"/>
      <c r="F7" s="3" t="n"/>
      <c r="G7" s="3" t="n"/>
      <c r="H7" s="3" t="n"/>
      <c r="I7" s="3" t="n"/>
      <c r="J7" s="3" t="n"/>
    </row>
    <row r="8">
      <c r="A8" s="9" t="inlineStr">
        <is>
          <t>Original status</t>
        </is>
      </c>
      <c r="B8" s="3" t="inlineStr">
        <is>
          <t>Approved</t>
        </is>
      </c>
      <c r="C8" s="3" t="n"/>
      <c r="D8" s="3" t="n"/>
      <c r="E8" s="3" t="n"/>
      <c r="F8" s="3" t="n"/>
      <c r="G8" s="3" t="n"/>
      <c r="H8" s="3" t="n"/>
      <c r="I8" s="3" t="n"/>
      <c r="J8" s="3" t="n"/>
    </row>
    <row r="9">
      <c r="A9" s="3" t="n"/>
      <c r="B9" s="3" t="n"/>
      <c r="C9" s="3" t="n"/>
      <c r="D9" s="3" t="n"/>
      <c r="E9" s="3" t="n"/>
      <c r="F9" s="3" t="n"/>
      <c r="G9" s="3" t="n"/>
      <c r="H9" s="3" t="n"/>
      <c r="I9" s="3" t="n"/>
      <c r="J9" s="3" t="n"/>
    </row>
    <row r="10" ht="45" customHeight="1">
      <c r="A10" s="9" t="inlineStr">
        <is>
          <t>Question</t>
        </is>
      </c>
      <c r="B10" s="3" t="inlineStr">
        <is>
          <t>The evolution of European food-delivery merger control, 2017–2025 — how has practice evolved from the first national marketplace consolidations to the recent Commission decisions?</t>
        </is>
      </c>
      <c r="C10" s="3" t="n"/>
      <c r="D10" s="3" t="n"/>
      <c r="E10" s="3" t="n"/>
      <c r="F10" s="3" t="n"/>
      <c r="G10" s="3" t="n"/>
      <c r="H10" s="3" t="n"/>
      <c r="I10" s="3" t="n"/>
      <c r="J10" s="3" t="n"/>
    </row>
    <row r="11">
      <c r="A11" s="3" t="n"/>
      <c r="B11" s="3" t="n"/>
      <c r="C11" s="3" t="n"/>
      <c r="D11" s="3" t="n"/>
      <c r="E11" s="3" t="n"/>
      <c r="F11" s="3" t="n"/>
      <c r="G11" s="3" t="n"/>
      <c r="H11" s="3" t="n"/>
      <c r="I11" s="3" t="n"/>
      <c r="J11" s="3" t="n"/>
    </row>
    <row r="12">
      <c r="A12" s="3" t="n"/>
      <c r="B12" s="3" t="n"/>
      <c r="C12" s="3" t="n"/>
      <c r="D12" s="3" t="n"/>
      <c r="E12" s="3" t="n"/>
      <c r="F12" s="3" t="n"/>
      <c r="G12" s="3" t="n"/>
      <c r="H12" s="3" t="n"/>
      <c r="I12" s="3" t="n"/>
      <c r="J12" s="3" t="n"/>
    </row>
    <row r="13">
      <c r="A13" s="3" t="n"/>
      <c r="B13" s="3" t="n"/>
      <c r="C13" s="3" t="n"/>
      <c r="D13" s="3" t="n"/>
      <c r="E13" s="3" t="n"/>
      <c r="F13" s="3" t="n"/>
      <c r="G13" s="3" t="n"/>
      <c r="H13" s="3" t="n"/>
      <c r="I13" s="3" t="n"/>
      <c r="J13" s="3" t="n"/>
    </row>
    <row r="14">
      <c r="A14" s="8" t="inlineStr">
        <is>
          <t>Generated answer</t>
        </is>
      </c>
      <c r="B14" s="3" t="n"/>
      <c r="C14" s="3" t="n"/>
      <c r="D14" s="3" t="n"/>
      <c r="E14" s="3" t="n"/>
      <c r="F14" s="3" t="n"/>
      <c r="G14" s="3" t="n"/>
      <c r="H14" s="3" t="n"/>
      <c r="I14" s="3" t="n"/>
      <c r="J14" s="3" t="n"/>
    </row>
    <row r="15">
      <c r="A15" s="10" t="inlineStr">
        <is>
          <t>Paste the generated answer below.</t>
        </is>
      </c>
      <c r="B15" s="3" t="n"/>
      <c r="C15" s="3" t="n"/>
      <c r="D15" s="3" t="n"/>
      <c r="E15" s="3" t="n"/>
      <c r="F15" s="3" t="n"/>
      <c r="G15" s="3" t="n"/>
      <c r="H15" s="3" t="n"/>
      <c r="I15" s="3" t="n"/>
      <c r="J15" s="3" t="n"/>
    </row>
    <row r="16" ht="90" customHeight="1">
      <c r="A16" s="3" t="inlineStr"/>
      <c r="B16" s="3" t="n"/>
      <c r="C16" s="3" t="n"/>
      <c r="D16" s="3" t="n"/>
      <c r="E16" s="3" t="n"/>
      <c r="F16" s="3" t="n"/>
      <c r="G16" s="3" t="n"/>
      <c r="H16" s="3" t="n"/>
      <c r="I16" s="3" t="n"/>
      <c r="J16" s="3" t="n"/>
    </row>
    <row r="17" ht="30" customHeight="1">
      <c r="A17" s="3" t="n"/>
      <c r="B17" s="3" t="n"/>
      <c r="C17" s="3" t="n"/>
      <c r="D17" s="3" t="n"/>
      <c r="E17" s="3" t="n"/>
      <c r="F17" s="3" t="n"/>
      <c r="G17" s="3" t="n"/>
      <c r="H17" s="3" t="n"/>
      <c r="I17" s="3" t="n"/>
      <c r="J17" s="3" t="n"/>
    </row>
    <row r="18" ht="30" customHeight="1">
      <c r="A18" s="3" t="n"/>
      <c r="B18" s="3" t="n"/>
      <c r="C18" s="3" t="n"/>
      <c r="D18" s="3" t="n"/>
      <c r="E18" s="3" t="n"/>
      <c r="F18" s="3" t="n"/>
      <c r="G18" s="3" t="n"/>
      <c r="H18" s="3" t="n"/>
      <c r="I18" s="3" t="n"/>
      <c r="J18" s="3" t="n"/>
    </row>
    <row r="19">
      <c r="A19" s="9" t="inlineStr">
        <is>
          <t>Run ID</t>
        </is>
      </c>
      <c r="B19" s="3" t="inlineStr"/>
      <c r="C19" s="9" t="inlineStr">
        <is>
          <t>Run date</t>
        </is>
      </c>
      <c r="D19" s="3" t="inlineStr"/>
      <c r="E19" s="9" t="inlineStr">
        <is>
          <t>Model / prompt version</t>
        </is>
      </c>
      <c r="F19" s="3" t="inlineStr"/>
      <c r="G19" s="9" t="inlineStr">
        <is>
          <t>Corpus snapshot</t>
        </is>
      </c>
      <c r="H19" s="3" t="inlineStr"/>
      <c r="I19" s="3" t="n"/>
      <c r="J19" s="3" t="n"/>
    </row>
    <row r="20">
      <c r="A20" s="8" t="inlineStr">
        <is>
          <t>Retrieval set review</t>
        </is>
      </c>
      <c r="B20" s="3" t="n"/>
      <c r="C20" s="3" t="n"/>
      <c r="D20" s="3" t="n"/>
      <c r="E20" s="3" t="n"/>
      <c r="F20" s="3" t="n"/>
      <c r="G20" s="3" t="n"/>
      <c r="H20" s="3" t="n"/>
      <c r="I20" s="3" t="n"/>
      <c r="J20" s="3" t="n"/>
    </row>
    <row r="21">
      <c r="A21" s="11" t="inlineStr">
        <is>
          <t>Rank</t>
        </is>
      </c>
      <c r="B21" s="11" t="inlineStr">
        <is>
          <t>Retrieved source</t>
        </is>
      </c>
      <c r="C21" s="11" t="inlineStr">
        <is>
          <t>Source type</t>
        </is>
      </c>
      <c r="D21" s="11" t="inlineStr">
        <is>
          <t>Jurisdiction</t>
        </is>
      </c>
      <c r="E21" s="11" t="inlineStr">
        <is>
          <t>URL / Document ID</t>
        </is>
      </c>
      <c r="F21" s="11" t="inlineStr">
        <is>
          <t>Returned by engine?</t>
        </is>
      </c>
      <c r="G21" s="11" t="inlineStr">
        <is>
          <t>Required source?</t>
        </is>
      </c>
      <c r="H21" s="11" t="inlineStr">
        <is>
          <t>Trap?</t>
        </is>
      </c>
      <c r="I21" s="11" t="inlineStr">
        <is>
          <t>Expert verdict</t>
        </is>
      </c>
      <c r="J21" s="11" t="inlineStr">
        <is>
          <t>Notes</t>
        </is>
      </c>
    </row>
    <row r="22" ht="44" customHeight="1">
      <c r="A22" s="4" t="n">
        <v>1</v>
      </c>
      <c r="B22" s="4" t="n"/>
      <c r="C22" s="4" t="n"/>
      <c r="D22" s="4" t="n"/>
      <c r="E22" s="4" t="n"/>
      <c r="F22" s="4" t="n"/>
      <c r="G22" s="4" t="n"/>
      <c r="H22" s="4" t="n"/>
      <c r="I22" s="4" t="n"/>
      <c r="J22" s="4" t="n"/>
    </row>
    <row r="23" ht="44" customHeight="1">
      <c r="A23" s="4" t="n">
        <v>2</v>
      </c>
      <c r="B23" s="4" t="n"/>
      <c r="C23" s="4" t="n"/>
      <c r="D23" s="4" t="n"/>
      <c r="E23" s="4" t="n"/>
      <c r="F23" s="4" t="n"/>
      <c r="G23" s="4" t="n"/>
      <c r="H23" s="4" t="n"/>
      <c r="I23" s="4" t="n"/>
      <c r="J23" s="4" t="n"/>
    </row>
    <row r="24" ht="44" customHeight="1">
      <c r="A24" s="4" t="n">
        <v>3</v>
      </c>
      <c r="B24" s="4" t="n"/>
      <c r="C24" s="4" t="n"/>
      <c r="D24" s="4" t="n"/>
      <c r="E24" s="4" t="n"/>
      <c r="F24" s="4" t="n"/>
      <c r="G24" s="4" t="n"/>
      <c r="H24" s="4" t="n"/>
      <c r="I24" s="4" t="n"/>
      <c r="J24" s="4" t="n"/>
    </row>
    <row r="25" ht="44" customHeight="1">
      <c r="A25" s="4" t="n">
        <v>4</v>
      </c>
      <c r="B25" s="4" t="n"/>
      <c r="C25" s="4" t="n"/>
      <c r="D25" s="4" t="n"/>
      <c r="E25" s="4" t="n"/>
      <c r="F25" s="4" t="n"/>
      <c r="G25" s="4" t="n"/>
      <c r="H25" s="4" t="n"/>
      <c r="I25" s="4" t="n"/>
      <c r="J25" s="4" t="n"/>
    </row>
    <row r="26" ht="44" customHeight="1">
      <c r="A26" s="4" t="n">
        <v>5</v>
      </c>
      <c r="B26" s="4" t="n"/>
      <c r="C26" s="4" t="n"/>
      <c r="D26" s="4" t="n"/>
      <c r="E26" s="4" t="n"/>
      <c r="F26" s="4" t="n"/>
      <c r="G26" s="4" t="n"/>
      <c r="H26" s="4" t="n"/>
      <c r="I26" s="4" t="n"/>
      <c r="J26" s="4" t="n"/>
    </row>
    <row r="27" ht="44" customHeight="1">
      <c r="A27" s="4" t="n">
        <v>6</v>
      </c>
      <c r="B27" s="4" t="n"/>
      <c r="C27" s="4" t="n"/>
      <c r="D27" s="4" t="n"/>
      <c r="E27" s="4" t="n"/>
      <c r="F27" s="4" t="n"/>
      <c r="G27" s="4" t="n"/>
      <c r="H27" s="4" t="n"/>
      <c r="I27" s="4" t="n"/>
      <c r="J27" s="4" t="n"/>
    </row>
    <row r="28" ht="44" customHeight="1">
      <c r="A28" s="4" t="n">
        <v>7</v>
      </c>
      <c r="B28" s="4" t="n"/>
      <c r="C28" s="4" t="n"/>
      <c r="D28" s="4" t="n"/>
      <c r="E28" s="4" t="n"/>
      <c r="F28" s="4" t="n"/>
      <c r="G28" s="4" t="n"/>
      <c r="H28" s="4" t="n"/>
      <c r="I28" s="4" t="n"/>
      <c r="J28" s="4" t="n"/>
    </row>
    <row r="29" ht="44" customHeight="1">
      <c r="A29" s="4" t="n">
        <v>8</v>
      </c>
      <c r="B29" s="4" t="n"/>
      <c r="C29" s="4" t="n"/>
      <c r="D29" s="4" t="n"/>
      <c r="E29" s="4" t="n"/>
      <c r="F29" s="4" t="n"/>
      <c r="G29" s="4" t="n"/>
      <c r="H29" s="4" t="n"/>
      <c r="I29" s="4" t="n"/>
      <c r="J29" s="4" t="n"/>
    </row>
    <row r="30" ht="44" customHeight="1">
      <c r="A30" s="4" t="n">
        <v>9</v>
      </c>
      <c r="B30" s="4" t="n"/>
      <c r="C30" s="4" t="n"/>
      <c r="D30" s="4" t="n"/>
      <c r="E30" s="4" t="n"/>
      <c r="F30" s="4" t="n"/>
      <c r="G30" s="4" t="n"/>
      <c r="H30" s="4" t="n"/>
      <c r="I30" s="4" t="n"/>
      <c r="J30" s="4" t="n"/>
    </row>
    <row r="31" ht="44" customHeight="1">
      <c r="A31" s="4" t="n">
        <v>10</v>
      </c>
      <c r="B31" s="4" t="n"/>
      <c r="C31" s="4" t="n"/>
      <c r="D31" s="4" t="n"/>
      <c r="E31" s="4" t="n"/>
      <c r="F31" s="4" t="n"/>
      <c r="G31" s="4" t="n"/>
      <c r="H31" s="4" t="n"/>
      <c r="I31" s="4" t="n"/>
      <c r="J31" s="4" t="n"/>
    </row>
    <row r="32" ht="44" customHeight="1">
      <c r="A32" s="4" t="n">
        <v>11</v>
      </c>
      <c r="B32" s="4" t="n"/>
      <c r="C32" s="4" t="n"/>
      <c r="D32" s="4" t="n"/>
      <c r="E32" s="4" t="n"/>
      <c r="F32" s="4" t="n"/>
      <c r="G32" s="4" t="n"/>
      <c r="H32" s="4" t="n"/>
      <c r="I32" s="4" t="n"/>
      <c r="J32" s="4" t="n"/>
    </row>
    <row r="33" ht="44" customHeight="1">
      <c r="A33" s="4" t="n">
        <v>12</v>
      </c>
      <c r="B33" s="4" t="n"/>
      <c r="C33" s="4" t="n"/>
      <c r="D33" s="4" t="n"/>
      <c r="E33" s="4" t="n"/>
      <c r="F33" s="4" t="n"/>
      <c r="G33" s="4" t="n"/>
      <c r="H33" s="4" t="n"/>
      <c r="I33" s="4" t="n"/>
      <c r="J33" s="4" t="n"/>
    </row>
    <row r="34" ht="44" customHeight="1">
      <c r="A34" s="4" t="n">
        <v>13</v>
      </c>
      <c r="B34" s="4" t="n"/>
      <c r="C34" s="4" t="n"/>
      <c r="D34" s="4" t="n"/>
      <c r="E34" s="4" t="n"/>
      <c r="F34" s="4" t="n"/>
      <c r="G34" s="4" t="n"/>
      <c r="H34" s="4" t="n"/>
      <c r="I34" s="4" t="n"/>
      <c r="J34" s="4" t="n"/>
    </row>
    <row r="35" ht="44" customHeight="1">
      <c r="A35" s="4" t="n">
        <v>14</v>
      </c>
      <c r="B35" s="4" t="n"/>
      <c r="C35" s="4" t="n"/>
      <c r="D35" s="4" t="n"/>
      <c r="E35" s="4" t="n"/>
      <c r="F35" s="4" t="n"/>
      <c r="G35" s="4" t="n"/>
      <c r="H35" s="4" t="n"/>
      <c r="I35" s="4" t="n"/>
      <c r="J35" s="4" t="n"/>
    </row>
    <row r="36" ht="44" customHeight="1">
      <c r="A36" s="4" t="n">
        <v>15</v>
      </c>
      <c r="B36" s="4" t="n"/>
      <c r="C36" s="4" t="n"/>
      <c r="D36" s="4" t="n"/>
      <c r="E36" s="4" t="n"/>
      <c r="F36" s="4" t="n"/>
      <c r="G36" s="4" t="n"/>
      <c r="H36" s="4" t="n"/>
      <c r="I36" s="4" t="n"/>
      <c r="J36" s="4" t="n"/>
    </row>
    <row r="37">
      <c r="A37" s="3" t="n"/>
      <c r="B37" s="3" t="n"/>
      <c r="C37" s="3" t="n"/>
      <c r="D37" s="3" t="n"/>
      <c r="E37" s="3" t="n"/>
      <c r="F37" s="3" t="n"/>
      <c r="G37" s="3" t="n"/>
      <c r="H37" s="3" t="n"/>
      <c r="I37" s="3" t="n"/>
      <c r="J37" s="3" t="n"/>
    </row>
    <row r="38">
      <c r="A38" s="8" t="inlineStr">
        <is>
          <t>Claim-by-claim review</t>
        </is>
      </c>
      <c r="B38" s="3" t="n"/>
      <c r="C38" s="3" t="n"/>
      <c r="D38" s="3" t="n"/>
      <c r="E38" s="3" t="n"/>
      <c r="F38" s="3" t="n"/>
      <c r="G38" s="3" t="n"/>
      <c r="H38" s="3" t="n"/>
      <c r="I38" s="3" t="n"/>
      <c r="J38" s="3" t="n"/>
    </row>
    <row r="39">
      <c r="A39" s="11" t="inlineStr">
        <is>
          <t>Claim ID</t>
        </is>
      </c>
      <c r="B39" s="11" t="inlineStr">
        <is>
          <t>Claim from answer</t>
        </is>
      </c>
      <c r="C39" s="11" t="inlineStr">
        <is>
          <t>Citation used</t>
        </is>
      </c>
      <c r="D39" s="11" t="inlineStr">
        <is>
          <t>Expert verdict</t>
        </is>
      </c>
      <c r="E39" s="11" t="inlineStr">
        <is>
          <t>Issue type</t>
        </is>
      </c>
      <c r="F39" s="11" t="inlineStr">
        <is>
          <t>Cited passage / source note</t>
        </is>
      </c>
      <c r="G39" s="11" t="inlineStr">
        <is>
          <t>Required fix / comment</t>
        </is>
      </c>
      <c r="H39" s="11" t="inlineStr">
        <is>
          <t>Reviewer</t>
        </is>
      </c>
      <c r="I39" s="11" t="n"/>
      <c r="J39" s="11" t="n"/>
    </row>
    <row r="40" ht="54" customHeight="1">
      <c r="A40" s="4" t="n">
        <v>1</v>
      </c>
      <c r="B40" s="4" t="n"/>
      <c r="C40" s="4" t="n"/>
      <c r="D40" s="4" t="n"/>
      <c r="E40" s="4" t="n"/>
      <c r="F40" s="4" t="n"/>
      <c r="G40" s="4" t="n"/>
      <c r="H40" s="4" t="n"/>
      <c r="I40" s="3" t="n"/>
      <c r="J40" s="3" t="n"/>
    </row>
    <row r="41" ht="54" customHeight="1">
      <c r="A41" s="4" t="n">
        <v>2</v>
      </c>
      <c r="B41" s="4" t="n"/>
      <c r="C41" s="4" t="n"/>
      <c r="D41" s="4" t="n"/>
      <c r="E41" s="4" t="n"/>
      <c r="F41" s="4" t="n"/>
      <c r="G41" s="4" t="n"/>
      <c r="H41" s="4" t="n"/>
      <c r="I41" s="3" t="n"/>
      <c r="J41" s="3" t="n"/>
    </row>
    <row r="42" ht="54" customHeight="1">
      <c r="A42" s="4" t="n">
        <v>3</v>
      </c>
      <c r="B42" s="4" t="n"/>
      <c r="C42" s="4" t="n"/>
      <c r="D42" s="4" t="n"/>
      <c r="E42" s="4" t="n"/>
      <c r="F42" s="4" t="n"/>
      <c r="G42" s="4" t="n"/>
      <c r="H42" s="4" t="n"/>
      <c r="I42" s="3" t="n"/>
      <c r="J42" s="3" t="n"/>
    </row>
    <row r="43" ht="54" customHeight="1">
      <c r="A43" s="4" t="n">
        <v>4</v>
      </c>
      <c r="B43" s="4" t="n"/>
      <c r="C43" s="4" t="n"/>
      <c r="D43" s="4" t="n"/>
      <c r="E43" s="4" t="n"/>
      <c r="F43" s="4" t="n"/>
      <c r="G43" s="4" t="n"/>
      <c r="H43" s="4" t="n"/>
      <c r="I43" s="3" t="n"/>
      <c r="J43" s="3" t="n"/>
    </row>
    <row r="44" ht="54" customHeight="1">
      <c r="A44" s="4" t="n">
        <v>5</v>
      </c>
      <c r="B44" s="4" t="n"/>
      <c r="C44" s="4" t="n"/>
      <c r="D44" s="4" t="n"/>
      <c r="E44" s="4" t="n"/>
      <c r="F44" s="4" t="n"/>
      <c r="G44" s="4" t="n"/>
      <c r="H44" s="4" t="n"/>
      <c r="I44" s="3" t="n"/>
      <c r="J44" s="3" t="n"/>
    </row>
    <row r="45" ht="54" customHeight="1">
      <c r="A45" s="4" t="n">
        <v>6</v>
      </c>
      <c r="B45" s="4" t="n"/>
      <c r="C45" s="4" t="n"/>
      <c r="D45" s="4" t="n"/>
      <c r="E45" s="4" t="n"/>
      <c r="F45" s="4" t="n"/>
      <c r="G45" s="4" t="n"/>
      <c r="H45" s="4" t="n"/>
      <c r="I45" s="3" t="n"/>
      <c r="J45" s="3" t="n"/>
    </row>
    <row r="46" ht="54" customHeight="1">
      <c r="A46" s="4" t="n">
        <v>7</v>
      </c>
      <c r="B46" s="4" t="n"/>
      <c r="C46" s="4" t="n"/>
      <c r="D46" s="4" t="n"/>
      <c r="E46" s="4" t="n"/>
      <c r="F46" s="4" t="n"/>
      <c r="G46" s="4" t="n"/>
      <c r="H46" s="4" t="n"/>
      <c r="I46" s="3" t="n"/>
      <c r="J46" s="3" t="n"/>
    </row>
    <row r="47" ht="54" customHeight="1">
      <c r="A47" s="4" t="n">
        <v>8</v>
      </c>
      <c r="B47" s="4" t="n"/>
      <c r="C47" s="4" t="n"/>
      <c r="D47" s="4" t="n"/>
      <c r="E47" s="4" t="n"/>
      <c r="F47" s="4" t="n"/>
      <c r="G47" s="4" t="n"/>
      <c r="H47" s="4" t="n"/>
      <c r="I47" s="3" t="n"/>
      <c r="J47" s="3" t="n"/>
    </row>
    <row r="48" ht="54" customHeight="1">
      <c r="A48" s="4" t="n">
        <v>9</v>
      </c>
      <c r="B48" s="4" t="n"/>
      <c r="C48" s="4" t="n"/>
      <c r="D48" s="4" t="n"/>
      <c r="E48" s="4" t="n"/>
      <c r="F48" s="4" t="n"/>
      <c r="G48" s="4" t="n"/>
      <c r="H48" s="4" t="n"/>
      <c r="I48" s="3" t="n"/>
      <c r="J48" s="3" t="n"/>
    </row>
    <row r="49" ht="54" customHeight="1">
      <c r="A49" s="4" t="n">
        <v>10</v>
      </c>
      <c r="B49" s="4" t="n"/>
      <c r="C49" s="4" t="n"/>
      <c r="D49" s="4" t="n"/>
      <c r="E49" s="4" t="n"/>
      <c r="F49" s="4" t="n"/>
      <c r="G49" s="4" t="n"/>
      <c r="H49" s="4" t="n"/>
      <c r="I49" s="3" t="n"/>
      <c r="J49" s="3" t="n"/>
    </row>
    <row r="50" ht="54" customHeight="1">
      <c r="A50" s="4" t="n">
        <v>11</v>
      </c>
      <c r="B50" s="4" t="n"/>
      <c r="C50" s="4" t="n"/>
      <c r="D50" s="4" t="n"/>
      <c r="E50" s="4" t="n"/>
      <c r="F50" s="4" t="n"/>
      <c r="G50" s="4" t="n"/>
      <c r="H50" s="4" t="n"/>
      <c r="I50" s="3" t="n"/>
      <c r="J50" s="3" t="n"/>
    </row>
    <row r="51" ht="54" customHeight="1">
      <c r="A51" s="4" t="n">
        <v>12</v>
      </c>
      <c r="B51" s="4" t="n"/>
      <c r="C51" s="4" t="n"/>
      <c r="D51" s="4" t="n"/>
      <c r="E51" s="4" t="n"/>
      <c r="F51" s="4" t="n"/>
      <c r="G51" s="4" t="n"/>
      <c r="H51" s="4" t="n"/>
      <c r="I51" s="3" t="n"/>
      <c r="J51" s="3" t="n"/>
    </row>
    <row r="52" ht="54" customHeight="1">
      <c r="A52" s="4" t="n">
        <v>13</v>
      </c>
      <c r="B52" s="4" t="n"/>
      <c r="C52" s="4" t="n"/>
      <c r="D52" s="4" t="n"/>
      <c r="E52" s="4" t="n"/>
      <c r="F52" s="4" t="n"/>
      <c r="G52" s="4" t="n"/>
      <c r="H52" s="4" t="n"/>
      <c r="I52" s="3" t="n"/>
      <c r="J52" s="3" t="n"/>
    </row>
    <row r="53" ht="54" customHeight="1">
      <c r="A53" s="4" t="n">
        <v>14</v>
      </c>
      <c r="B53" s="4" t="n"/>
      <c r="C53" s="4" t="n"/>
      <c r="D53" s="4" t="n"/>
      <c r="E53" s="4" t="n"/>
      <c r="F53" s="4" t="n"/>
      <c r="G53" s="4" t="n"/>
      <c r="H53" s="4" t="n"/>
      <c r="I53" s="3" t="n"/>
      <c r="J53" s="3" t="n"/>
    </row>
    <row r="54" ht="54" customHeight="1">
      <c r="A54" s="4" t="n">
        <v>15</v>
      </c>
      <c r="B54" s="4" t="n"/>
      <c r="C54" s="4" t="n"/>
      <c r="D54" s="4" t="n"/>
      <c r="E54" s="4" t="n"/>
      <c r="F54" s="4" t="n"/>
      <c r="G54" s="4" t="n"/>
      <c r="H54" s="4" t="n"/>
      <c r="I54" s="3" t="n"/>
      <c r="J54" s="3" t="n"/>
    </row>
    <row r="55" ht="54" customHeight="1">
      <c r="A55" s="4" t="n">
        <v>16</v>
      </c>
      <c r="B55" s="4" t="n"/>
      <c r="C55" s="4" t="n"/>
      <c r="D55" s="4" t="n"/>
      <c r="E55" s="4" t="n"/>
      <c r="F55" s="4" t="n"/>
      <c r="G55" s="4" t="n"/>
      <c r="H55" s="4" t="n"/>
      <c r="I55" s="3" t="n"/>
      <c r="J55" s="3" t="n"/>
    </row>
    <row r="56" ht="54" customHeight="1">
      <c r="A56" s="4" t="n">
        <v>17</v>
      </c>
      <c r="B56" s="4" t="n"/>
      <c r="C56" s="4" t="n"/>
      <c r="D56" s="4" t="n"/>
      <c r="E56" s="4" t="n"/>
      <c r="F56" s="4" t="n"/>
      <c r="G56" s="4" t="n"/>
      <c r="H56" s="4" t="n"/>
      <c r="I56" s="3" t="n"/>
      <c r="J56" s="3" t="n"/>
    </row>
    <row r="57" ht="54" customHeight="1">
      <c r="A57" s="4" t="n">
        <v>18</v>
      </c>
      <c r="B57" s="4" t="n"/>
      <c r="C57" s="4" t="n"/>
      <c r="D57" s="4" t="n"/>
      <c r="E57" s="4" t="n"/>
      <c r="F57" s="4" t="n"/>
      <c r="G57" s="4" t="n"/>
      <c r="H57" s="4" t="n"/>
      <c r="I57" s="3" t="n"/>
      <c r="J57" s="3" t="n"/>
    </row>
    <row r="58" ht="54" customHeight="1">
      <c r="A58" s="4" t="n">
        <v>19</v>
      </c>
      <c r="B58" s="4" t="n"/>
      <c r="C58" s="4" t="n"/>
      <c r="D58" s="4" t="n"/>
      <c r="E58" s="4" t="n"/>
      <c r="F58" s="4" t="n"/>
      <c r="G58" s="4" t="n"/>
      <c r="H58" s="4" t="n"/>
      <c r="I58" s="3" t="n"/>
      <c r="J58" s="3" t="n"/>
    </row>
    <row r="59" ht="54" customHeight="1">
      <c r="A59" s="4" t="n">
        <v>20</v>
      </c>
      <c r="B59" s="4" t="n"/>
      <c r="C59" s="4" t="n"/>
      <c r="D59" s="4" t="n"/>
      <c r="E59" s="4" t="n"/>
      <c r="F59" s="4" t="n"/>
      <c r="G59" s="4" t="n"/>
      <c r="H59" s="4" t="n"/>
      <c r="I59" s="3" t="n"/>
      <c r="J59" s="3" t="n"/>
    </row>
    <row r="60">
      <c r="A60" s="3" t="n"/>
      <c r="B60" s="3" t="n"/>
      <c r="C60" s="3" t="n"/>
      <c r="D60" s="3" t="n"/>
      <c r="E60" s="3" t="n"/>
      <c r="F60" s="3" t="n"/>
      <c r="G60" s="3" t="n"/>
      <c r="H60" s="3" t="n"/>
      <c r="I60" s="3" t="n"/>
      <c r="J60" s="3" t="n"/>
    </row>
    <row r="61">
      <c r="A61" s="8" t="inlineStr">
        <is>
          <t>Final expert verdict</t>
        </is>
      </c>
      <c r="B61" s="3" t="n"/>
      <c r="C61" s="3" t="n"/>
      <c r="D61" s="3" t="n"/>
      <c r="E61" s="3" t="n"/>
      <c r="F61" s="3" t="n"/>
      <c r="G61" s="3" t="n"/>
      <c r="H61" s="3" t="n"/>
      <c r="I61" s="3" t="n"/>
      <c r="J61" s="3" t="n"/>
    </row>
    <row r="62">
      <c r="A62" s="12" t="inlineStr">
        <is>
          <t>Is the answer acceptable?</t>
        </is>
      </c>
      <c r="B62" s="4" t="inlineStr"/>
      <c r="C62" s="4" t="n"/>
      <c r="D62" s="4" t="n"/>
      <c r="E62" s="4" t="n"/>
      <c r="F62" s="4" t="n"/>
      <c r="G62" s="4" t="n"/>
      <c r="H62" s="4" t="n"/>
      <c r="I62" s="3" t="n"/>
      <c r="J62" s="3" t="n"/>
    </row>
    <row r="63" ht="54" customHeight="1">
      <c r="A63" s="12" t="inlineStr">
        <is>
          <t>Overall comment / required fixes</t>
        </is>
      </c>
      <c r="B63" s="4" t="n"/>
      <c r="C63" s="4" t="n"/>
      <c r="D63" s="4" t="n"/>
      <c r="E63" s="4" t="n"/>
      <c r="F63" s="4" t="n"/>
      <c r="G63" s="4" t="n"/>
      <c r="H63" s="4" t="n"/>
      <c r="I63" s="3" t="n"/>
      <c r="J63" s="3" t="n"/>
    </row>
    <row r="64">
      <c r="A64" s="4" t="n"/>
      <c r="B64" s="4" t="n"/>
      <c r="C64" s="4" t="n"/>
      <c r="D64" s="4" t="n"/>
      <c r="E64" s="4" t="n"/>
      <c r="F64" s="4" t="n"/>
      <c r="G64" s="4" t="n"/>
      <c r="H64" s="4" t="n"/>
      <c r="I64" s="3" t="n"/>
      <c r="J64" s="3" t="n"/>
    </row>
    <row r="65">
      <c r="A65" s="12" t="inlineStr">
        <is>
          <t>Missing key sources?</t>
        </is>
      </c>
      <c r="B65" s="4" t="n"/>
      <c r="C65" s="4" t="n"/>
      <c r="D65" s="4" t="n"/>
      <c r="E65" s="4" t="n"/>
      <c r="F65" s="4" t="n"/>
      <c r="G65" s="4" t="n"/>
      <c r="H65" s="4" t="n"/>
      <c r="I65" s="3" t="n"/>
      <c r="J65" s="3" t="n"/>
    </row>
    <row r="66">
      <c r="A66" s="12" t="inlineStr">
        <is>
          <t>Review completed?</t>
        </is>
      </c>
      <c r="B66" s="4" t="inlineStr"/>
      <c r="C66" s="4" t="n"/>
      <c r="D66" s="4" t="n"/>
      <c r="E66" s="4" t="n"/>
      <c r="F66" s="4" t="n"/>
      <c r="G66" s="4" t="n"/>
      <c r="H66" s="4" t="n"/>
      <c r="I66" s="3" t="n"/>
      <c r="J66" s="3" t="n"/>
    </row>
    <row r="67">
      <c r="A67" s="12" t="inlineStr">
        <is>
          <t>Reviewer</t>
        </is>
      </c>
      <c r="B67" s="4" t="n"/>
      <c r="C67" s="12" t="inlineStr">
        <is>
          <t>Review date</t>
        </is>
      </c>
      <c r="D67" s="5" t="inlineStr"/>
      <c r="E67" s="4" t="n"/>
      <c r="F67" s="4" t="n"/>
      <c r="G67" s="4" t="n"/>
      <c r="H67" s="4" t="n"/>
      <c r="I67" s="3" t="n"/>
      <c r="J67" s="3" t="n"/>
    </row>
    <row r="68">
      <c r="A68" s="3" t="n"/>
      <c r="B68" s="3" t="n"/>
      <c r="C68" s="3" t="n"/>
      <c r="D68" s="3" t="n"/>
      <c r="E68" s="3" t="n"/>
      <c r="F68" s="3" t="n"/>
      <c r="G68" s="3" t="n"/>
      <c r="H68" s="3" t="n"/>
      <c r="I68" s="3" t="n"/>
      <c r="J68" s="3" t="n"/>
    </row>
    <row r="69">
      <c r="A69" s="8" t="inlineStr">
        <is>
          <t>Original source notes</t>
        </is>
      </c>
      <c r="B69" s="3" t="n"/>
      <c r="C69" s="3" t="n"/>
      <c r="D69" s="3" t="n"/>
      <c r="E69" s="3" t="n"/>
      <c r="F69" s="3" t="n"/>
      <c r="G69" s="3" t="n"/>
      <c r="H69" s="3" t="n"/>
      <c r="I69" s="3" t="n"/>
      <c r="J69" s="3" t="n"/>
    </row>
    <row r="70">
      <c r="A70" s="12" t="inlineStr">
        <is>
          <t>WAB notes</t>
        </is>
      </c>
      <c r="B70" s="4" t="inlineStr"/>
      <c r="C70" s="4" t="n"/>
      <c r="D70" s="4" t="n"/>
      <c r="E70" s="4" t="n"/>
      <c r="F70" s="4" t="n"/>
      <c r="G70" s="4" t="n"/>
      <c r="H70" s="4" t="n"/>
      <c r="I70" s="3" t="n"/>
      <c r="J70" s="3" t="n"/>
    </row>
    <row r="71" ht="54" customHeight="1">
      <c r="A71" s="12" t="inlineStr">
        <is>
          <t>Reviewer notes from question approval</t>
        </is>
      </c>
      <c r="B71" s="4" t="inlineStr"/>
      <c r="C71" s="4" t="n"/>
      <c r="D71" s="4" t="n"/>
      <c r="E71" s="4" t="n"/>
      <c r="F71" s="4" t="n"/>
      <c r="G71" s="4" t="n"/>
      <c r="H71" s="4" t="n"/>
      <c r="I71" s="3" t="n"/>
      <c r="J71" s="3" t="n"/>
    </row>
    <row r="72">
      <c r="A72" s="4" t="n"/>
      <c r="B72" s="4" t="n"/>
      <c r="C72" s="4" t="n"/>
      <c r="D72" s="4" t="n"/>
      <c r="E72" s="4" t="n"/>
      <c r="F72" s="4" t="n"/>
      <c r="G72" s="4" t="n"/>
      <c r="H72" s="4" t="n"/>
      <c r="I72" s="3" t="n"/>
      <c r="J72" s="3" t="n"/>
    </row>
  </sheetData>
  <autoFilter ref="A21:J36"/>
  <mergeCells count="20">
    <mergeCell ref="B65:H65"/>
    <mergeCell ref="B71:H72"/>
    <mergeCell ref="B6:H6"/>
    <mergeCell ref="A20:J20"/>
    <mergeCell ref="A1:H1"/>
    <mergeCell ref="B5:H5"/>
    <mergeCell ref="A61:H61"/>
    <mergeCell ref="A69:H69"/>
    <mergeCell ref="B4:H4"/>
    <mergeCell ref="B62:H62"/>
    <mergeCell ref="B7:H7"/>
    <mergeCell ref="B66:H66"/>
    <mergeCell ref="A3:H3"/>
    <mergeCell ref="A16:H18"/>
    <mergeCell ref="B70:H70"/>
    <mergeCell ref="A14:H14"/>
    <mergeCell ref="B63:H64"/>
    <mergeCell ref="B8:H8"/>
    <mergeCell ref="B10:H12"/>
    <mergeCell ref="A38:H38"/>
  </mergeCells>
  <dataValidations count="9">
    <dataValidation sqref="C22:C36" showDropDown="0" showInputMessage="0" showErrorMessage="0" allowBlank="1" type="list">
      <formula1>=Lists!$F$2:$F$5</formula1>
    </dataValidation>
    <dataValidation sqref="F22:F36" showDropDown="0" showInputMessage="0" showErrorMessage="0" allowBlank="1" type="list">
      <formula1>=Lists!$G$2:$G$4</formula1>
    </dataValidation>
    <dataValidation sqref="G22:G36" showDropDown="0" showInputMessage="0" showErrorMessage="0" allowBlank="1" type="list">
      <formula1>=Lists!$G$2:$G$4</formula1>
    </dataValidation>
    <dataValidation sqref="H22:H36" showDropDown="0" showInputMessage="0" showErrorMessage="0" allowBlank="1" type="list">
      <formula1>=Lists!$G$2:$G$4</formula1>
    </dataValidation>
    <dataValidation sqref="I22:I36" showDropDown="0" showInputMessage="0" showErrorMessage="0" allowBlank="1" type="list">
      <formula1>=Lists!$H$2:$H$6</formula1>
    </dataValidation>
    <dataValidation sqref="D40:D59" showDropDown="0" showInputMessage="0" showErrorMessage="0" allowBlank="1" type="list">
      <formula1>=Lists!$D$2:$D$7</formula1>
    </dataValidation>
    <dataValidation sqref="E40:E59" showDropDown="0" showInputMessage="0" showErrorMessage="0" allowBlank="1" type="list">
      <formula1>=Lists!$E$2:$E$8</formula1>
    </dataValidation>
    <dataValidation sqref="B62" showDropDown="0" showInputMessage="0" showErrorMessage="0" allowBlank="1" type="list">
      <formula1>=Lists!$C$2:$C$4</formula1>
    </dataValidation>
    <dataValidation sqref="B66" showDropDown="0" showInputMessage="0" showErrorMessage="0" allowBlank="1" type="list">
      <formula1>=Lists!$A$2:$A$3</formula1>
    </dataValidation>
  </dataValidations>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J72"/>
  <sheetViews>
    <sheetView showGridLines="0" workbookViewId="0">
      <pane ySplit="21" topLeftCell="A22" activePane="bottomLeft" state="frozen"/>
      <selection pane="bottomLeft" activeCell="A1" sqref="A1"/>
    </sheetView>
  </sheetViews>
  <sheetFormatPr baseColWidth="8" defaultRowHeight="15"/>
  <cols>
    <col width="12" customWidth="1" min="1" max="1"/>
    <col width="34" customWidth="1" min="2" max="2"/>
    <col width="22" customWidth="1" min="3" max="3"/>
    <col width="18" customWidth="1" min="4" max="4"/>
    <col width="20" customWidth="1" min="5" max="5"/>
    <col width="30" customWidth="1" min="6" max="6"/>
    <col width="34" customWidth="1" min="7" max="7"/>
    <col width="18" customWidth="1" min="8" max="8"/>
    <col width="18" customWidth="1" min="9" max="9"/>
    <col width="30" customWidth="1" min="10" max="10"/>
  </cols>
  <sheetData>
    <row r="1" ht="28" customHeight="1">
      <c r="A1" s="6" t="inlineStr">
        <is>
          <t>Q12 — Expert Review</t>
        </is>
      </c>
      <c r="B1" s="3" t="n"/>
      <c r="C1" s="3" t="n"/>
      <c r="D1" s="3" t="n"/>
      <c r="E1" s="3" t="n"/>
      <c r="F1" s="3" t="n"/>
      <c r="G1" s="3" t="n"/>
      <c r="H1" s="3" t="n"/>
      <c r="I1" s="3" t="n"/>
      <c r="J1" s="3" t="n"/>
    </row>
    <row r="2">
      <c r="A2" s="3" t="n"/>
      <c r="B2" s="3" t="n"/>
      <c r="C2" s="3" t="n"/>
      <c r="D2" s="3" t="n"/>
      <c r="E2" s="3" t="n"/>
      <c r="F2" s="3" t="n"/>
      <c r="G2" s="3" t="n"/>
      <c r="H2" s="3" t="n"/>
      <c r="I2" s="3" t="n"/>
      <c r="J2" s="3" t="n"/>
    </row>
    <row r="3">
      <c r="A3" s="8" t="inlineStr">
        <is>
          <t>Question metadata</t>
        </is>
      </c>
      <c r="B3" s="3" t="n"/>
      <c r="C3" s="3" t="n"/>
      <c r="D3" s="3" t="n"/>
      <c r="E3" s="3" t="n"/>
      <c r="F3" s="3" t="n"/>
      <c r="G3" s="3" t="n"/>
      <c r="H3" s="3" t="n"/>
      <c r="I3" s="3" t="n"/>
      <c r="J3" s="3" t="n"/>
    </row>
    <row r="4">
      <c r="A4" s="9" t="inlineStr">
        <is>
          <t>Question ID</t>
        </is>
      </c>
      <c r="B4" s="3" t="n">
        <v>12</v>
      </c>
      <c r="C4" s="3" t="n"/>
      <c r="D4" s="3" t="n"/>
      <c r="E4" s="3" t="n"/>
      <c r="F4" s="3" t="n"/>
      <c r="G4" s="3" t="n"/>
      <c r="H4" s="3" t="n"/>
      <c r="I4" s="3" t="n"/>
      <c r="J4" s="3" t="n"/>
    </row>
    <row r="5">
      <c r="A5" s="9" t="inlineStr">
        <is>
          <t>Topic</t>
        </is>
      </c>
      <c r="B5" s="3" t="inlineStr">
        <is>
          <t>Dawn raids — legal professional privilege</t>
        </is>
      </c>
      <c r="C5" s="3" t="n"/>
      <c r="D5" s="3" t="n"/>
      <c r="E5" s="3" t="n"/>
      <c r="F5" s="3" t="n"/>
      <c r="G5" s="3" t="n"/>
      <c r="H5" s="3" t="n"/>
      <c r="I5" s="3" t="n"/>
      <c r="J5" s="3" t="n"/>
    </row>
    <row r="6">
      <c r="A6" s="9" t="inlineStr">
        <is>
          <t>Scope</t>
        </is>
      </c>
      <c r="B6" s="3" t="inlineStr">
        <is>
          <t>France</t>
        </is>
      </c>
      <c r="C6" s="3" t="n"/>
      <c r="D6" s="3" t="n"/>
      <c r="E6" s="3" t="n"/>
      <c r="F6" s="3" t="n"/>
      <c r="G6" s="3" t="n"/>
      <c r="H6" s="3" t="n"/>
      <c r="I6" s="3" t="n"/>
      <c r="J6" s="3" t="n"/>
    </row>
    <row r="7">
      <c r="A7" s="9" t="inlineStr">
        <is>
          <t>Original reviewer</t>
        </is>
      </c>
      <c r="B7" s="3" t="inlineStr">
        <is>
          <t>Carolina</t>
        </is>
      </c>
      <c r="C7" s="3" t="n"/>
      <c r="D7" s="3" t="n"/>
      <c r="E7" s="3" t="n"/>
      <c r="F7" s="3" t="n"/>
      <c r="G7" s="3" t="n"/>
      <c r="H7" s="3" t="n"/>
      <c r="I7" s="3" t="n"/>
      <c r="J7" s="3" t="n"/>
    </row>
    <row r="8">
      <c r="A8" s="9" t="inlineStr">
        <is>
          <t>Original status</t>
        </is>
      </c>
      <c r="B8" s="3" t="inlineStr">
        <is>
          <t>Approved</t>
        </is>
      </c>
      <c r="C8" s="3" t="n"/>
      <c r="D8" s="3" t="n"/>
      <c r="E8" s="3" t="n"/>
      <c r="F8" s="3" t="n"/>
      <c r="G8" s="3" t="n"/>
      <c r="H8" s="3" t="n"/>
      <c r="I8" s="3" t="n"/>
      <c r="J8" s="3" t="n"/>
    </row>
    <row r="9">
      <c r="A9" s="3" t="n"/>
      <c r="B9" s="3" t="n"/>
      <c r="C9" s="3" t="n"/>
      <c r="D9" s="3" t="n"/>
      <c r="E9" s="3" t="n"/>
      <c r="F9" s="3" t="n"/>
      <c r="G9" s="3" t="n"/>
      <c r="H9" s="3" t="n"/>
      <c r="I9" s="3" t="n"/>
      <c r="J9" s="3" t="n"/>
    </row>
    <row r="10" ht="45" customHeight="1">
      <c r="A10" s="9" t="inlineStr">
        <is>
          <t>Question</t>
        </is>
      </c>
      <c r="B10" s="3" t="inlineStr">
        <is>
          <t>At what stage is attorney-client privilege breached during a dawn raid — when the inspector reads the document, or only when it is later used?</t>
        </is>
      </c>
      <c r="C10" s="3" t="n"/>
      <c r="D10" s="3" t="n"/>
      <c r="E10" s="3" t="n"/>
      <c r="F10" s="3" t="n"/>
      <c r="G10" s="3" t="n"/>
      <c r="H10" s="3" t="n"/>
      <c r="I10" s="3" t="n"/>
      <c r="J10" s="3" t="n"/>
    </row>
    <row r="11">
      <c r="A11" s="3" t="n"/>
      <c r="B11" s="3" t="n"/>
      <c r="C11" s="3" t="n"/>
      <c r="D11" s="3" t="n"/>
      <c r="E11" s="3" t="n"/>
      <c r="F11" s="3" t="n"/>
      <c r="G11" s="3" t="n"/>
      <c r="H11" s="3" t="n"/>
      <c r="I11" s="3" t="n"/>
      <c r="J11" s="3" t="n"/>
    </row>
    <row r="12">
      <c r="A12" s="3" t="n"/>
      <c r="B12" s="3" t="n"/>
      <c r="C12" s="3" t="n"/>
      <c r="D12" s="3" t="n"/>
      <c r="E12" s="3" t="n"/>
      <c r="F12" s="3" t="n"/>
      <c r="G12" s="3" t="n"/>
      <c r="H12" s="3" t="n"/>
      <c r="I12" s="3" t="n"/>
      <c r="J12" s="3" t="n"/>
    </row>
    <row r="13">
      <c r="A13" s="3" t="n"/>
      <c r="B13" s="3" t="n"/>
      <c r="C13" s="3" t="n"/>
      <c r="D13" s="3" t="n"/>
      <c r="E13" s="3" t="n"/>
      <c r="F13" s="3" t="n"/>
      <c r="G13" s="3" t="n"/>
      <c r="H13" s="3" t="n"/>
      <c r="I13" s="3" t="n"/>
      <c r="J13" s="3" t="n"/>
    </row>
    <row r="14">
      <c r="A14" s="8" t="inlineStr">
        <is>
          <t>Generated answer</t>
        </is>
      </c>
      <c r="B14" s="3" t="n"/>
      <c r="C14" s="3" t="n"/>
      <c r="D14" s="3" t="n"/>
      <c r="E14" s="3" t="n"/>
      <c r="F14" s="3" t="n"/>
      <c r="G14" s="3" t="n"/>
      <c r="H14" s="3" t="n"/>
      <c r="I14" s="3" t="n"/>
      <c r="J14" s="3" t="n"/>
    </row>
    <row r="15">
      <c r="A15" s="10" t="inlineStr">
        <is>
          <t>Paste the generated answer below.</t>
        </is>
      </c>
      <c r="B15" s="3" t="n"/>
      <c r="C15" s="3" t="n"/>
      <c r="D15" s="3" t="n"/>
      <c r="E15" s="3" t="n"/>
      <c r="F15" s="3" t="n"/>
      <c r="G15" s="3" t="n"/>
      <c r="H15" s="3" t="n"/>
      <c r="I15" s="3" t="n"/>
      <c r="J15" s="3" t="n"/>
    </row>
    <row r="16" ht="90" customHeight="1">
      <c r="A16" s="3" t="inlineStr"/>
      <c r="B16" s="3" t="n"/>
      <c r="C16" s="3" t="n"/>
      <c r="D16" s="3" t="n"/>
      <c r="E16" s="3" t="n"/>
      <c r="F16" s="3" t="n"/>
      <c r="G16" s="3" t="n"/>
      <c r="H16" s="3" t="n"/>
      <c r="I16" s="3" t="n"/>
      <c r="J16" s="3" t="n"/>
    </row>
    <row r="17" ht="30" customHeight="1">
      <c r="A17" s="3" t="n"/>
      <c r="B17" s="3" t="n"/>
      <c r="C17" s="3" t="n"/>
      <c r="D17" s="3" t="n"/>
      <c r="E17" s="3" t="n"/>
      <c r="F17" s="3" t="n"/>
      <c r="G17" s="3" t="n"/>
      <c r="H17" s="3" t="n"/>
      <c r="I17" s="3" t="n"/>
      <c r="J17" s="3" t="n"/>
    </row>
    <row r="18" ht="30" customHeight="1">
      <c r="A18" s="3" t="n"/>
      <c r="B18" s="3" t="n"/>
      <c r="C18" s="3" t="n"/>
      <c r="D18" s="3" t="n"/>
      <c r="E18" s="3" t="n"/>
      <c r="F18" s="3" t="n"/>
      <c r="G18" s="3" t="n"/>
      <c r="H18" s="3" t="n"/>
      <c r="I18" s="3" t="n"/>
      <c r="J18" s="3" t="n"/>
    </row>
    <row r="19">
      <c r="A19" s="9" t="inlineStr">
        <is>
          <t>Run ID</t>
        </is>
      </c>
      <c r="B19" s="3" t="inlineStr"/>
      <c r="C19" s="9" t="inlineStr">
        <is>
          <t>Run date</t>
        </is>
      </c>
      <c r="D19" s="3" t="inlineStr"/>
      <c r="E19" s="9" t="inlineStr">
        <is>
          <t>Model / prompt version</t>
        </is>
      </c>
      <c r="F19" s="3" t="inlineStr"/>
      <c r="G19" s="9" t="inlineStr">
        <is>
          <t>Corpus snapshot</t>
        </is>
      </c>
      <c r="H19" s="3" t="inlineStr"/>
      <c r="I19" s="3" t="n"/>
      <c r="J19" s="3" t="n"/>
    </row>
    <row r="20">
      <c r="A20" s="8" t="inlineStr">
        <is>
          <t>Retrieval set review</t>
        </is>
      </c>
      <c r="B20" s="3" t="n"/>
      <c r="C20" s="3" t="n"/>
      <c r="D20" s="3" t="n"/>
      <c r="E20" s="3" t="n"/>
      <c r="F20" s="3" t="n"/>
      <c r="G20" s="3" t="n"/>
      <c r="H20" s="3" t="n"/>
      <c r="I20" s="3" t="n"/>
      <c r="J20" s="3" t="n"/>
    </row>
    <row r="21">
      <c r="A21" s="11" t="inlineStr">
        <is>
          <t>Rank</t>
        </is>
      </c>
      <c r="B21" s="11" t="inlineStr">
        <is>
          <t>Retrieved source</t>
        </is>
      </c>
      <c r="C21" s="11" t="inlineStr">
        <is>
          <t>Source type</t>
        </is>
      </c>
      <c r="D21" s="11" t="inlineStr">
        <is>
          <t>Jurisdiction</t>
        </is>
      </c>
      <c r="E21" s="11" t="inlineStr">
        <is>
          <t>URL / Document ID</t>
        </is>
      </c>
      <c r="F21" s="11" t="inlineStr">
        <is>
          <t>Returned by engine?</t>
        </is>
      </c>
      <c r="G21" s="11" t="inlineStr">
        <is>
          <t>Required source?</t>
        </is>
      </c>
      <c r="H21" s="11" t="inlineStr">
        <is>
          <t>Trap?</t>
        </is>
      </c>
      <c r="I21" s="11" t="inlineStr">
        <is>
          <t>Expert verdict</t>
        </is>
      </c>
      <c r="J21" s="11" t="inlineStr">
        <is>
          <t>Notes</t>
        </is>
      </c>
    </row>
    <row r="22" ht="44" customHeight="1">
      <c r="A22" s="4" t="n">
        <v>1</v>
      </c>
      <c r="B22" s="4" t="n"/>
      <c r="C22" s="4" t="n"/>
      <c r="D22" s="4" t="n"/>
      <c r="E22" s="4" t="n"/>
      <c r="F22" s="4" t="n"/>
      <c r="G22" s="4" t="n"/>
      <c r="H22" s="4" t="n"/>
      <c r="I22" s="4" t="n"/>
      <c r="J22" s="4" t="n"/>
    </row>
    <row r="23" ht="44" customHeight="1">
      <c r="A23" s="4" t="n">
        <v>2</v>
      </c>
      <c r="B23" s="4" t="n"/>
      <c r="C23" s="4" t="n"/>
      <c r="D23" s="4" t="n"/>
      <c r="E23" s="4" t="n"/>
      <c r="F23" s="4" t="n"/>
      <c r="G23" s="4" t="n"/>
      <c r="H23" s="4" t="n"/>
      <c r="I23" s="4" t="n"/>
      <c r="J23" s="4" t="n"/>
    </row>
    <row r="24" ht="44" customHeight="1">
      <c r="A24" s="4" t="n">
        <v>3</v>
      </c>
      <c r="B24" s="4" t="n"/>
      <c r="C24" s="4" t="n"/>
      <c r="D24" s="4" t="n"/>
      <c r="E24" s="4" t="n"/>
      <c r="F24" s="4" t="n"/>
      <c r="G24" s="4" t="n"/>
      <c r="H24" s="4" t="n"/>
      <c r="I24" s="4" t="n"/>
      <c r="J24" s="4" t="n"/>
    </row>
    <row r="25" ht="44" customHeight="1">
      <c r="A25" s="4" t="n">
        <v>4</v>
      </c>
      <c r="B25" s="4" t="n"/>
      <c r="C25" s="4" t="n"/>
      <c r="D25" s="4" t="n"/>
      <c r="E25" s="4" t="n"/>
      <c r="F25" s="4" t="n"/>
      <c r="G25" s="4" t="n"/>
      <c r="H25" s="4" t="n"/>
      <c r="I25" s="4" t="n"/>
      <c r="J25" s="4" t="n"/>
    </row>
    <row r="26" ht="44" customHeight="1">
      <c r="A26" s="4" t="n">
        <v>5</v>
      </c>
      <c r="B26" s="4" t="n"/>
      <c r="C26" s="4" t="n"/>
      <c r="D26" s="4" t="n"/>
      <c r="E26" s="4" t="n"/>
      <c r="F26" s="4" t="n"/>
      <c r="G26" s="4" t="n"/>
      <c r="H26" s="4" t="n"/>
      <c r="I26" s="4" t="n"/>
      <c r="J26" s="4" t="n"/>
    </row>
    <row r="27" ht="44" customHeight="1">
      <c r="A27" s="4" t="n">
        <v>6</v>
      </c>
      <c r="B27" s="4" t="n"/>
      <c r="C27" s="4" t="n"/>
      <c r="D27" s="4" t="n"/>
      <c r="E27" s="4" t="n"/>
      <c r="F27" s="4" t="n"/>
      <c r="G27" s="4" t="n"/>
      <c r="H27" s="4" t="n"/>
      <c r="I27" s="4" t="n"/>
      <c r="J27" s="4" t="n"/>
    </row>
    <row r="28" ht="44" customHeight="1">
      <c r="A28" s="4" t="n">
        <v>7</v>
      </c>
      <c r="B28" s="4" t="n"/>
      <c r="C28" s="4" t="n"/>
      <c r="D28" s="4" t="n"/>
      <c r="E28" s="4" t="n"/>
      <c r="F28" s="4" t="n"/>
      <c r="G28" s="4" t="n"/>
      <c r="H28" s="4" t="n"/>
      <c r="I28" s="4" t="n"/>
      <c r="J28" s="4" t="n"/>
    </row>
    <row r="29" ht="44" customHeight="1">
      <c r="A29" s="4" t="n">
        <v>8</v>
      </c>
      <c r="B29" s="4" t="n"/>
      <c r="C29" s="4" t="n"/>
      <c r="D29" s="4" t="n"/>
      <c r="E29" s="4" t="n"/>
      <c r="F29" s="4" t="n"/>
      <c r="G29" s="4" t="n"/>
      <c r="H29" s="4" t="n"/>
      <c r="I29" s="4" t="n"/>
      <c r="J29" s="4" t="n"/>
    </row>
    <row r="30" ht="44" customHeight="1">
      <c r="A30" s="4" t="n">
        <v>9</v>
      </c>
      <c r="B30" s="4" t="n"/>
      <c r="C30" s="4" t="n"/>
      <c r="D30" s="4" t="n"/>
      <c r="E30" s="4" t="n"/>
      <c r="F30" s="4" t="n"/>
      <c r="G30" s="4" t="n"/>
      <c r="H30" s="4" t="n"/>
      <c r="I30" s="4" t="n"/>
      <c r="J30" s="4" t="n"/>
    </row>
    <row r="31" ht="44" customHeight="1">
      <c r="A31" s="4" t="n">
        <v>10</v>
      </c>
      <c r="B31" s="4" t="n"/>
      <c r="C31" s="4" t="n"/>
      <c r="D31" s="4" t="n"/>
      <c r="E31" s="4" t="n"/>
      <c r="F31" s="4" t="n"/>
      <c r="G31" s="4" t="n"/>
      <c r="H31" s="4" t="n"/>
      <c r="I31" s="4" t="n"/>
      <c r="J31" s="4" t="n"/>
    </row>
    <row r="32" ht="44" customHeight="1">
      <c r="A32" s="4" t="n">
        <v>11</v>
      </c>
      <c r="B32" s="4" t="n"/>
      <c r="C32" s="4" t="n"/>
      <c r="D32" s="4" t="n"/>
      <c r="E32" s="4" t="n"/>
      <c r="F32" s="4" t="n"/>
      <c r="G32" s="4" t="n"/>
      <c r="H32" s="4" t="n"/>
      <c r="I32" s="4" t="n"/>
      <c r="J32" s="4" t="n"/>
    </row>
    <row r="33" ht="44" customHeight="1">
      <c r="A33" s="4" t="n">
        <v>12</v>
      </c>
      <c r="B33" s="4" t="n"/>
      <c r="C33" s="4" t="n"/>
      <c r="D33" s="4" t="n"/>
      <c r="E33" s="4" t="n"/>
      <c r="F33" s="4" t="n"/>
      <c r="G33" s="4" t="n"/>
      <c r="H33" s="4" t="n"/>
      <c r="I33" s="4" t="n"/>
      <c r="J33" s="4" t="n"/>
    </row>
    <row r="34" ht="44" customHeight="1">
      <c r="A34" s="4" t="n">
        <v>13</v>
      </c>
      <c r="B34" s="4" t="n"/>
      <c r="C34" s="4" t="n"/>
      <c r="D34" s="4" t="n"/>
      <c r="E34" s="4" t="n"/>
      <c r="F34" s="4" t="n"/>
      <c r="G34" s="4" t="n"/>
      <c r="H34" s="4" t="n"/>
      <c r="I34" s="4" t="n"/>
      <c r="J34" s="4" t="n"/>
    </row>
    <row r="35" ht="44" customHeight="1">
      <c r="A35" s="4" t="n">
        <v>14</v>
      </c>
      <c r="B35" s="4" t="n"/>
      <c r="C35" s="4" t="n"/>
      <c r="D35" s="4" t="n"/>
      <c r="E35" s="4" t="n"/>
      <c r="F35" s="4" t="n"/>
      <c r="G35" s="4" t="n"/>
      <c r="H35" s="4" t="n"/>
      <c r="I35" s="4" t="n"/>
      <c r="J35" s="4" t="n"/>
    </row>
    <row r="36" ht="44" customHeight="1">
      <c r="A36" s="4" t="n">
        <v>15</v>
      </c>
      <c r="B36" s="4" t="n"/>
      <c r="C36" s="4" t="n"/>
      <c r="D36" s="4" t="n"/>
      <c r="E36" s="4" t="n"/>
      <c r="F36" s="4" t="n"/>
      <c r="G36" s="4" t="n"/>
      <c r="H36" s="4" t="n"/>
      <c r="I36" s="4" t="n"/>
      <c r="J36" s="4" t="n"/>
    </row>
    <row r="37">
      <c r="A37" s="3" t="n"/>
      <c r="B37" s="3" t="n"/>
      <c r="C37" s="3" t="n"/>
      <c r="D37" s="3" t="n"/>
      <c r="E37" s="3" t="n"/>
      <c r="F37" s="3" t="n"/>
      <c r="G37" s="3" t="n"/>
      <c r="H37" s="3" t="n"/>
      <c r="I37" s="3" t="n"/>
      <c r="J37" s="3" t="n"/>
    </row>
    <row r="38">
      <c r="A38" s="8" t="inlineStr">
        <is>
          <t>Claim-by-claim review</t>
        </is>
      </c>
      <c r="B38" s="3" t="n"/>
      <c r="C38" s="3" t="n"/>
      <c r="D38" s="3" t="n"/>
      <c r="E38" s="3" t="n"/>
      <c r="F38" s="3" t="n"/>
      <c r="G38" s="3" t="n"/>
      <c r="H38" s="3" t="n"/>
      <c r="I38" s="3" t="n"/>
      <c r="J38" s="3" t="n"/>
    </row>
    <row r="39">
      <c r="A39" s="11" t="inlineStr">
        <is>
          <t>Claim ID</t>
        </is>
      </c>
      <c r="B39" s="11" t="inlineStr">
        <is>
          <t>Claim from answer</t>
        </is>
      </c>
      <c r="C39" s="11" t="inlineStr">
        <is>
          <t>Citation used</t>
        </is>
      </c>
      <c r="D39" s="11" t="inlineStr">
        <is>
          <t>Expert verdict</t>
        </is>
      </c>
      <c r="E39" s="11" t="inlineStr">
        <is>
          <t>Issue type</t>
        </is>
      </c>
      <c r="F39" s="11" t="inlineStr">
        <is>
          <t>Cited passage / source note</t>
        </is>
      </c>
      <c r="G39" s="11" t="inlineStr">
        <is>
          <t>Required fix / comment</t>
        </is>
      </c>
      <c r="H39" s="11" t="inlineStr">
        <is>
          <t>Reviewer</t>
        </is>
      </c>
      <c r="I39" s="11" t="n"/>
      <c r="J39" s="11" t="n"/>
    </row>
    <row r="40" ht="54" customHeight="1">
      <c r="A40" s="4" t="n">
        <v>1</v>
      </c>
      <c r="B40" s="4" t="n"/>
      <c r="C40" s="4" t="n"/>
      <c r="D40" s="4" t="n"/>
      <c r="E40" s="4" t="n"/>
      <c r="F40" s="4" t="n"/>
      <c r="G40" s="4" t="n"/>
      <c r="H40" s="4" t="n"/>
      <c r="I40" s="3" t="n"/>
      <c r="J40" s="3" t="n"/>
    </row>
    <row r="41" ht="54" customHeight="1">
      <c r="A41" s="4" t="n">
        <v>2</v>
      </c>
      <c r="B41" s="4" t="n"/>
      <c r="C41" s="4" t="n"/>
      <c r="D41" s="4" t="n"/>
      <c r="E41" s="4" t="n"/>
      <c r="F41" s="4" t="n"/>
      <c r="G41" s="4" t="n"/>
      <c r="H41" s="4" t="n"/>
      <c r="I41" s="3" t="n"/>
      <c r="J41" s="3" t="n"/>
    </row>
    <row r="42" ht="54" customHeight="1">
      <c r="A42" s="4" t="n">
        <v>3</v>
      </c>
      <c r="B42" s="4" t="n"/>
      <c r="C42" s="4" t="n"/>
      <c r="D42" s="4" t="n"/>
      <c r="E42" s="4" t="n"/>
      <c r="F42" s="4" t="n"/>
      <c r="G42" s="4" t="n"/>
      <c r="H42" s="4" t="n"/>
      <c r="I42" s="3" t="n"/>
      <c r="J42" s="3" t="n"/>
    </row>
    <row r="43" ht="54" customHeight="1">
      <c r="A43" s="4" t="n">
        <v>4</v>
      </c>
      <c r="B43" s="4" t="n"/>
      <c r="C43" s="4" t="n"/>
      <c r="D43" s="4" t="n"/>
      <c r="E43" s="4" t="n"/>
      <c r="F43" s="4" t="n"/>
      <c r="G43" s="4" t="n"/>
      <c r="H43" s="4" t="n"/>
      <c r="I43" s="3" t="n"/>
      <c r="J43" s="3" t="n"/>
    </row>
    <row r="44" ht="54" customHeight="1">
      <c r="A44" s="4" t="n">
        <v>5</v>
      </c>
      <c r="B44" s="4" t="n"/>
      <c r="C44" s="4" t="n"/>
      <c r="D44" s="4" t="n"/>
      <c r="E44" s="4" t="n"/>
      <c r="F44" s="4" t="n"/>
      <c r="G44" s="4" t="n"/>
      <c r="H44" s="4" t="n"/>
      <c r="I44" s="3" t="n"/>
      <c r="J44" s="3" t="n"/>
    </row>
    <row r="45" ht="54" customHeight="1">
      <c r="A45" s="4" t="n">
        <v>6</v>
      </c>
      <c r="B45" s="4" t="n"/>
      <c r="C45" s="4" t="n"/>
      <c r="D45" s="4" t="n"/>
      <c r="E45" s="4" t="n"/>
      <c r="F45" s="4" t="n"/>
      <c r="G45" s="4" t="n"/>
      <c r="H45" s="4" t="n"/>
      <c r="I45" s="3" t="n"/>
      <c r="J45" s="3" t="n"/>
    </row>
    <row r="46" ht="54" customHeight="1">
      <c r="A46" s="4" t="n">
        <v>7</v>
      </c>
      <c r="B46" s="4" t="n"/>
      <c r="C46" s="4" t="n"/>
      <c r="D46" s="4" t="n"/>
      <c r="E46" s="4" t="n"/>
      <c r="F46" s="4" t="n"/>
      <c r="G46" s="4" t="n"/>
      <c r="H46" s="4" t="n"/>
      <c r="I46" s="3" t="n"/>
      <c r="J46" s="3" t="n"/>
    </row>
    <row r="47" ht="54" customHeight="1">
      <c r="A47" s="4" t="n">
        <v>8</v>
      </c>
      <c r="B47" s="4" t="n"/>
      <c r="C47" s="4" t="n"/>
      <c r="D47" s="4" t="n"/>
      <c r="E47" s="4" t="n"/>
      <c r="F47" s="4" t="n"/>
      <c r="G47" s="4" t="n"/>
      <c r="H47" s="4" t="n"/>
      <c r="I47" s="3" t="n"/>
      <c r="J47" s="3" t="n"/>
    </row>
    <row r="48" ht="54" customHeight="1">
      <c r="A48" s="4" t="n">
        <v>9</v>
      </c>
      <c r="B48" s="4" t="n"/>
      <c r="C48" s="4" t="n"/>
      <c r="D48" s="4" t="n"/>
      <c r="E48" s="4" t="n"/>
      <c r="F48" s="4" t="n"/>
      <c r="G48" s="4" t="n"/>
      <c r="H48" s="4" t="n"/>
      <c r="I48" s="3" t="n"/>
      <c r="J48" s="3" t="n"/>
    </row>
    <row r="49" ht="54" customHeight="1">
      <c r="A49" s="4" t="n">
        <v>10</v>
      </c>
      <c r="B49" s="4" t="n"/>
      <c r="C49" s="4" t="n"/>
      <c r="D49" s="4" t="n"/>
      <c r="E49" s="4" t="n"/>
      <c r="F49" s="4" t="n"/>
      <c r="G49" s="4" t="n"/>
      <c r="H49" s="4" t="n"/>
      <c r="I49" s="3" t="n"/>
      <c r="J49" s="3" t="n"/>
    </row>
    <row r="50" ht="54" customHeight="1">
      <c r="A50" s="4" t="n">
        <v>11</v>
      </c>
      <c r="B50" s="4" t="n"/>
      <c r="C50" s="4" t="n"/>
      <c r="D50" s="4" t="n"/>
      <c r="E50" s="4" t="n"/>
      <c r="F50" s="4" t="n"/>
      <c r="G50" s="4" t="n"/>
      <c r="H50" s="4" t="n"/>
      <c r="I50" s="3" t="n"/>
      <c r="J50" s="3" t="n"/>
    </row>
    <row r="51" ht="54" customHeight="1">
      <c r="A51" s="4" t="n">
        <v>12</v>
      </c>
      <c r="B51" s="4" t="n"/>
      <c r="C51" s="4" t="n"/>
      <c r="D51" s="4" t="n"/>
      <c r="E51" s="4" t="n"/>
      <c r="F51" s="4" t="n"/>
      <c r="G51" s="4" t="n"/>
      <c r="H51" s="4" t="n"/>
      <c r="I51" s="3" t="n"/>
      <c r="J51" s="3" t="n"/>
    </row>
    <row r="52" ht="54" customHeight="1">
      <c r="A52" s="4" t="n">
        <v>13</v>
      </c>
      <c r="B52" s="4" t="n"/>
      <c r="C52" s="4" t="n"/>
      <c r="D52" s="4" t="n"/>
      <c r="E52" s="4" t="n"/>
      <c r="F52" s="4" t="n"/>
      <c r="G52" s="4" t="n"/>
      <c r="H52" s="4" t="n"/>
      <c r="I52" s="3" t="n"/>
      <c r="J52" s="3" t="n"/>
    </row>
    <row r="53" ht="54" customHeight="1">
      <c r="A53" s="4" t="n">
        <v>14</v>
      </c>
      <c r="B53" s="4" t="n"/>
      <c r="C53" s="4" t="n"/>
      <c r="D53" s="4" t="n"/>
      <c r="E53" s="4" t="n"/>
      <c r="F53" s="4" t="n"/>
      <c r="G53" s="4" t="n"/>
      <c r="H53" s="4" t="n"/>
      <c r="I53" s="3" t="n"/>
      <c r="J53" s="3" t="n"/>
    </row>
    <row r="54" ht="54" customHeight="1">
      <c r="A54" s="4" t="n">
        <v>15</v>
      </c>
      <c r="B54" s="4" t="n"/>
      <c r="C54" s="4" t="n"/>
      <c r="D54" s="4" t="n"/>
      <c r="E54" s="4" t="n"/>
      <c r="F54" s="4" t="n"/>
      <c r="G54" s="4" t="n"/>
      <c r="H54" s="4" t="n"/>
      <c r="I54" s="3" t="n"/>
      <c r="J54" s="3" t="n"/>
    </row>
    <row r="55" ht="54" customHeight="1">
      <c r="A55" s="4" t="n">
        <v>16</v>
      </c>
      <c r="B55" s="4" t="n"/>
      <c r="C55" s="4" t="n"/>
      <c r="D55" s="4" t="n"/>
      <c r="E55" s="4" t="n"/>
      <c r="F55" s="4" t="n"/>
      <c r="G55" s="4" t="n"/>
      <c r="H55" s="4" t="n"/>
      <c r="I55" s="3" t="n"/>
      <c r="J55" s="3" t="n"/>
    </row>
    <row r="56" ht="54" customHeight="1">
      <c r="A56" s="4" t="n">
        <v>17</v>
      </c>
      <c r="B56" s="4" t="n"/>
      <c r="C56" s="4" t="n"/>
      <c r="D56" s="4" t="n"/>
      <c r="E56" s="4" t="n"/>
      <c r="F56" s="4" t="n"/>
      <c r="G56" s="4" t="n"/>
      <c r="H56" s="4" t="n"/>
      <c r="I56" s="3" t="n"/>
      <c r="J56" s="3" t="n"/>
    </row>
    <row r="57" ht="54" customHeight="1">
      <c r="A57" s="4" t="n">
        <v>18</v>
      </c>
      <c r="B57" s="4" t="n"/>
      <c r="C57" s="4" t="n"/>
      <c r="D57" s="4" t="n"/>
      <c r="E57" s="4" t="n"/>
      <c r="F57" s="4" t="n"/>
      <c r="G57" s="4" t="n"/>
      <c r="H57" s="4" t="n"/>
      <c r="I57" s="3" t="n"/>
      <c r="J57" s="3" t="n"/>
    </row>
    <row r="58" ht="54" customHeight="1">
      <c r="A58" s="4" t="n">
        <v>19</v>
      </c>
      <c r="B58" s="4" t="n"/>
      <c r="C58" s="4" t="n"/>
      <c r="D58" s="4" t="n"/>
      <c r="E58" s="4" t="n"/>
      <c r="F58" s="4" t="n"/>
      <c r="G58" s="4" t="n"/>
      <c r="H58" s="4" t="n"/>
      <c r="I58" s="3" t="n"/>
      <c r="J58" s="3" t="n"/>
    </row>
    <row r="59" ht="54" customHeight="1">
      <c r="A59" s="4" t="n">
        <v>20</v>
      </c>
      <c r="B59" s="4" t="n"/>
      <c r="C59" s="4" t="n"/>
      <c r="D59" s="4" t="n"/>
      <c r="E59" s="4" t="n"/>
      <c r="F59" s="4" t="n"/>
      <c r="G59" s="4" t="n"/>
      <c r="H59" s="4" t="n"/>
      <c r="I59" s="3" t="n"/>
      <c r="J59" s="3" t="n"/>
    </row>
    <row r="60">
      <c r="A60" s="3" t="n"/>
      <c r="B60" s="3" t="n"/>
      <c r="C60" s="3" t="n"/>
      <c r="D60" s="3" t="n"/>
      <c r="E60" s="3" t="n"/>
      <c r="F60" s="3" t="n"/>
      <c r="G60" s="3" t="n"/>
      <c r="H60" s="3" t="n"/>
      <c r="I60" s="3" t="n"/>
      <c r="J60" s="3" t="n"/>
    </row>
    <row r="61">
      <c r="A61" s="8" t="inlineStr">
        <is>
          <t>Final expert verdict</t>
        </is>
      </c>
      <c r="B61" s="3" t="n"/>
      <c r="C61" s="3" t="n"/>
      <c r="D61" s="3" t="n"/>
      <c r="E61" s="3" t="n"/>
      <c r="F61" s="3" t="n"/>
      <c r="G61" s="3" t="n"/>
      <c r="H61" s="3" t="n"/>
      <c r="I61" s="3" t="n"/>
      <c r="J61" s="3" t="n"/>
    </row>
    <row r="62">
      <c r="A62" s="12" t="inlineStr">
        <is>
          <t>Is the answer acceptable?</t>
        </is>
      </c>
      <c r="B62" s="4" t="inlineStr"/>
      <c r="C62" s="4" t="n"/>
      <c r="D62" s="4" t="n"/>
      <c r="E62" s="4" t="n"/>
      <c r="F62" s="4" t="n"/>
      <c r="G62" s="4" t="n"/>
      <c r="H62" s="4" t="n"/>
      <c r="I62" s="3" t="n"/>
      <c r="J62" s="3" t="n"/>
    </row>
    <row r="63" ht="54" customHeight="1">
      <c r="A63" s="12" t="inlineStr">
        <is>
          <t>Overall comment / required fixes</t>
        </is>
      </c>
      <c r="B63" s="4" t="n"/>
      <c r="C63" s="4" t="n"/>
      <c r="D63" s="4" t="n"/>
      <c r="E63" s="4" t="n"/>
      <c r="F63" s="4" t="n"/>
      <c r="G63" s="4" t="n"/>
      <c r="H63" s="4" t="n"/>
      <c r="I63" s="3" t="n"/>
      <c r="J63" s="3" t="n"/>
    </row>
    <row r="64">
      <c r="A64" s="4" t="n"/>
      <c r="B64" s="4" t="n"/>
      <c r="C64" s="4" t="n"/>
      <c r="D64" s="4" t="n"/>
      <c r="E64" s="4" t="n"/>
      <c r="F64" s="4" t="n"/>
      <c r="G64" s="4" t="n"/>
      <c r="H64" s="4" t="n"/>
      <c r="I64" s="3" t="n"/>
      <c r="J64" s="3" t="n"/>
    </row>
    <row r="65">
      <c r="A65" s="12" t="inlineStr">
        <is>
          <t>Missing key sources?</t>
        </is>
      </c>
      <c r="B65" s="4" t="n"/>
      <c r="C65" s="4" t="n"/>
      <c r="D65" s="4" t="n"/>
      <c r="E65" s="4" t="n"/>
      <c r="F65" s="4" t="n"/>
      <c r="G65" s="4" t="n"/>
      <c r="H65" s="4" t="n"/>
      <c r="I65" s="3" t="n"/>
      <c r="J65" s="3" t="n"/>
    </row>
    <row r="66">
      <c r="A66" s="12" t="inlineStr">
        <is>
          <t>Review completed?</t>
        </is>
      </c>
      <c r="B66" s="4" t="inlineStr"/>
      <c r="C66" s="4" t="n"/>
      <c r="D66" s="4" t="n"/>
      <c r="E66" s="4" t="n"/>
      <c r="F66" s="4" t="n"/>
      <c r="G66" s="4" t="n"/>
      <c r="H66" s="4" t="n"/>
      <c r="I66" s="3" t="n"/>
      <c r="J66" s="3" t="n"/>
    </row>
    <row r="67">
      <c r="A67" s="12" t="inlineStr">
        <is>
          <t>Reviewer</t>
        </is>
      </c>
      <c r="B67" s="4" t="n"/>
      <c r="C67" s="12" t="inlineStr">
        <is>
          <t>Review date</t>
        </is>
      </c>
      <c r="D67" s="5" t="inlineStr"/>
      <c r="E67" s="4" t="n"/>
      <c r="F67" s="4" t="n"/>
      <c r="G67" s="4" t="n"/>
      <c r="H67" s="4" t="n"/>
      <c r="I67" s="3" t="n"/>
      <c r="J67" s="3" t="n"/>
    </row>
    <row r="68">
      <c r="A68" s="3" t="n"/>
      <c r="B68" s="3" t="n"/>
      <c r="C68" s="3" t="n"/>
      <c r="D68" s="3" t="n"/>
      <c r="E68" s="3" t="n"/>
      <c r="F68" s="3" t="n"/>
      <c r="G68" s="3" t="n"/>
      <c r="H68" s="3" t="n"/>
      <c r="I68" s="3" t="n"/>
      <c r="J68" s="3" t="n"/>
    </row>
    <row r="69">
      <c r="A69" s="8" t="inlineStr">
        <is>
          <t>Original source notes</t>
        </is>
      </c>
      <c r="B69" s="3" t="n"/>
      <c r="C69" s="3" t="n"/>
      <c r="D69" s="3" t="n"/>
      <c r="E69" s="3" t="n"/>
      <c r="F69" s="3" t="n"/>
      <c r="G69" s="3" t="n"/>
      <c r="H69" s="3" t="n"/>
      <c r="I69" s="3" t="n"/>
      <c r="J69" s="3" t="n"/>
    </row>
    <row r="70">
      <c r="A70" s="12" t="inlineStr">
        <is>
          <t>WAB notes</t>
        </is>
      </c>
      <c r="B70" s="4" t="inlineStr">
        <is>
          <t>Your wording, unchanged. We had drafted a wider French question instead — how correspondence between a company and its lawyer is protected, how a seizure of it is contested, and whether the remedy is return, destruction or exclusion from the file. We put yours back because it is sharper. Tell us if you want the wider version, or both.</t>
        </is>
      </c>
      <c r="C70" s="4" t="n"/>
      <c r="D70" s="4" t="n"/>
      <c r="E70" s="4" t="n"/>
      <c r="F70" s="4" t="n"/>
      <c r="G70" s="4" t="n"/>
      <c r="H70" s="4" t="n"/>
      <c r="I70" s="3" t="n"/>
      <c r="J70" s="3" t="n"/>
    </row>
    <row r="71" ht="54" customHeight="1">
      <c r="A71" s="12" t="inlineStr">
        <is>
          <t>Reviewer notes from question approval</t>
        </is>
      </c>
      <c r="B71" s="4" t="inlineStr">
        <is>
          <t>I would keep both, the one we provided and this one too, which i like as because it relies more on the general principles regarding the definition and applicability of legal professional privilege as a legal concept.</t>
        </is>
      </c>
      <c r="C71" s="4" t="n"/>
      <c r="D71" s="4" t="n"/>
      <c r="E71" s="4" t="n"/>
      <c r="F71" s="4" t="n"/>
      <c r="G71" s="4" t="n"/>
      <c r="H71" s="4" t="n"/>
      <c r="I71" s="3" t="n"/>
      <c r="J71" s="3" t="n"/>
    </row>
    <row r="72">
      <c r="A72" s="4" t="n"/>
      <c r="B72" s="4" t="n"/>
      <c r="C72" s="4" t="n"/>
      <c r="D72" s="4" t="n"/>
      <c r="E72" s="4" t="n"/>
      <c r="F72" s="4" t="n"/>
      <c r="G72" s="4" t="n"/>
      <c r="H72" s="4" t="n"/>
      <c r="I72" s="3" t="n"/>
      <c r="J72" s="3" t="n"/>
    </row>
  </sheetData>
  <autoFilter ref="A21:J36"/>
  <mergeCells count="20">
    <mergeCell ref="B65:H65"/>
    <mergeCell ref="B71:H72"/>
    <mergeCell ref="B6:H6"/>
    <mergeCell ref="A20:J20"/>
    <mergeCell ref="A1:H1"/>
    <mergeCell ref="B5:H5"/>
    <mergeCell ref="A61:H61"/>
    <mergeCell ref="A69:H69"/>
    <mergeCell ref="B4:H4"/>
    <mergeCell ref="B62:H62"/>
    <mergeCell ref="B7:H7"/>
    <mergeCell ref="B66:H66"/>
    <mergeCell ref="A3:H3"/>
    <mergeCell ref="A16:H18"/>
    <mergeCell ref="B70:H70"/>
    <mergeCell ref="A14:H14"/>
    <mergeCell ref="B63:H64"/>
    <mergeCell ref="B8:H8"/>
    <mergeCell ref="B10:H12"/>
    <mergeCell ref="A38:H38"/>
  </mergeCells>
  <dataValidations count="9">
    <dataValidation sqref="C22:C36" showDropDown="0" showInputMessage="0" showErrorMessage="0" allowBlank="1" type="list">
      <formula1>=Lists!$F$2:$F$5</formula1>
    </dataValidation>
    <dataValidation sqref="F22:F36" showDropDown="0" showInputMessage="0" showErrorMessage="0" allowBlank="1" type="list">
      <formula1>=Lists!$G$2:$G$4</formula1>
    </dataValidation>
    <dataValidation sqref="G22:G36" showDropDown="0" showInputMessage="0" showErrorMessage="0" allowBlank="1" type="list">
      <formula1>=Lists!$G$2:$G$4</formula1>
    </dataValidation>
    <dataValidation sqref="H22:H36" showDropDown="0" showInputMessage="0" showErrorMessage="0" allowBlank="1" type="list">
      <formula1>=Lists!$G$2:$G$4</formula1>
    </dataValidation>
    <dataValidation sqref="I22:I36" showDropDown="0" showInputMessage="0" showErrorMessage="0" allowBlank="1" type="list">
      <formula1>=Lists!$H$2:$H$6</formula1>
    </dataValidation>
    <dataValidation sqref="D40:D59" showDropDown="0" showInputMessage="0" showErrorMessage="0" allowBlank="1" type="list">
      <formula1>=Lists!$D$2:$D$7</formula1>
    </dataValidation>
    <dataValidation sqref="E40:E59" showDropDown="0" showInputMessage="0" showErrorMessage="0" allowBlank="1" type="list">
      <formula1>=Lists!$E$2:$E$8</formula1>
    </dataValidation>
    <dataValidation sqref="B62" showDropDown="0" showInputMessage="0" showErrorMessage="0" allowBlank="1" type="list">
      <formula1>=Lists!$C$2:$C$4</formula1>
    </dataValidation>
    <dataValidation sqref="B66" showDropDown="0" showInputMessage="0" showErrorMessage="0" allowBlank="1" type="list">
      <formula1>=Lists!$A$2:$A$3</formula1>
    </dataValidation>
  </dataValidations>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J72"/>
  <sheetViews>
    <sheetView showGridLines="0" workbookViewId="0">
      <pane ySplit="21" topLeftCell="A22" activePane="bottomLeft" state="frozen"/>
      <selection pane="bottomLeft" activeCell="A1" sqref="A1"/>
    </sheetView>
  </sheetViews>
  <sheetFormatPr baseColWidth="8" defaultRowHeight="15"/>
  <cols>
    <col width="12" customWidth="1" min="1" max="1"/>
    <col width="34" customWidth="1" min="2" max="2"/>
    <col width="22" customWidth="1" min="3" max="3"/>
    <col width="18" customWidth="1" min="4" max="4"/>
    <col width="20" customWidth="1" min="5" max="5"/>
    <col width="30" customWidth="1" min="6" max="6"/>
    <col width="34" customWidth="1" min="7" max="7"/>
    <col width="18" customWidth="1" min="8" max="8"/>
    <col width="18" customWidth="1" min="9" max="9"/>
    <col width="30" customWidth="1" min="10" max="10"/>
  </cols>
  <sheetData>
    <row r="1" ht="28" customHeight="1">
      <c r="A1" s="6" t="inlineStr">
        <is>
          <t>Q13 — Expert Review</t>
        </is>
      </c>
      <c r="B1" s="3" t="n"/>
      <c r="C1" s="3" t="n"/>
      <c r="D1" s="3" t="n"/>
      <c r="E1" s="3" t="n"/>
      <c r="F1" s="3" t="n"/>
      <c r="G1" s="3" t="n"/>
      <c r="H1" s="3" t="n"/>
      <c r="I1" s="3" t="n"/>
      <c r="J1" s="3" t="n"/>
    </row>
    <row r="2">
      <c r="A2" s="3" t="n"/>
      <c r="B2" s="3" t="n"/>
      <c r="C2" s="3" t="n"/>
      <c r="D2" s="3" t="n"/>
      <c r="E2" s="3" t="n"/>
      <c r="F2" s="3" t="n"/>
      <c r="G2" s="3" t="n"/>
      <c r="H2" s="3" t="n"/>
      <c r="I2" s="3" t="n"/>
      <c r="J2" s="3" t="n"/>
    </row>
    <row r="3">
      <c r="A3" s="8" t="inlineStr">
        <is>
          <t>Question metadata</t>
        </is>
      </c>
      <c r="B3" s="3" t="n"/>
      <c r="C3" s="3" t="n"/>
      <c r="D3" s="3" t="n"/>
      <c r="E3" s="3" t="n"/>
      <c r="F3" s="3" t="n"/>
      <c r="G3" s="3" t="n"/>
      <c r="H3" s="3" t="n"/>
      <c r="I3" s="3" t="n"/>
      <c r="J3" s="3" t="n"/>
    </row>
    <row r="4">
      <c r="A4" s="9" t="inlineStr">
        <is>
          <t>Question ID</t>
        </is>
      </c>
      <c r="B4" s="3" t="n">
        <v>13</v>
      </c>
      <c r="C4" s="3" t="n"/>
      <c r="D4" s="3" t="n"/>
      <c r="E4" s="3" t="n"/>
      <c r="F4" s="3" t="n"/>
      <c r="G4" s="3" t="n"/>
      <c r="H4" s="3" t="n"/>
      <c r="I4" s="3" t="n"/>
      <c r="J4" s="3" t="n"/>
    </row>
    <row r="5">
      <c r="A5" s="9" t="inlineStr">
        <is>
          <t>Topic</t>
        </is>
      </c>
      <c r="B5" s="3" t="inlineStr">
        <is>
          <t>Dawn raids — personal data</t>
        </is>
      </c>
      <c r="C5" s="3" t="n"/>
      <c r="D5" s="3" t="n"/>
      <c r="E5" s="3" t="n"/>
      <c r="F5" s="3" t="n"/>
      <c r="G5" s="3" t="n"/>
      <c r="H5" s="3" t="n"/>
      <c r="I5" s="3" t="n"/>
      <c r="J5" s="3" t="n"/>
    </row>
    <row r="6">
      <c r="A6" s="9" t="inlineStr">
        <is>
          <t>Scope</t>
        </is>
      </c>
      <c r="B6" s="3" t="inlineStr">
        <is>
          <t>France</t>
        </is>
      </c>
      <c r="C6" s="3" t="n"/>
      <c r="D6" s="3" t="n"/>
      <c r="E6" s="3" t="n"/>
      <c r="F6" s="3" t="n"/>
      <c r="G6" s="3" t="n"/>
      <c r="H6" s="3" t="n"/>
      <c r="I6" s="3" t="n"/>
      <c r="J6" s="3" t="n"/>
    </row>
    <row r="7">
      <c r="A7" s="9" t="inlineStr">
        <is>
          <t>Original reviewer</t>
        </is>
      </c>
      <c r="B7" s="3" t="inlineStr">
        <is>
          <t>Carolina</t>
        </is>
      </c>
      <c r="C7" s="3" t="n"/>
      <c r="D7" s="3" t="n"/>
      <c r="E7" s="3" t="n"/>
      <c r="F7" s="3" t="n"/>
      <c r="G7" s="3" t="n"/>
      <c r="H7" s="3" t="n"/>
      <c r="I7" s="3" t="n"/>
      <c r="J7" s="3" t="n"/>
    </row>
    <row r="8">
      <c r="A8" s="9" t="inlineStr">
        <is>
          <t>Original status</t>
        </is>
      </c>
      <c r="B8" s="3" t="inlineStr">
        <is>
          <t>Approved</t>
        </is>
      </c>
      <c r="C8" s="3" t="n"/>
      <c r="D8" s="3" t="n"/>
      <c r="E8" s="3" t="n"/>
      <c r="F8" s="3" t="n"/>
      <c r="G8" s="3" t="n"/>
      <c r="H8" s="3" t="n"/>
      <c r="I8" s="3" t="n"/>
      <c r="J8" s="3" t="n"/>
    </row>
    <row r="9">
      <c r="A9" s="3" t="n"/>
      <c r="B9" s="3" t="n"/>
      <c r="C9" s="3" t="n"/>
      <c r="D9" s="3" t="n"/>
      <c r="E9" s="3" t="n"/>
      <c r="F9" s="3" t="n"/>
      <c r="G9" s="3" t="n"/>
      <c r="H9" s="3" t="n"/>
      <c r="I9" s="3" t="n"/>
      <c r="J9" s="3" t="n"/>
    </row>
    <row r="10" ht="45" customHeight="1">
      <c r="A10" s="9" t="inlineStr">
        <is>
          <t>Question</t>
        </is>
      </c>
      <c r="B10" s="3" t="inlineStr">
        <is>
          <t>Under what conditions must the Competition Authority protect personal data during a dawn raid? Does the GDPR apply? Must documents be sealed on request?</t>
        </is>
      </c>
      <c r="C10" s="3" t="n"/>
      <c r="D10" s="3" t="n"/>
      <c r="E10" s="3" t="n"/>
      <c r="F10" s="3" t="n"/>
      <c r="G10" s="3" t="n"/>
      <c r="H10" s="3" t="n"/>
      <c r="I10" s="3" t="n"/>
      <c r="J10" s="3" t="n"/>
    </row>
    <row r="11">
      <c r="A11" s="3" t="n"/>
      <c r="B11" s="3" t="n"/>
      <c r="C11" s="3" t="n"/>
      <c r="D11" s="3" t="n"/>
      <c r="E11" s="3" t="n"/>
      <c r="F11" s="3" t="n"/>
      <c r="G11" s="3" t="n"/>
      <c r="H11" s="3" t="n"/>
      <c r="I11" s="3" t="n"/>
      <c r="J11" s="3" t="n"/>
    </row>
    <row r="12">
      <c r="A12" s="3" t="n"/>
      <c r="B12" s="3" t="n"/>
      <c r="C12" s="3" t="n"/>
      <c r="D12" s="3" t="n"/>
      <c r="E12" s="3" t="n"/>
      <c r="F12" s="3" t="n"/>
      <c r="G12" s="3" t="n"/>
      <c r="H12" s="3" t="n"/>
      <c r="I12" s="3" t="n"/>
      <c r="J12" s="3" t="n"/>
    </row>
    <row r="13">
      <c r="A13" s="3" t="n"/>
      <c r="B13" s="3" t="n"/>
      <c r="C13" s="3" t="n"/>
      <c r="D13" s="3" t="n"/>
      <c r="E13" s="3" t="n"/>
      <c r="F13" s="3" t="n"/>
      <c r="G13" s="3" t="n"/>
      <c r="H13" s="3" t="n"/>
      <c r="I13" s="3" t="n"/>
      <c r="J13" s="3" t="n"/>
    </row>
    <row r="14">
      <c r="A14" s="8" t="inlineStr">
        <is>
          <t>Generated answer</t>
        </is>
      </c>
      <c r="B14" s="3" t="n"/>
      <c r="C14" s="3" t="n"/>
      <c r="D14" s="3" t="n"/>
      <c r="E14" s="3" t="n"/>
      <c r="F14" s="3" t="n"/>
      <c r="G14" s="3" t="n"/>
      <c r="H14" s="3" t="n"/>
      <c r="I14" s="3" t="n"/>
      <c r="J14" s="3" t="n"/>
    </row>
    <row r="15">
      <c r="A15" s="10" t="inlineStr">
        <is>
          <t>Paste the generated answer below.</t>
        </is>
      </c>
      <c r="B15" s="3" t="n"/>
      <c r="C15" s="3" t="n"/>
      <c r="D15" s="3" t="n"/>
      <c r="E15" s="3" t="n"/>
      <c r="F15" s="3" t="n"/>
      <c r="G15" s="3" t="n"/>
      <c r="H15" s="3" t="n"/>
      <c r="I15" s="3" t="n"/>
      <c r="J15" s="3" t="n"/>
    </row>
    <row r="16" ht="90" customHeight="1">
      <c r="A16" s="3" t="inlineStr"/>
      <c r="B16" s="3" t="n"/>
      <c r="C16" s="3" t="n"/>
      <c r="D16" s="3" t="n"/>
      <c r="E16" s="3" t="n"/>
      <c r="F16" s="3" t="n"/>
      <c r="G16" s="3" t="n"/>
      <c r="H16" s="3" t="n"/>
      <c r="I16" s="3" t="n"/>
      <c r="J16" s="3" t="n"/>
    </row>
    <row r="17" ht="30" customHeight="1">
      <c r="A17" s="3" t="n"/>
      <c r="B17" s="3" t="n"/>
      <c r="C17" s="3" t="n"/>
      <c r="D17" s="3" t="n"/>
      <c r="E17" s="3" t="n"/>
      <c r="F17" s="3" t="n"/>
      <c r="G17" s="3" t="n"/>
      <c r="H17" s="3" t="n"/>
      <c r="I17" s="3" t="n"/>
      <c r="J17" s="3" t="n"/>
    </row>
    <row r="18" ht="30" customHeight="1">
      <c r="A18" s="3" t="n"/>
      <c r="B18" s="3" t="n"/>
      <c r="C18" s="3" t="n"/>
      <c r="D18" s="3" t="n"/>
      <c r="E18" s="3" t="n"/>
      <c r="F18" s="3" t="n"/>
      <c r="G18" s="3" t="n"/>
      <c r="H18" s="3" t="n"/>
      <c r="I18" s="3" t="n"/>
      <c r="J18" s="3" t="n"/>
    </row>
    <row r="19">
      <c r="A19" s="9" t="inlineStr">
        <is>
          <t>Run ID</t>
        </is>
      </c>
      <c r="B19" s="3" t="inlineStr"/>
      <c r="C19" s="9" t="inlineStr">
        <is>
          <t>Run date</t>
        </is>
      </c>
      <c r="D19" s="3" t="inlineStr"/>
      <c r="E19" s="9" t="inlineStr">
        <is>
          <t>Model / prompt version</t>
        </is>
      </c>
      <c r="F19" s="3" t="inlineStr"/>
      <c r="G19" s="9" t="inlineStr">
        <is>
          <t>Corpus snapshot</t>
        </is>
      </c>
      <c r="H19" s="3" t="inlineStr"/>
      <c r="I19" s="3" t="n"/>
      <c r="J19" s="3" t="n"/>
    </row>
    <row r="20">
      <c r="A20" s="8" t="inlineStr">
        <is>
          <t>Retrieval set review</t>
        </is>
      </c>
      <c r="B20" s="3" t="n"/>
      <c r="C20" s="3" t="n"/>
      <c r="D20" s="3" t="n"/>
      <c r="E20" s="3" t="n"/>
      <c r="F20" s="3" t="n"/>
      <c r="G20" s="3" t="n"/>
      <c r="H20" s="3" t="n"/>
      <c r="I20" s="3" t="n"/>
      <c r="J20" s="3" t="n"/>
    </row>
    <row r="21">
      <c r="A21" s="11" t="inlineStr">
        <is>
          <t>Rank</t>
        </is>
      </c>
      <c r="B21" s="11" t="inlineStr">
        <is>
          <t>Retrieved source</t>
        </is>
      </c>
      <c r="C21" s="11" t="inlineStr">
        <is>
          <t>Source type</t>
        </is>
      </c>
      <c r="D21" s="11" t="inlineStr">
        <is>
          <t>Jurisdiction</t>
        </is>
      </c>
      <c r="E21" s="11" t="inlineStr">
        <is>
          <t>URL / Document ID</t>
        </is>
      </c>
      <c r="F21" s="11" t="inlineStr">
        <is>
          <t>Returned by engine?</t>
        </is>
      </c>
      <c r="G21" s="11" t="inlineStr">
        <is>
          <t>Required source?</t>
        </is>
      </c>
      <c r="H21" s="11" t="inlineStr">
        <is>
          <t>Trap?</t>
        </is>
      </c>
      <c r="I21" s="11" t="inlineStr">
        <is>
          <t>Expert verdict</t>
        </is>
      </c>
      <c r="J21" s="11" t="inlineStr">
        <is>
          <t>Notes</t>
        </is>
      </c>
    </row>
    <row r="22" ht="44" customHeight="1">
      <c r="A22" s="4" t="n">
        <v>1</v>
      </c>
      <c r="B22" s="4" t="n"/>
      <c r="C22" s="4" t="n"/>
      <c r="D22" s="4" t="n"/>
      <c r="E22" s="4" t="n"/>
      <c r="F22" s="4" t="n"/>
      <c r="G22" s="4" t="n"/>
      <c r="H22" s="4" t="n"/>
      <c r="I22" s="4" t="n"/>
      <c r="J22" s="4" t="n"/>
    </row>
    <row r="23" ht="44" customHeight="1">
      <c r="A23" s="4" t="n">
        <v>2</v>
      </c>
      <c r="B23" s="4" t="n"/>
      <c r="C23" s="4" t="n"/>
      <c r="D23" s="4" t="n"/>
      <c r="E23" s="4" t="n"/>
      <c r="F23" s="4" t="n"/>
      <c r="G23" s="4" t="n"/>
      <c r="H23" s="4" t="n"/>
      <c r="I23" s="4" t="n"/>
      <c r="J23" s="4" t="n"/>
    </row>
    <row r="24" ht="44" customHeight="1">
      <c r="A24" s="4" t="n">
        <v>3</v>
      </c>
      <c r="B24" s="4" t="n"/>
      <c r="C24" s="4" t="n"/>
      <c r="D24" s="4" t="n"/>
      <c r="E24" s="4" t="n"/>
      <c r="F24" s="4" t="n"/>
      <c r="G24" s="4" t="n"/>
      <c r="H24" s="4" t="n"/>
      <c r="I24" s="4" t="n"/>
      <c r="J24" s="4" t="n"/>
    </row>
    <row r="25" ht="44" customHeight="1">
      <c r="A25" s="4" t="n">
        <v>4</v>
      </c>
      <c r="B25" s="4" t="n"/>
      <c r="C25" s="4" t="n"/>
      <c r="D25" s="4" t="n"/>
      <c r="E25" s="4" t="n"/>
      <c r="F25" s="4" t="n"/>
      <c r="G25" s="4" t="n"/>
      <c r="H25" s="4" t="n"/>
      <c r="I25" s="4" t="n"/>
      <c r="J25" s="4" t="n"/>
    </row>
    <row r="26" ht="44" customHeight="1">
      <c r="A26" s="4" t="n">
        <v>5</v>
      </c>
      <c r="B26" s="4" t="n"/>
      <c r="C26" s="4" t="n"/>
      <c r="D26" s="4" t="n"/>
      <c r="E26" s="4" t="n"/>
      <c r="F26" s="4" t="n"/>
      <c r="G26" s="4" t="n"/>
      <c r="H26" s="4" t="n"/>
      <c r="I26" s="4" t="n"/>
      <c r="J26" s="4" t="n"/>
    </row>
    <row r="27" ht="44" customHeight="1">
      <c r="A27" s="4" t="n">
        <v>6</v>
      </c>
      <c r="B27" s="4" t="n"/>
      <c r="C27" s="4" t="n"/>
      <c r="D27" s="4" t="n"/>
      <c r="E27" s="4" t="n"/>
      <c r="F27" s="4" t="n"/>
      <c r="G27" s="4" t="n"/>
      <c r="H27" s="4" t="n"/>
      <c r="I27" s="4" t="n"/>
      <c r="J27" s="4" t="n"/>
    </row>
    <row r="28" ht="44" customHeight="1">
      <c r="A28" s="4" t="n">
        <v>7</v>
      </c>
      <c r="B28" s="4" t="n"/>
      <c r="C28" s="4" t="n"/>
      <c r="D28" s="4" t="n"/>
      <c r="E28" s="4" t="n"/>
      <c r="F28" s="4" t="n"/>
      <c r="G28" s="4" t="n"/>
      <c r="H28" s="4" t="n"/>
      <c r="I28" s="4" t="n"/>
      <c r="J28" s="4" t="n"/>
    </row>
    <row r="29" ht="44" customHeight="1">
      <c r="A29" s="4" t="n">
        <v>8</v>
      </c>
      <c r="B29" s="4" t="n"/>
      <c r="C29" s="4" t="n"/>
      <c r="D29" s="4" t="n"/>
      <c r="E29" s="4" t="n"/>
      <c r="F29" s="4" t="n"/>
      <c r="G29" s="4" t="n"/>
      <c r="H29" s="4" t="n"/>
      <c r="I29" s="4" t="n"/>
      <c r="J29" s="4" t="n"/>
    </row>
    <row r="30" ht="44" customHeight="1">
      <c r="A30" s="4" t="n">
        <v>9</v>
      </c>
      <c r="B30" s="4" t="n"/>
      <c r="C30" s="4" t="n"/>
      <c r="D30" s="4" t="n"/>
      <c r="E30" s="4" t="n"/>
      <c r="F30" s="4" t="n"/>
      <c r="G30" s="4" t="n"/>
      <c r="H30" s="4" t="n"/>
      <c r="I30" s="4" t="n"/>
      <c r="J30" s="4" t="n"/>
    </row>
    <row r="31" ht="44" customHeight="1">
      <c r="A31" s="4" t="n">
        <v>10</v>
      </c>
      <c r="B31" s="4" t="n"/>
      <c r="C31" s="4" t="n"/>
      <c r="D31" s="4" t="n"/>
      <c r="E31" s="4" t="n"/>
      <c r="F31" s="4" t="n"/>
      <c r="G31" s="4" t="n"/>
      <c r="H31" s="4" t="n"/>
      <c r="I31" s="4" t="n"/>
      <c r="J31" s="4" t="n"/>
    </row>
    <row r="32" ht="44" customHeight="1">
      <c r="A32" s="4" t="n">
        <v>11</v>
      </c>
      <c r="B32" s="4" t="n"/>
      <c r="C32" s="4" t="n"/>
      <c r="D32" s="4" t="n"/>
      <c r="E32" s="4" t="n"/>
      <c r="F32" s="4" t="n"/>
      <c r="G32" s="4" t="n"/>
      <c r="H32" s="4" t="n"/>
      <c r="I32" s="4" t="n"/>
      <c r="J32" s="4" t="n"/>
    </row>
    <row r="33" ht="44" customHeight="1">
      <c r="A33" s="4" t="n">
        <v>12</v>
      </c>
      <c r="B33" s="4" t="n"/>
      <c r="C33" s="4" t="n"/>
      <c r="D33" s="4" t="n"/>
      <c r="E33" s="4" t="n"/>
      <c r="F33" s="4" t="n"/>
      <c r="G33" s="4" t="n"/>
      <c r="H33" s="4" t="n"/>
      <c r="I33" s="4" t="n"/>
      <c r="J33" s="4" t="n"/>
    </row>
    <row r="34" ht="44" customHeight="1">
      <c r="A34" s="4" t="n">
        <v>13</v>
      </c>
      <c r="B34" s="4" t="n"/>
      <c r="C34" s="4" t="n"/>
      <c r="D34" s="4" t="n"/>
      <c r="E34" s="4" t="n"/>
      <c r="F34" s="4" t="n"/>
      <c r="G34" s="4" t="n"/>
      <c r="H34" s="4" t="n"/>
      <c r="I34" s="4" t="n"/>
      <c r="J34" s="4" t="n"/>
    </row>
    <row r="35" ht="44" customHeight="1">
      <c r="A35" s="4" t="n">
        <v>14</v>
      </c>
      <c r="B35" s="4" t="n"/>
      <c r="C35" s="4" t="n"/>
      <c r="D35" s="4" t="n"/>
      <c r="E35" s="4" t="n"/>
      <c r="F35" s="4" t="n"/>
      <c r="G35" s="4" t="n"/>
      <c r="H35" s="4" t="n"/>
      <c r="I35" s="4" t="n"/>
      <c r="J35" s="4" t="n"/>
    </row>
    <row r="36" ht="44" customHeight="1">
      <c r="A36" s="4" t="n">
        <v>15</v>
      </c>
      <c r="B36" s="4" t="n"/>
      <c r="C36" s="4" t="n"/>
      <c r="D36" s="4" t="n"/>
      <c r="E36" s="4" t="n"/>
      <c r="F36" s="4" t="n"/>
      <c r="G36" s="4" t="n"/>
      <c r="H36" s="4" t="n"/>
      <c r="I36" s="4" t="n"/>
      <c r="J36" s="4" t="n"/>
    </row>
    <row r="37">
      <c r="A37" s="3" t="n"/>
      <c r="B37" s="3" t="n"/>
      <c r="C37" s="3" t="n"/>
      <c r="D37" s="3" t="n"/>
      <c r="E37" s="3" t="n"/>
      <c r="F37" s="3" t="n"/>
      <c r="G37" s="3" t="n"/>
      <c r="H37" s="3" t="n"/>
      <c r="I37" s="3" t="n"/>
      <c r="J37" s="3" t="n"/>
    </row>
    <row r="38">
      <c r="A38" s="8" t="inlineStr">
        <is>
          <t>Claim-by-claim review</t>
        </is>
      </c>
      <c r="B38" s="3" t="n"/>
      <c r="C38" s="3" t="n"/>
      <c r="D38" s="3" t="n"/>
      <c r="E38" s="3" t="n"/>
      <c r="F38" s="3" t="n"/>
      <c r="G38" s="3" t="n"/>
      <c r="H38" s="3" t="n"/>
      <c r="I38" s="3" t="n"/>
      <c r="J38" s="3" t="n"/>
    </row>
    <row r="39">
      <c r="A39" s="11" t="inlineStr">
        <is>
          <t>Claim ID</t>
        </is>
      </c>
      <c r="B39" s="11" t="inlineStr">
        <is>
          <t>Claim from answer</t>
        </is>
      </c>
      <c r="C39" s="11" t="inlineStr">
        <is>
          <t>Citation used</t>
        </is>
      </c>
      <c r="D39" s="11" t="inlineStr">
        <is>
          <t>Expert verdict</t>
        </is>
      </c>
      <c r="E39" s="11" t="inlineStr">
        <is>
          <t>Issue type</t>
        </is>
      </c>
      <c r="F39" s="11" t="inlineStr">
        <is>
          <t>Cited passage / source note</t>
        </is>
      </c>
      <c r="G39" s="11" t="inlineStr">
        <is>
          <t>Required fix / comment</t>
        </is>
      </c>
      <c r="H39" s="11" t="inlineStr">
        <is>
          <t>Reviewer</t>
        </is>
      </c>
      <c r="I39" s="11" t="n"/>
      <c r="J39" s="11" t="n"/>
    </row>
    <row r="40" ht="54" customHeight="1">
      <c r="A40" s="4" t="n">
        <v>1</v>
      </c>
      <c r="B40" s="4" t="n"/>
      <c r="C40" s="4" t="n"/>
      <c r="D40" s="4" t="n"/>
      <c r="E40" s="4" t="n"/>
      <c r="F40" s="4" t="n"/>
      <c r="G40" s="4" t="n"/>
      <c r="H40" s="4" t="n"/>
      <c r="I40" s="3" t="n"/>
      <c r="J40" s="3" t="n"/>
    </row>
    <row r="41" ht="54" customHeight="1">
      <c r="A41" s="4" t="n">
        <v>2</v>
      </c>
      <c r="B41" s="4" t="n"/>
      <c r="C41" s="4" t="n"/>
      <c r="D41" s="4" t="n"/>
      <c r="E41" s="4" t="n"/>
      <c r="F41" s="4" t="n"/>
      <c r="G41" s="4" t="n"/>
      <c r="H41" s="4" t="n"/>
      <c r="I41" s="3" t="n"/>
      <c r="J41" s="3" t="n"/>
    </row>
    <row r="42" ht="54" customHeight="1">
      <c r="A42" s="4" t="n">
        <v>3</v>
      </c>
      <c r="B42" s="4" t="n"/>
      <c r="C42" s="4" t="n"/>
      <c r="D42" s="4" t="n"/>
      <c r="E42" s="4" t="n"/>
      <c r="F42" s="4" t="n"/>
      <c r="G42" s="4" t="n"/>
      <c r="H42" s="4" t="n"/>
      <c r="I42" s="3" t="n"/>
      <c r="J42" s="3" t="n"/>
    </row>
    <row r="43" ht="54" customHeight="1">
      <c r="A43" s="4" t="n">
        <v>4</v>
      </c>
      <c r="B43" s="4" t="n"/>
      <c r="C43" s="4" t="n"/>
      <c r="D43" s="4" t="n"/>
      <c r="E43" s="4" t="n"/>
      <c r="F43" s="4" t="n"/>
      <c r="G43" s="4" t="n"/>
      <c r="H43" s="4" t="n"/>
      <c r="I43" s="3" t="n"/>
      <c r="J43" s="3" t="n"/>
    </row>
    <row r="44" ht="54" customHeight="1">
      <c r="A44" s="4" t="n">
        <v>5</v>
      </c>
      <c r="B44" s="4" t="n"/>
      <c r="C44" s="4" t="n"/>
      <c r="D44" s="4" t="n"/>
      <c r="E44" s="4" t="n"/>
      <c r="F44" s="4" t="n"/>
      <c r="G44" s="4" t="n"/>
      <c r="H44" s="4" t="n"/>
      <c r="I44" s="3" t="n"/>
      <c r="J44" s="3" t="n"/>
    </row>
    <row r="45" ht="54" customHeight="1">
      <c r="A45" s="4" t="n">
        <v>6</v>
      </c>
      <c r="B45" s="4" t="n"/>
      <c r="C45" s="4" t="n"/>
      <c r="D45" s="4" t="n"/>
      <c r="E45" s="4" t="n"/>
      <c r="F45" s="4" t="n"/>
      <c r="G45" s="4" t="n"/>
      <c r="H45" s="4" t="n"/>
      <c r="I45" s="3" t="n"/>
      <c r="J45" s="3" t="n"/>
    </row>
    <row r="46" ht="54" customHeight="1">
      <c r="A46" s="4" t="n">
        <v>7</v>
      </c>
      <c r="B46" s="4" t="n"/>
      <c r="C46" s="4" t="n"/>
      <c r="D46" s="4" t="n"/>
      <c r="E46" s="4" t="n"/>
      <c r="F46" s="4" t="n"/>
      <c r="G46" s="4" t="n"/>
      <c r="H46" s="4" t="n"/>
      <c r="I46" s="3" t="n"/>
      <c r="J46" s="3" t="n"/>
    </row>
    <row r="47" ht="54" customHeight="1">
      <c r="A47" s="4" t="n">
        <v>8</v>
      </c>
      <c r="B47" s="4" t="n"/>
      <c r="C47" s="4" t="n"/>
      <c r="D47" s="4" t="n"/>
      <c r="E47" s="4" t="n"/>
      <c r="F47" s="4" t="n"/>
      <c r="G47" s="4" t="n"/>
      <c r="H47" s="4" t="n"/>
      <c r="I47" s="3" t="n"/>
      <c r="J47" s="3" t="n"/>
    </row>
    <row r="48" ht="54" customHeight="1">
      <c r="A48" s="4" t="n">
        <v>9</v>
      </c>
      <c r="B48" s="4" t="n"/>
      <c r="C48" s="4" t="n"/>
      <c r="D48" s="4" t="n"/>
      <c r="E48" s="4" t="n"/>
      <c r="F48" s="4" t="n"/>
      <c r="G48" s="4" t="n"/>
      <c r="H48" s="4" t="n"/>
      <c r="I48" s="3" t="n"/>
      <c r="J48" s="3" t="n"/>
    </row>
    <row r="49" ht="54" customHeight="1">
      <c r="A49" s="4" t="n">
        <v>10</v>
      </c>
      <c r="B49" s="4" t="n"/>
      <c r="C49" s="4" t="n"/>
      <c r="D49" s="4" t="n"/>
      <c r="E49" s="4" t="n"/>
      <c r="F49" s="4" t="n"/>
      <c r="G49" s="4" t="n"/>
      <c r="H49" s="4" t="n"/>
      <c r="I49" s="3" t="n"/>
      <c r="J49" s="3" t="n"/>
    </row>
    <row r="50" ht="54" customHeight="1">
      <c r="A50" s="4" t="n">
        <v>11</v>
      </c>
      <c r="B50" s="4" t="n"/>
      <c r="C50" s="4" t="n"/>
      <c r="D50" s="4" t="n"/>
      <c r="E50" s="4" t="n"/>
      <c r="F50" s="4" t="n"/>
      <c r="G50" s="4" t="n"/>
      <c r="H50" s="4" t="n"/>
      <c r="I50" s="3" t="n"/>
      <c r="J50" s="3" t="n"/>
    </row>
    <row r="51" ht="54" customHeight="1">
      <c r="A51" s="4" t="n">
        <v>12</v>
      </c>
      <c r="B51" s="4" t="n"/>
      <c r="C51" s="4" t="n"/>
      <c r="D51" s="4" t="n"/>
      <c r="E51" s="4" t="n"/>
      <c r="F51" s="4" t="n"/>
      <c r="G51" s="4" t="n"/>
      <c r="H51" s="4" t="n"/>
      <c r="I51" s="3" t="n"/>
      <c r="J51" s="3" t="n"/>
    </row>
    <row r="52" ht="54" customHeight="1">
      <c r="A52" s="4" t="n">
        <v>13</v>
      </c>
      <c r="B52" s="4" t="n"/>
      <c r="C52" s="4" t="n"/>
      <c r="D52" s="4" t="n"/>
      <c r="E52" s="4" t="n"/>
      <c r="F52" s="4" t="n"/>
      <c r="G52" s="4" t="n"/>
      <c r="H52" s="4" t="n"/>
      <c r="I52" s="3" t="n"/>
      <c r="J52" s="3" t="n"/>
    </row>
    <row r="53" ht="54" customHeight="1">
      <c r="A53" s="4" t="n">
        <v>14</v>
      </c>
      <c r="B53" s="4" t="n"/>
      <c r="C53" s="4" t="n"/>
      <c r="D53" s="4" t="n"/>
      <c r="E53" s="4" t="n"/>
      <c r="F53" s="4" t="n"/>
      <c r="G53" s="4" t="n"/>
      <c r="H53" s="4" t="n"/>
      <c r="I53" s="3" t="n"/>
      <c r="J53" s="3" t="n"/>
    </row>
    <row r="54" ht="54" customHeight="1">
      <c r="A54" s="4" t="n">
        <v>15</v>
      </c>
      <c r="B54" s="4" t="n"/>
      <c r="C54" s="4" t="n"/>
      <c r="D54" s="4" t="n"/>
      <c r="E54" s="4" t="n"/>
      <c r="F54" s="4" t="n"/>
      <c r="G54" s="4" t="n"/>
      <c r="H54" s="4" t="n"/>
      <c r="I54" s="3" t="n"/>
      <c r="J54" s="3" t="n"/>
    </row>
    <row r="55" ht="54" customHeight="1">
      <c r="A55" s="4" t="n">
        <v>16</v>
      </c>
      <c r="B55" s="4" t="n"/>
      <c r="C55" s="4" t="n"/>
      <c r="D55" s="4" t="n"/>
      <c r="E55" s="4" t="n"/>
      <c r="F55" s="4" t="n"/>
      <c r="G55" s="4" t="n"/>
      <c r="H55" s="4" t="n"/>
      <c r="I55" s="3" t="n"/>
      <c r="J55" s="3" t="n"/>
    </row>
    <row r="56" ht="54" customHeight="1">
      <c r="A56" s="4" t="n">
        <v>17</v>
      </c>
      <c r="B56" s="4" t="n"/>
      <c r="C56" s="4" t="n"/>
      <c r="D56" s="4" t="n"/>
      <c r="E56" s="4" t="n"/>
      <c r="F56" s="4" t="n"/>
      <c r="G56" s="4" t="n"/>
      <c r="H56" s="4" t="n"/>
      <c r="I56" s="3" t="n"/>
      <c r="J56" s="3" t="n"/>
    </row>
    <row r="57" ht="54" customHeight="1">
      <c r="A57" s="4" t="n">
        <v>18</v>
      </c>
      <c r="B57" s="4" t="n"/>
      <c r="C57" s="4" t="n"/>
      <c r="D57" s="4" t="n"/>
      <c r="E57" s="4" t="n"/>
      <c r="F57" s="4" t="n"/>
      <c r="G57" s="4" t="n"/>
      <c r="H57" s="4" t="n"/>
      <c r="I57" s="3" t="n"/>
      <c r="J57" s="3" t="n"/>
    </row>
    <row r="58" ht="54" customHeight="1">
      <c r="A58" s="4" t="n">
        <v>19</v>
      </c>
      <c r="B58" s="4" t="n"/>
      <c r="C58" s="4" t="n"/>
      <c r="D58" s="4" t="n"/>
      <c r="E58" s="4" t="n"/>
      <c r="F58" s="4" t="n"/>
      <c r="G58" s="4" t="n"/>
      <c r="H58" s="4" t="n"/>
      <c r="I58" s="3" t="n"/>
      <c r="J58" s="3" t="n"/>
    </row>
    <row r="59" ht="54" customHeight="1">
      <c r="A59" s="4" t="n">
        <v>20</v>
      </c>
      <c r="B59" s="4" t="n"/>
      <c r="C59" s="4" t="n"/>
      <c r="D59" s="4" t="n"/>
      <c r="E59" s="4" t="n"/>
      <c r="F59" s="4" t="n"/>
      <c r="G59" s="4" t="n"/>
      <c r="H59" s="4" t="n"/>
      <c r="I59" s="3" t="n"/>
      <c r="J59" s="3" t="n"/>
    </row>
    <row r="60">
      <c r="A60" s="3" t="n"/>
      <c r="B60" s="3" t="n"/>
      <c r="C60" s="3" t="n"/>
      <c r="D60" s="3" t="n"/>
      <c r="E60" s="3" t="n"/>
      <c r="F60" s="3" t="n"/>
      <c r="G60" s="3" t="n"/>
      <c r="H60" s="3" t="n"/>
      <c r="I60" s="3" t="n"/>
      <c r="J60" s="3" t="n"/>
    </row>
    <row r="61">
      <c r="A61" s="8" t="inlineStr">
        <is>
          <t>Final expert verdict</t>
        </is>
      </c>
      <c r="B61" s="3" t="n"/>
      <c r="C61" s="3" t="n"/>
      <c r="D61" s="3" t="n"/>
      <c r="E61" s="3" t="n"/>
      <c r="F61" s="3" t="n"/>
      <c r="G61" s="3" t="n"/>
      <c r="H61" s="3" t="n"/>
      <c r="I61" s="3" t="n"/>
      <c r="J61" s="3" t="n"/>
    </row>
    <row r="62">
      <c r="A62" s="12" t="inlineStr">
        <is>
          <t>Is the answer acceptable?</t>
        </is>
      </c>
      <c r="B62" s="4" t="inlineStr"/>
      <c r="C62" s="4" t="n"/>
      <c r="D62" s="4" t="n"/>
      <c r="E62" s="4" t="n"/>
      <c r="F62" s="4" t="n"/>
      <c r="G62" s="4" t="n"/>
      <c r="H62" s="4" t="n"/>
      <c r="I62" s="3" t="n"/>
      <c r="J62" s="3" t="n"/>
    </row>
    <row r="63" ht="54" customHeight="1">
      <c r="A63" s="12" t="inlineStr">
        <is>
          <t>Overall comment / required fixes</t>
        </is>
      </c>
      <c r="B63" s="4" t="n"/>
      <c r="C63" s="4" t="n"/>
      <c r="D63" s="4" t="n"/>
      <c r="E63" s="4" t="n"/>
      <c r="F63" s="4" t="n"/>
      <c r="G63" s="4" t="n"/>
      <c r="H63" s="4" t="n"/>
      <c r="I63" s="3" t="n"/>
      <c r="J63" s="3" t="n"/>
    </row>
    <row r="64">
      <c r="A64" s="4" t="n"/>
      <c r="B64" s="4" t="n"/>
      <c r="C64" s="4" t="n"/>
      <c r="D64" s="4" t="n"/>
      <c r="E64" s="4" t="n"/>
      <c r="F64" s="4" t="n"/>
      <c r="G64" s="4" t="n"/>
      <c r="H64" s="4" t="n"/>
      <c r="I64" s="3" t="n"/>
      <c r="J64" s="3" t="n"/>
    </row>
    <row r="65">
      <c r="A65" s="12" t="inlineStr">
        <is>
          <t>Missing key sources?</t>
        </is>
      </c>
      <c r="B65" s="4" t="n"/>
      <c r="C65" s="4" t="n"/>
      <c r="D65" s="4" t="n"/>
      <c r="E65" s="4" t="n"/>
      <c r="F65" s="4" t="n"/>
      <c r="G65" s="4" t="n"/>
      <c r="H65" s="4" t="n"/>
      <c r="I65" s="3" t="n"/>
      <c r="J65" s="3" t="n"/>
    </row>
    <row r="66">
      <c r="A66" s="12" t="inlineStr">
        <is>
          <t>Review completed?</t>
        </is>
      </c>
      <c r="B66" s="4" t="inlineStr"/>
      <c r="C66" s="4" t="n"/>
      <c r="D66" s="4" t="n"/>
      <c r="E66" s="4" t="n"/>
      <c r="F66" s="4" t="n"/>
      <c r="G66" s="4" t="n"/>
      <c r="H66" s="4" t="n"/>
      <c r="I66" s="3" t="n"/>
      <c r="J66" s="3" t="n"/>
    </row>
    <row r="67">
      <c r="A67" s="12" t="inlineStr">
        <is>
          <t>Reviewer</t>
        </is>
      </c>
      <c r="B67" s="4" t="n"/>
      <c r="C67" s="12" t="inlineStr">
        <is>
          <t>Review date</t>
        </is>
      </c>
      <c r="D67" s="5" t="inlineStr"/>
      <c r="E67" s="4" t="n"/>
      <c r="F67" s="4" t="n"/>
      <c r="G67" s="4" t="n"/>
      <c r="H67" s="4" t="n"/>
      <c r="I67" s="3" t="n"/>
      <c r="J67" s="3" t="n"/>
    </row>
    <row r="68">
      <c r="A68" s="3" t="n"/>
      <c r="B68" s="3" t="n"/>
      <c r="C68" s="3" t="n"/>
      <c r="D68" s="3" t="n"/>
      <c r="E68" s="3" t="n"/>
      <c r="F68" s="3" t="n"/>
      <c r="G68" s="3" t="n"/>
      <c r="H68" s="3" t="n"/>
      <c r="I68" s="3" t="n"/>
      <c r="J68" s="3" t="n"/>
    </row>
    <row r="69">
      <c r="A69" s="8" t="inlineStr">
        <is>
          <t>Original source notes</t>
        </is>
      </c>
      <c r="B69" s="3" t="n"/>
      <c r="C69" s="3" t="n"/>
      <c r="D69" s="3" t="n"/>
      <c r="E69" s="3" t="n"/>
      <c r="F69" s="3" t="n"/>
      <c r="G69" s="3" t="n"/>
      <c r="H69" s="3" t="n"/>
      <c r="I69" s="3" t="n"/>
      <c r="J69" s="3" t="n"/>
    </row>
    <row r="70">
      <c r="A70" s="12" t="inlineStr">
        <is>
          <t>WAB notes</t>
        </is>
      </c>
      <c r="B70" s="4" t="inlineStr">
        <is>
          <t>Your wording, unchanged.</t>
        </is>
      </c>
      <c r="C70" s="4" t="n"/>
      <c r="D70" s="4" t="n"/>
      <c r="E70" s="4" t="n"/>
      <c r="F70" s="4" t="n"/>
      <c r="G70" s="4" t="n"/>
      <c r="H70" s="4" t="n"/>
      <c r="I70" s="3" t="n"/>
      <c r="J70" s="3" t="n"/>
    </row>
    <row r="71" ht="54" customHeight="1">
      <c r="A71" s="12" t="inlineStr">
        <is>
          <t>Reviewer notes from question approval</t>
        </is>
      </c>
      <c r="B71" s="4" t="inlineStr">
        <is>
          <t>agreed.</t>
        </is>
      </c>
      <c r="C71" s="4" t="n"/>
      <c r="D71" s="4" t="n"/>
      <c r="E71" s="4" t="n"/>
      <c r="F71" s="4" t="n"/>
      <c r="G71" s="4" t="n"/>
      <c r="H71" s="4" t="n"/>
      <c r="I71" s="3" t="n"/>
      <c r="J71" s="3" t="n"/>
    </row>
    <row r="72">
      <c r="A72" s="4" t="n"/>
      <c r="B72" s="4" t="n"/>
      <c r="C72" s="4" t="n"/>
      <c r="D72" s="4" t="n"/>
      <c r="E72" s="4" t="n"/>
      <c r="F72" s="4" t="n"/>
      <c r="G72" s="4" t="n"/>
      <c r="H72" s="4" t="n"/>
      <c r="I72" s="3" t="n"/>
      <c r="J72" s="3" t="n"/>
    </row>
  </sheetData>
  <autoFilter ref="A21:J36"/>
  <mergeCells count="20">
    <mergeCell ref="B65:H65"/>
    <mergeCell ref="B71:H72"/>
    <mergeCell ref="B6:H6"/>
    <mergeCell ref="A20:J20"/>
    <mergeCell ref="A1:H1"/>
    <mergeCell ref="B5:H5"/>
    <mergeCell ref="A61:H61"/>
    <mergeCell ref="A69:H69"/>
    <mergeCell ref="B4:H4"/>
    <mergeCell ref="B62:H62"/>
    <mergeCell ref="B7:H7"/>
    <mergeCell ref="B66:H66"/>
    <mergeCell ref="A3:H3"/>
    <mergeCell ref="A16:H18"/>
    <mergeCell ref="B70:H70"/>
    <mergeCell ref="A14:H14"/>
    <mergeCell ref="B63:H64"/>
    <mergeCell ref="B8:H8"/>
    <mergeCell ref="B10:H12"/>
    <mergeCell ref="A38:H38"/>
  </mergeCells>
  <dataValidations count="9">
    <dataValidation sqref="C22:C36" showDropDown="0" showInputMessage="0" showErrorMessage="0" allowBlank="1" type="list">
      <formula1>=Lists!$F$2:$F$5</formula1>
    </dataValidation>
    <dataValidation sqref="F22:F36" showDropDown="0" showInputMessage="0" showErrorMessage="0" allowBlank="1" type="list">
      <formula1>=Lists!$G$2:$G$4</formula1>
    </dataValidation>
    <dataValidation sqref="G22:G36" showDropDown="0" showInputMessage="0" showErrorMessage="0" allowBlank="1" type="list">
      <formula1>=Lists!$G$2:$G$4</formula1>
    </dataValidation>
    <dataValidation sqref="H22:H36" showDropDown="0" showInputMessage="0" showErrorMessage="0" allowBlank="1" type="list">
      <formula1>=Lists!$G$2:$G$4</formula1>
    </dataValidation>
    <dataValidation sqref="I22:I36" showDropDown="0" showInputMessage="0" showErrorMessage="0" allowBlank="1" type="list">
      <formula1>=Lists!$H$2:$H$6</formula1>
    </dataValidation>
    <dataValidation sqref="D40:D59" showDropDown="0" showInputMessage="0" showErrorMessage="0" allowBlank="1" type="list">
      <formula1>=Lists!$D$2:$D$7</formula1>
    </dataValidation>
    <dataValidation sqref="E40:E59" showDropDown="0" showInputMessage="0" showErrorMessage="0" allowBlank="1" type="list">
      <formula1>=Lists!$E$2:$E$8</formula1>
    </dataValidation>
    <dataValidation sqref="B62" showDropDown="0" showInputMessage="0" showErrorMessage="0" allowBlank="1" type="list">
      <formula1>=Lists!$C$2:$C$4</formula1>
    </dataValidation>
    <dataValidation sqref="B66" showDropDown="0" showInputMessage="0" showErrorMessage="0" allowBlank="1" type="list">
      <formula1>=Lists!$A$2:$A$3</formula1>
    </dataValidation>
  </dataValidations>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J72"/>
  <sheetViews>
    <sheetView showGridLines="0" workbookViewId="0">
      <pane ySplit="21" topLeftCell="A22" activePane="bottomLeft" state="frozen"/>
      <selection pane="bottomLeft" activeCell="A1" sqref="A1"/>
    </sheetView>
  </sheetViews>
  <sheetFormatPr baseColWidth="8" defaultRowHeight="15"/>
  <cols>
    <col width="12" customWidth="1" min="1" max="1"/>
    <col width="34" customWidth="1" min="2" max="2"/>
    <col width="22" customWidth="1" min="3" max="3"/>
    <col width="18" customWidth="1" min="4" max="4"/>
    <col width="20" customWidth="1" min="5" max="5"/>
    <col width="30" customWidth="1" min="6" max="6"/>
    <col width="34" customWidth="1" min="7" max="7"/>
    <col width="18" customWidth="1" min="8" max="8"/>
    <col width="18" customWidth="1" min="9" max="9"/>
    <col width="30" customWidth="1" min="10" max="10"/>
  </cols>
  <sheetData>
    <row r="1" ht="28" customHeight="1">
      <c r="A1" s="6" t="inlineStr">
        <is>
          <t>Q14 — Expert Review</t>
        </is>
      </c>
      <c r="B1" s="3" t="n"/>
      <c r="C1" s="3" t="n"/>
      <c r="D1" s="3" t="n"/>
      <c r="E1" s="3" t="n"/>
      <c r="F1" s="3" t="n"/>
      <c r="G1" s="3" t="n"/>
      <c r="H1" s="3" t="n"/>
      <c r="I1" s="3" t="n"/>
      <c r="J1" s="3" t="n"/>
    </row>
    <row r="2">
      <c r="A2" s="3" t="n"/>
      <c r="B2" s="3" t="n"/>
      <c r="C2" s="3" t="n"/>
      <c r="D2" s="3" t="n"/>
      <c r="E2" s="3" t="n"/>
      <c r="F2" s="3" t="n"/>
      <c r="G2" s="3" t="n"/>
      <c r="H2" s="3" t="n"/>
      <c r="I2" s="3" t="n"/>
      <c r="J2" s="3" t="n"/>
    </row>
    <row r="3">
      <c r="A3" s="8" t="inlineStr">
        <is>
          <t>Question metadata</t>
        </is>
      </c>
      <c r="B3" s="3" t="n"/>
      <c r="C3" s="3" t="n"/>
      <c r="D3" s="3" t="n"/>
      <c r="E3" s="3" t="n"/>
      <c r="F3" s="3" t="n"/>
      <c r="G3" s="3" t="n"/>
      <c r="H3" s="3" t="n"/>
      <c r="I3" s="3" t="n"/>
      <c r="J3" s="3" t="n"/>
    </row>
    <row r="4">
      <c r="A4" s="9" t="inlineStr">
        <is>
          <t>Question ID</t>
        </is>
      </c>
      <c r="B4" s="3" t="n">
        <v>14</v>
      </c>
      <c r="C4" s="3" t="n"/>
      <c r="D4" s="3" t="n"/>
      <c r="E4" s="3" t="n"/>
      <c r="F4" s="3" t="n"/>
      <c r="G4" s="3" t="n"/>
      <c r="H4" s="3" t="n"/>
      <c r="I4" s="3" t="n"/>
      <c r="J4" s="3" t="n"/>
    </row>
    <row r="5">
      <c r="A5" s="9" t="inlineStr">
        <is>
          <t>Topic</t>
        </is>
      </c>
      <c r="B5" s="3" t="inlineStr">
        <is>
          <t>Dawn raids — challenging a seizure</t>
        </is>
      </c>
      <c r="C5" s="3" t="n"/>
      <c r="D5" s="3" t="n"/>
      <c r="E5" s="3" t="n"/>
      <c r="F5" s="3" t="n"/>
      <c r="G5" s="3" t="n"/>
      <c r="H5" s="3" t="n"/>
      <c r="I5" s="3" t="n"/>
      <c r="J5" s="3" t="n"/>
    </row>
    <row r="6">
      <c r="A6" s="9" t="inlineStr">
        <is>
          <t>Scope</t>
        </is>
      </c>
      <c r="B6" s="3" t="inlineStr">
        <is>
          <t>France</t>
        </is>
      </c>
      <c r="C6" s="3" t="n"/>
      <c r="D6" s="3" t="n"/>
      <c r="E6" s="3" t="n"/>
      <c r="F6" s="3" t="n"/>
      <c r="G6" s="3" t="n"/>
      <c r="H6" s="3" t="n"/>
      <c r="I6" s="3" t="n"/>
      <c r="J6" s="3" t="n"/>
    </row>
    <row r="7">
      <c r="A7" s="9" t="inlineStr">
        <is>
          <t>Original reviewer</t>
        </is>
      </c>
      <c r="B7" s="3" t="inlineStr">
        <is>
          <t>Carolina</t>
        </is>
      </c>
      <c r="C7" s="3" t="n"/>
      <c r="D7" s="3" t="n"/>
      <c r="E7" s="3" t="n"/>
      <c r="F7" s="3" t="n"/>
      <c r="G7" s="3" t="n"/>
      <c r="H7" s="3" t="n"/>
      <c r="I7" s="3" t="n"/>
      <c r="J7" s="3" t="n"/>
    </row>
    <row r="8">
      <c r="A8" s="9" t="inlineStr">
        <is>
          <t>Original status</t>
        </is>
      </c>
      <c r="B8" s="3" t="inlineStr">
        <is>
          <t>Approved</t>
        </is>
      </c>
      <c r="C8" s="3" t="n"/>
      <c r="D8" s="3" t="n"/>
      <c r="E8" s="3" t="n"/>
      <c r="F8" s="3" t="n"/>
      <c r="G8" s="3" t="n"/>
      <c r="H8" s="3" t="n"/>
      <c r="I8" s="3" t="n"/>
      <c r="J8" s="3" t="n"/>
    </row>
    <row r="9">
      <c r="A9" s="3" t="n"/>
      <c r="B9" s="3" t="n"/>
      <c r="C9" s="3" t="n"/>
      <c r="D9" s="3" t="n"/>
      <c r="E9" s="3" t="n"/>
      <c r="F9" s="3" t="n"/>
      <c r="G9" s="3" t="n"/>
      <c r="H9" s="3" t="n"/>
      <c r="I9" s="3" t="n"/>
      <c r="J9" s="3" t="n"/>
    </row>
    <row r="10" ht="45" customHeight="1">
      <c r="A10" s="9" t="inlineStr">
        <is>
          <t>Question</t>
        </is>
      </c>
      <c r="B10" s="3" t="inlineStr">
        <is>
          <t>After a dawn raid, can the President of the Court of Appeal be seized in interim proceedings to urgently resolve attorney-client privilege disputes? On what legal basis and under what conditions?</t>
        </is>
      </c>
      <c r="C10" s="3" t="n"/>
      <c r="D10" s="3" t="n"/>
      <c r="E10" s="3" t="n"/>
      <c r="F10" s="3" t="n"/>
      <c r="G10" s="3" t="n"/>
      <c r="H10" s="3" t="n"/>
      <c r="I10" s="3" t="n"/>
      <c r="J10" s="3" t="n"/>
    </row>
    <row r="11">
      <c r="A11" s="3" t="n"/>
      <c r="B11" s="3" t="n"/>
      <c r="C11" s="3" t="n"/>
      <c r="D11" s="3" t="n"/>
      <c r="E11" s="3" t="n"/>
      <c r="F11" s="3" t="n"/>
      <c r="G11" s="3" t="n"/>
      <c r="H11" s="3" t="n"/>
      <c r="I11" s="3" t="n"/>
      <c r="J11" s="3" t="n"/>
    </row>
    <row r="12">
      <c r="A12" s="3" t="n"/>
      <c r="B12" s="3" t="n"/>
      <c r="C12" s="3" t="n"/>
      <c r="D12" s="3" t="n"/>
      <c r="E12" s="3" t="n"/>
      <c r="F12" s="3" t="n"/>
      <c r="G12" s="3" t="n"/>
      <c r="H12" s="3" t="n"/>
      <c r="I12" s="3" t="n"/>
      <c r="J12" s="3" t="n"/>
    </row>
    <row r="13">
      <c r="A13" s="3" t="n"/>
      <c r="B13" s="3" t="n"/>
      <c r="C13" s="3" t="n"/>
      <c r="D13" s="3" t="n"/>
      <c r="E13" s="3" t="n"/>
      <c r="F13" s="3" t="n"/>
      <c r="G13" s="3" t="n"/>
      <c r="H13" s="3" t="n"/>
      <c r="I13" s="3" t="n"/>
      <c r="J13" s="3" t="n"/>
    </row>
    <row r="14">
      <c r="A14" s="8" t="inlineStr">
        <is>
          <t>Generated answer</t>
        </is>
      </c>
      <c r="B14" s="3" t="n"/>
      <c r="C14" s="3" t="n"/>
      <c r="D14" s="3" t="n"/>
      <c r="E14" s="3" t="n"/>
      <c r="F14" s="3" t="n"/>
      <c r="G14" s="3" t="n"/>
      <c r="H14" s="3" t="n"/>
      <c r="I14" s="3" t="n"/>
      <c r="J14" s="3" t="n"/>
    </row>
    <row r="15">
      <c r="A15" s="10" t="inlineStr">
        <is>
          <t>Paste the generated answer below.</t>
        </is>
      </c>
      <c r="B15" s="3" t="n"/>
      <c r="C15" s="3" t="n"/>
      <c r="D15" s="3" t="n"/>
      <c r="E15" s="3" t="n"/>
      <c r="F15" s="3" t="n"/>
      <c r="G15" s="3" t="n"/>
      <c r="H15" s="3" t="n"/>
      <c r="I15" s="3" t="n"/>
      <c r="J15" s="3" t="n"/>
    </row>
    <row r="16" ht="90" customHeight="1">
      <c r="A16" s="3" t="inlineStr"/>
      <c r="B16" s="3" t="n"/>
      <c r="C16" s="3" t="n"/>
      <c r="D16" s="3" t="n"/>
      <c r="E16" s="3" t="n"/>
      <c r="F16" s="3" t="n"/>
      <c r="G16" s="3" t="n"/>
      <c r="H16" s="3" t="n"/>
      <c r="I16" s="3" t="n"/>
      <c r="J16" s="3" t="n"/>
    </row>
    <row r="17" ht="30" customHeight="1">
      <c r="A17" s="3" t="n"/>
      <c r="B17" s="3" t="n"/>
      <c r="C17" s="3" t="n"/>
      <c r="D17" s="3" t="n"/>
      <c r="E17" s="3" t="n"/>
      <c r="F17" s="3" t="n"/>
      <c r="G17" s="3" t="n"/>
      <c r="H17" s="3" t="n"/>
      <c r="I17" s="3" t="n"/>
      <c r="J17" s="3" t="n"/>
    </row>
    <row r="18" ht="30" customHeight="1">
      <c r="A18" s="3" t="n"/>
      <c r="B18" s="3" t="n"/>
      <c r="C18" s="3" t="n"/>
      <c r="D18" s="3" t="n"/>
      <c r="E18" s="3" t="n"/>
      <c r="F18" s="3" t="n"/>
      <c r="G18" s="3" t="n"/>
      <c r="H18" s="3" t="n"/>
      <c r="I18" s="3" t="n"/>
      <c r="J18" s="3" t="n"/>
    </row>
    <row r="19">
      <c r="A19" s="9" t="inlineStr">
        <is>
          <t>Run ID</t>
        </is>
      </c>
      <c r="B19" s="3" t="inlineStr"/>
      <c r="C19" s="9" t="inlineStr">
        <is>
          <t>Run date</t>
        </is>
      </c>
      <c r="D19" s="3" t="inlineStr"/>
      <c r="E19" s="9" t="inlineStr">
        <is>
          <t>Model / prompt version</t>
        </is>
      </c>
      <c r="F19" s="3" t="inlineStr"/>
      <c r="G19" s="9" t="inlineStr">
        <is>
          <t>Corpus snapshot</t>
        </is>
      </c>
      <c r="H19" s="3" t="inlineStr"/>
      <c r="I19" s="3" t="n"/>
      <c r="J19" s="3" t="n"/>
    </row>
    <row r="20">
      <c r="A20" s="8" t="inlineStr">
        <is>
          <t>Retrieval set review</t>
        </is>
      </c>
      <c r="B20" s="3" t="n"/>
      <c r="C20" s="3" t="n"/>
      <c r="D20" s="3" t="n"/>
      <c r="E20" s="3" t="n"/>
      <c r="F20" s="3" t="n"/>
      <c r="G20" s="3" t="n"/>
      <c r="H20" s="3" t="n"/>
      <c r="I20" s="3" t="n"/>
      <c r="J20" s="3" t="n"/>
    </row>
    <row r="21">
      <c r="A21" s="11" t="inlineStr">
        <is>
          <t>Rank</t>
        </is>
      </c>
      <c r="B21" s="11" t="inlineStr">
        <is>
          <t>Retrieved source</t>
        </is>
      </c>
      <c r="C21" s="11" t="inlineStr">
        <is>
          <t>Source type</t>
        </is>
      </c>
      <c r="D21" s="11" t="inlineStr">
        <is>
          <t>Jurisdiction</t>
        </is>
      </c>
      <c r="E21" s="11" t="inlineStr">
        <is>
          <t>URL / Document ID</t>
        </is>
      </c>
      <c r="F21" s="11" t="inlineStr">
        <is>
          <t>Returned by engine?</t>
        </is>
      </c>
      <c r="G21" s="11" t="inlineStr">
        <is>
          <t>Required source?</t>
        </is>
      </c>
      <c r="H21" s="11" t="inlineStr">
        <is>
          <t>Trap?</t>
        </is>
      </c>
      <c r="I21" s="11" t="inlineStr">
        <is>
          <t>Expert verdict</t>
        </is>
      </c>
      <c r="J21" s="11" t="inlineStr">
        <is>
          <t>Notes</t>
        </is>
      </c>
    </row>
    <row r="22" ht="44" customHeight="1">
      <c r="A22" s="4" t="n">
        <v>1</v>
      </c>
      <c r="B22" s="4" t="n"/>
      <c r="C22" s="4" t="n"/>
      <c r="D22" s="4" t="n"/>
      <c r="E22" s="4" t="n"/>
      <c r="F22" s="4" t="n"/>
      <c r="G22" s="4" t="n"/>
      <c r="H22" s="4" t="n"/>
      <c r="I22" s="4" t="n"/>
      <c r="J22" s="4" t="n"/>
    </row>
    <row r="23" ht="44" customHeight="1">
      <c r="A23" s="4" t="n">
        <v>2</v>
      </c>
      <c r="B23" s="4" t="n"/>
      <c r="C23" s="4" t="n"/>
      <c r="D23" s="4" t="n"/>
      <c r="E23" s="4" t="n"/>
      <c r="F23" s="4" t="n"/>
      <c r="G23" s="4" t="n"/>
      <c r="H23" s="4" t="n"/>
      <c r="I23" s="4" t="n"/>
      <c r="J23" s="4" t="n"/>
    </row>
    <row r="24" ht="44" customHeight="1">
      <c r="A24" s="4" t="n">
        <v>3</v>
      </c>
      <c r="B24" s="4" t="n"/>
      <c r="C24" s="4" t="n"/>
      <c r="D24" s="4" t="n"/>
      <c r="E24" s="4" t="n"/>
      <c r="F24" s="4" t="n"/>
      <c r="G24" s="4" t="n"/>
      <c r="H24" s="4" t="n"/>
      <c r="I24" s="4" t="n"/>
      <c r="J24" s="4" t="n"/>
    </row>
    <row r="25" ht="44" customHeight="1">
      <c r="A25" s="4" t="n">
        <v>4</v>
      </c>
      <c r="B25" s="4" t="n"/>
      <c r="C25" s="4" t="n"/>
      <c r="D25" s="4" t="n"/>
      <c r="E25" s="4" t="n"/>
      <c r="F25" s="4" t="n"/>
      <c r="G25" s="4" t="n"/>
      <c r="H25" s="4" t="n"/>
      <c r="I25" s="4" t="n"/>
      <c r="J25" s="4" t="n"/>
    </row>
    <row r="26" ht="44" customHeight="1">
      <c r="A26" s="4" t="n">
        <v>5</v>
      </c>
      <c r="B26" s="4" t="n"/>
      <c r="C26" s="4" t="n"/>
      <c r="D26" s="4" t="n"/>
      <c r="E26" s="4" t="n"/>
      <c r="F26" s="4" t="n"/>
      <c r="G26" s="4" t="n"/>
      <c r="H26" s="4" t="n"/>
      <c r="I26" s="4" t="n"/>
      <c r="J26" s="4" t="n"/>
    </row>
    <row r="27" ht="44" customHeight="1">
      <c r="A27" s="4" t="n">
        <v>6</v>
      </c>
      <c r="B27" s="4" t="n"/>
      <c r="C27" s="4" t="n"/>
      <c r="D27" s="4" t="n"/>
      <c r="E27" s="4" t="n"/>
      <c r="F27" s="4" t="n"/>
      <c r="G27" s="4" t="n"/>
      <c r="H27" s="4" t="n"/>
      <c r="I27" s="4" t="n"/>
      <c r="J27" s="4" t="n"/>
    </row>
    <row r="28" ht="44" customHeight="1">
      <c r="A28" s="4" t="n">
        <v>7</v>
      </c>
      <c r="B28" s="4" t="n"/>
      <c r="C28" s="4" t="n"/>
      <c r="D28" s="4" t="n"/>
      <c r="E28" s="4" t="n"/>
      <c r="F28" s="4" t="n"/>
      <c r="G28" s="4" t="n"/>
      <c r="H28" s="4" t="n"/>
      <c r="I28" s="4" t="n"/>
      <c r="J28" s="4" t="n"/>
    </row>
    <row r="29" ht="44" customHeight="1">
      <c r="A29" s="4" t="n">
        <v>8</v>
      </c>
      <c r="B29" s="4" t="n"/>
      <c r="C29" s="4" t="n"/>
      <c r="D29" s="4" t="n"/>
      <c r="E29" s="4" t="n"/>
      <c r="F29" s="4" t="n"/>
      <c r="G29" s="4" t="n"/>
      <c r="H29" s="4" t="n"/>
      <c r="I29" s="4" t="n"/>
      <c r="J29" s="4" t="n"/>
    </row>
    <row r="30" ht="44" customHeight="1">
      <c r="A30" s="4" t="n">
        <v>9</v>
      </c>
      <c r="B30" s="4" t="n"/>
      <c r="C30" s="4" t="n"/>
      <c r="D30" s="4" t="n"/>
      <c r="E30" s="4" t="n"/>
      <c r="F30" s="4" t="n"/>
      <c r="G30" s="4" t="n"/>
      <c r="H30" s="4" t="n"/>
      <c r="I30" s="4" t="n"/>
      <c r="J30" s="4" t="n"/>
    </row>
    <row r="31" ht="44" customHeight="1">
      <c r="A31" s="4" t="n">
        <v>10</v>
      </c>
      <c r="B31" s="4" t="n"/>
      <c r="C31" s="4" t="n"/>
      <c r="D31" s="4" t="n"/>
      <c r="E31" s="4" t="n"/>
      <c r="F31" s="4" t="n"/>
      <c r="G31" s="4" t="n"/>
      <c r="H31" s="4" t="n"/>
      <c r="I31" s="4" t="n"/>
      <c r="J31" s="4" t="n"/>
    </row>
    <row r="32" ht="44" customHeight="1">
      <c r="A32" s="4" t="n">
        <v>11</v>
      </c>
      <c r="B32" s="4" t="n"/>
      <c r="C32" s="4" t="n"/>
      <c r="D32" s="4" t="n"/>
      <c r="E32" s="4" t="n"/>
      <c r="F32" s="4" t="n"/>
      <c r="G32" s="4" t="n"/>
      <c r="H32" s="4" t="n"/>
      <c r="I32" s="4" t="n"/>
      <c r="J32" s="4" t="n"/>
    </row>
    <row r="33" ht="44" customHeight="1">
      <c r="A33" s="4" t="n">
        <v>12</v>
      </c>
      <c r="B33" s="4" t="n"/>
      <c r="C33" s="4" t="n"/>
      <c r="D33" s="4" t="n"/>
      <c r="E33" s="4" t="n"/>
      <c r="F33" s="4" t="n"/>
      <c r="G33" s="4" t="n"/>
      <c r="H33" s="4" t="n"/>
      <c r="I33" s="4" t="n"/>
      <c r="J33" s="4" t="n"/>
    </row>
    <row r="34" ht="44" customHeight="1">
      <c r="A34" s="4" t="n">
        <v>13</v>
      </c>
      <c r="B34" s="4" t="n"/>
      <c r="C34" s="4" t="n"/>
      <c r="D34" s="4" t="n"/>
      <c r="E34" s="4" t="n"/>
      <c r="F34" s="4" t="n"/>
      <c r="G34" s="4" t="n"/>
      <c r="H34" s="4" t="n"/>
      <c r="I34" s="4" t="n"/>
      <c r="J34" s="4" t="n"/>
    </row>
    <row r="35" ht="44" customHeight="1">
      <c r="A35" s="4" t="n">
        <v>14</v>
      </c>
      <c r="B35" s="4" t="n"/>
      <c r="C35" s="4" t="n"/>
      <c r="D35" s="4" t="n"/>
      <c r="E35" s="4" t="n"/>
      <c r="F35" s="4" t="n"/>
      <c r="G35" s="4" t="n"/>
      <c r="H35" s="4" t="n"/>
      <c r="I35" s="4" t="n"/>
      <c r="J35" s="4" t="n"/>
    </row>
    <row r="36" ht="44" customHeight="1">
      <c r="A36" s="4" t="n">
        <v>15</v>
      </c>
      <c r="B36" s="4" t="n"/>
      <c r="C36" s="4" t="n"/>
      <c r="D36" s="4" t="n"/>
      <c r="E36" s="4" t="n"/>
      <c r="F36" s="4" t="n"/>
      <c r="G36" s="4" t="n"/>
      <c r="H36" s="4" t="n"/>
      <c r="I36" s="4" t="n"/>
      <c r="J36" s="4" t="n"/>
    </row>
    <row r="37">
      <c r="A37" s="3" t="n"/>
      <c r="B37" s="3" t="n"/>
      <c r="C37" s="3" t="n"/>
      <c r="D37" s="3" t="n"/>
      <c r="E37" s="3" t="n"/>
      <c r="F37" s="3" t="n"/>
      <c r="G37" s="3" t="n"/>
      <c r="H37" s="3" t="n"/>
      <c r="I37" s="3" t="n"/>
      <c r="J37" s="3" t="n"/>
    </row>
    <row r="38">
      <c r="A38" s="8" t="inlineStr">
        <is>
          <t>Claim-by-claim review</t>
        </is>
      </c>
      <c r="B38" s="3" t="n"/>
      <c r="C38" s="3" t="n"/>
      <c r="D38" s="3" t="n"/>
      <c r="E38" s="3" t="n"/>
      <c r="F38" s="3" t="n"/>
      <c r="G38" s="3" t="n"/>
      <c r="H38" s="3" t="n"/>
      <c r="I38" s="3" t="n"/>
      <c r="J38" s="3" t="n"/>
    </row>
    <row r="39">
      <c r="A39" s="11" t="inlineStr">
        <is>
          <t>Claim ID</t>
        </is>
      </c>
      <c r="B39" s="11" t="inlineStr">
        <is>
          <t>Claim from answer</t>
        </is>
      </c>
      <c r="C39" s="11" t="inlineStr">
        <is>
          <t>Citation used</t>
        </is>
      </c>
      <c r="D39" s="11" t="inlineStr">
        <is>
          <t>Expert verdict</t>
        </is>
      </c>
      <c r="E39" s="11" t="inlineStr">
        <is>
          <t>Issue type</t>
        </is>
      </c>
      <c r="F39" s="11" t="inlineStr">
        <is>
          <t>Cited passage / source note</t>
        </is>
      </c>
      <c r="G39" s="11" t="inlineStr">
        <is>
          <t>Required fix / comment</t>
        </is>
      </c>
      <c r="H39" s="11" t="inlineStr">
        <is>
          <t>Reviewer</t>
        </is>
      </c>
      <c r="I39" s="11" t="n"/>
      <c r="J39" s="11" t="n"/>
    </row>
    <row r="40" ht="54" customHeight="1">
      <c r="A40" s="4" t="n">
        <v>1</v>
      </c>
      <c r="B40" s="4" t="n"/>
      <c r="C40" s="4" t="n"/>
      <c r="D40" s="4" t="n"/>
      <c r="E40" s="4" t="n"/>
      <c r="F40" s="4" t="n"/>
      <c r="G40" s="4" t="n"/>
      <c r="H40" s="4" t="n"/>
      <c r="I40" s="3" t="n"/>
      <c r="J40" s="3" t="n"/>
    </row>
    <row r="41" ht="54" customHeight="1">
      <c r="A41" s="4" t="n">
        <v>2</v>
      </c>
      <c r="B41" s="4" t="n"/>
      <c r="C41" s="4" t="n"/>
      <c r="D41" s="4" t="n"/>
      <c r="E41" s="4" t="n"/>
      <c r="F41" s="4" t="n"/>
      <c r="G41" s="4" t="n"/>
      <c r="H41" s="4" t="n"/>
      <c r="I41" s="3" t="n"/>
      <c r="J41" s="3" t="n"/>
    </row>
    <row r="42" ht="54" customHeight="1">
      <c r="A42" s="4" t="n">
        <v>3</v>
      </c>
      <c r="B42" s="4" t="n"/>
      <c r="C42" s="4" t="n"/>
      <c r="D42" s="4" t="n"/>
      <c r="E42" s="4" t="n"/>
      <c r="F42" s="4" t="n"/>
      <c r="G42" s="4" t="n"/>
      <c r="H42" s="4" t="n"/>
      <c r="I42" s="3" t="n"/>
      <c r="J42" s="3" t="n"/>
    </row>
    <row r="43" ht="54" customHeight="1">
      <c r="A43" s="4" t="n">
        <v>4</v>
      </c>
      <c r="B43" s="4" t="n"/>
      <c r="C43" s="4" t="n"/>
      <c r="D43" s="4" t="n"/>
      <c r="E43" s="4" t="n"/>
      <c r="F43" s="4" t="n"/>
      <c r="G43" s="4" t="n"/>
      <c r="H43" s="4" t="n"/>
      <c r="I43" s="3" t="n"/>
      <c r="J43" s="3" t="n"/>
    </row>
    <row r="44" ht="54" customHeight="1">
      <c r="A44" s="4" t="n">
        <v>5</v>
      </c>
      <c r="B44" s="4" t="n"/>
      <c r="C44" s="4" t="n"/>
      <c r="D44" s="4" t="n"/>
      <c r="E44" s="4" t="n"/>
      <c r="F44" s="4" t="n"/>
      <c r="G44" s="4" t="n"/>
      <c r="H44" s="4" t="n"/>
      <c r="I44" s="3" t="n"/>
      <c r="J44" s="3" t="n"/>
    </row>
    <row r="45" ht="54" customHeight="1">
      <c r="A45" s="4" t="n">
        <v>6</v>
      </c>
      <c r="B45" s="4" t="n"/>
      <c r="C45" s="4" t="n"/>
      <c r="D45" s="4" t="n"/>
      <c r="E45" s="4" t="n"/>
      <c r="F45" s="4" t="n"/>
      <c r="G45" s="4" t="n"/>
      <c r="H45" s="4" t="n"/>
      <c r="I45" s="3" t="n"/>
      <c r="J45" s="3" t="n"/>
    </row>
    <row r="46" ht="54" customHeight="1">
      <c r="A46" s="4" t="n">
        <v>7</v>
      </c>
      <c r="B46" s="4" t="n"/>
      <c r="C46" s="4" t="n"/>
      <c r="D46" s="4" t="n"/>
      <c r="E46" s="4" t="n"/>
      <c r="F46" s="4" t="n"/>
      <c r="G46" s="4" t="n"/>
      <c r="H46" s="4" t="n"/>
      <c r="I46" s="3" t="n"/>
      <c r="J46" s="3" t="n"/>
    </row>
    <row r="47" ht="54" customHeight="1">
      <c r="A47" s="4" t="n">
        <v>8</v>
      </c>
      <c r="B47" s="4" t="n"/>
      <c r="C47" s="4" t="n"/>
      <c r="D47" s="4" t="n"/>
      <c r="E47" s="4" t="n"/>
      <c r="F47" s="4" t="n"/>
      <c r="G47" s="4" t="n"/>
      <c r="H47" s="4" t="n"/>
      <c r="I47" s="3" t="n"/>
      <c r="J47" s="3" t="n"/>
    </row>
    <row r="48" ht="54" customHeight="1">
      <c r="A48" s="4" t="n">
        <v>9</v>
      </c>
      <c r="B48" s="4" t="n"/>
      <c r="C48" s="4" t="n"/>
      <c r="D48" s="4" t="n"/>
      <c r="E48" s="4" t="n"/>
      <c r="F48" s="4" t="n"/>
      <c r="G48" s="4" t="n"/>
      <c r="H48" s="4" t="n"/>
      <c r="I48" s="3" t="n"/>
      <c r="J48" s="3" t="n"/>
    </row>
    <row r="49" ht="54" customHeight="1">
      <c r="A49" s="4" t="n">
        <v>10</v>
      </c>
      <c r="B49" s="4" t="n"/>
      <c r="C49" s="4" t="n"/>
      <c r="D49" s="4" t="n"/>
      <c r="E49" s="4" t="n"/>
      <c r="F49" s="4" t="n"/>
      <c r="G49" s="4" t="n"/>
      <c r="H49" s="4" t="n"/>
      <c r="I49" s="3" t="n"/>
      <c r="J49" s="3" t="n"/>
    </row>
    <row r="50" ht="54" customHeight="1">
      <c r="A50" s="4" t="n">
        <v>11</v>
      </c>
      <c r="B50" s="4" t="n"/>
      <c r="C50" s="4" t="n"/>
      <c r="D50" s="4" t="n"/>
      <c r="E50" s="4" t="n"/>
      <c r="F50" s="4" t="n"/>
      <c r="G50" s="4" t="n"/>
      <c r="H50" s="4" t="n"/>
      <c r="I50" s="3" t="n"/>
      <c r="J50" s="3" t="n"/>
    </row>
    <row r="51" ht="54" customHeight="1">
      <c r="A51" s="4" t="n">
        <v>12</v>
      </c>
      <c r="B51" s="4" t="n"/>
      <c r="C51" s="4" t="n"/>
      <c r="D51" s="4" t="n"/>
      <c r="E51" s="4" t="n"/>
      <c r="F51" s="4" t="n"/>
      <c r="G51" s="4" t="n"/>
      <c r="H51" s="4" t="n"/>
      <c r="I51" s="3" t="n"/>
      <c r="J51" s="3" t="n"/>
    </row>
    <row r="52" ht="54" customHeight="1">
      <c r="A52" s="4" t="n">
        <v>13</v>
      </c>
      <c r="B52" s="4" t="n"/>
      <c r="C52" s="4" t="n"/>
      <c r="D52" s="4" t="n"/>
      <c r="E52" s="4" t="n"/>
      <c r="F52" s="4" t="n"/>
      <c r="G52" s="4" t="n"/>
      <c r="H52" s="4" t="n"/>
      <c r="I52" s="3" t="n"/>
      <c r="J52" s="3" t="n"/>
    </row>
    <row r="53" ht="54" customHeight="1">
      <c r="A53" s="4" t="n">
        <v>14</v>
      </c>
      <c r="B53" s="4" t="n"/>
      <c r="C53" s="4" t="n"/>
      <c r="D53" s="4" t="n"/>
      <c r="E53" s="4" t="n"/>
      <c r="F53" s="4" t="n"/>
      <c r="G53" s="4" t="n"/>
      <c r="H53" s="4" t="n"/>
      <c r="I53" s="3" t="n"/>
      <c r="J53" s="3" t="n"/>
    </row>
    <row r="54" ht="54" customHeight="1">
      <c r="A54" s="4" t="n">
        <v>15</v>
      </c>
      <c r="B54" s="4" t="n"/>
      <c r="C54" s="4" t="n"/>
      <c r="D54" s="4" t="n"/>
      <c r="E54" s="4" t="n"/>
      <c r="F54" s="4" t="n"/>
      <c r="G54" s="4" t="n"/>
      <c r="H54" s="4" t="n"/>
      <c r="I54" s="3" t="n"/>
      <c r="J54" s="3" t="n"/>
    </row>
    <row r="55" ht="54" customHeight="1">
      <c r="A55" s="4" t="n">
        <v>16</v>
      </c>
      <c r="B55" s="4" t="n"/>
      <c r="C55" s="4" t="n"/>
      <c r="D55" s="4" t="n"/>
      <c r="E55" s="4" t="n"/>
      <c r="F55" s="4" t="n"/>
      <c r="G55" s="4" t="n"/>
      <c r="H55" s="4" t="n"/>
      <c r="I55" s="3" t="n"/>
      <c r="J55" s="3" t="n"/>
    </row>
    <row r="56" ht="54" customHeight="1">
      <c r="A56" s="4" t="n">
        <v>17</v>
      </c>
      <c r="B56" s="4" t="n"/>
      <c r="C56" s="4" t="n"/>
      <c r="D56" s="4" t="n"/>
      <c r="E56" s="4" t="n"/>
      <c r="F56" s="4" t="n"/>
      <c r="G56" s="4" t="n"/>
      <c r="H56" s="4" t="n"/>
      <c r="I56" s="3" t="n"/>
      <c r="J56" s="3" t="n"/>
    </row>
    <row r="57" ht="54" customHeight="1">
      <c r="A57" s="4" t="n">
        <v>18</v>
      </c>
      <c r="B57" s="4" t="n"/>
      <c r="C57" s="4" t="n"/>
      <c r="D57" s="4" t="n"/>
      <c r="E57" s="4" t="n"/>
      <c r="F57" s="4" t="n"/>
      <c r="G57" s="4" t="n"/>
      <c r="H57" s="4" t="n"/>
      <c r="I57" s="3" t="n"/>
      <c r="J57" s="3" t="n"/>
    </row>
    <row r="58" ht="54" customHeight="1">
      <c r="A58" s="4" t="n">
        <v>19</v>
      </c>
      <c r="B58" s="4" t="n"/>
      <c r="C58" s="4" t="n"/>
      <c r="D58" s="4" t="n"/>
      <c r="E58" s="4" t="n"/>
      <c r="F58" s="4" t="n"/>
      <c r="G58" s="4" t="n"/>
      <c r="H58" s="4" t="n"/>
      <c r="I58" s="3" t="n"/>
      <c r="J58" s="3" t="n"/>
    </row>
    <row r="59" ht="54" customHeight="1">
      <c r="A59" s="4" t="n">
        <v>20</v>
      </c>
      <c r="B59" s="4" t="n"/>
      <c r="C59" s="4" t="n"/>
      <c r="D59" s="4" t="n"/>
      <c r="E59" s="4" t="n"/>
      <c r="F59" s="4" t="n"/>
      <c r="G59" s="4" t="n"/>
      <c r="H59" s="4" t="n"/>
      <c r="I59" s="3" t="n"/>
      <c r="J59" s="3" t="n"/>
    </row>
    <row r="60">
      <c r="A60" s="3" t="n"/>
      <c r="B60" s="3" t="n"/>
      <c r="C60" s="3" t="n"/>
      <c r="D60" s="3" t="n"/>
      <c r="E60" s="3" t="n"/>
      <c r="F60" s="3" t="n"/>
      <c r="G60" s="3" t="n"/>
      <c r="H60" s="3" t="n"/>
      <c r="I60" s="3" t="n"/>
      <c r="J60" s="3" t="n"/>
    </row>
    <row r="61">
      <c r="A61" s="8" t="inlineStr">
        <is>
          <t>Final expert verdict</t>
        </is>
      </c>
      <c r="B61" s="3" t="n"/>
      <c r="C61" s="3" t="n"/>
      <c r="D61" s="3" t="n"/>
      <c r="E61" s="3" t="n"/>
      <c r="F61" s="3" t="n"/>
      <c r="G61" s="3" t="n"/>
      <c r="H61" s="3" t="n"/>
      <c r="I61" s="3" t="n"/>
      <c r="J61" s="3" t="n"/>
    </row>
    <row r="62">
      <c r="A62" s="12" t="inlineStr">
        <is>
          <t>Is the answer acceptable?</t>
        </is>
      </c>
      <c r="B62" s="4" t="inlineStr"/>
      <c r="C62" s="4" t="n"/>
      <c r="D62" s="4" t="n"/>
      <c r="E62" s="4" t="n"/>
      <c r="F62" s="4" t="n"/>
      <c r="G62" s="4" t="n"/>
      <c r="H62" s="4" t="n"/>
      <c r="I62" s="3" t="n"/>
      <c r="J62" s="3" t="n"/>
    </row>
    <row r="63" ht="54" customHeight="1">
      <c r="A63" s="12" t="inlineStr">
        <is>
          <t>Overall comment / required fixes</t>
        </is>
      </c>
      <c r="B63" s="4" t="n"/>
      <c r="C63" s="4" t="n"/>
      <c r="D63" s="4" t="n"/>
      <c r="E63" s="4" t="n"/>
      <c r="F63" s="4" t="n"/>
      <c r="G63" s="4" t="n"/>
      <c r="H63" s="4" t="n"/>
      <c r="I63" s="3" t="n"/>
      <c r="J63" s="3" t="n"/>
    </row>
    <row r="64">
      <c r="A64" s="4" t="n"/>
      <c r="B64" s="4" t="n"/>
      <c r="C64" s="4" t="n"/>
      <c r="D64" s="4" t="n"/>
      <c r="E64" s="4" t="n"/>
      <c r="F64" s="4" t="n"/>
      <c r="G64" s="4" t="n"/>
      <c r="H64" s="4" t="n"/>
      <c r="I64" s="3" t="n"/>
      <c r="J64" s="3" t="n"/>
    </row>
    <row r="65">
      <c r="A65" s="12" t="inlineStr">
        <is>
          <t>Missing key sources?</t>
        </is>
      </c>
      <c r="B65" s="4" t="n"/>
      <c r="C65" s="4" t="n"/>
      <c r="D65" s="4" t="n"/>
      <c r="E65" s="4" t="n"/>
      <c r="F65" s="4" t="n"/>
      <c r="G65" s="4" t="n"/>
      <c r="H65" s="4" t="n"/>
      <c r="I65" s="3" t="n"/>
      <c r="J65" s="3" t="n"/>
    </row>
    <row r="66">
      <c r="A66" s="12" t="inlineStr">
        <is>
          <t>Review completed?</t>
        </is>
      </c>
      <c r="B66" s="4" t="inlineStr"/>
      <c r="C66" s="4" t="n"/>
      <c r="D66" s="4" t="n"/>
      <c r="E66" s="4" t="n"/>
      <c r="F66" s="4" t="n"/>
      <c r="G66" s="4" t="n"/>
      <c r="H66" s="4" t="n"/>
      <c r="I66" s="3" t="n"/>
      <c r="J66" s="3" t="n"/>
    </row>
    <row r="67">
      <c r="A67" s="12" t="inlineStr">
        <is>
          <t>Reviewer</t>
        </is>
      </c>
      <c r="B67" s="4" t="n"/>
      <c r="C67" s="12" t="inlineStr">
        <is>
          <t>Review date</t>
        </is>
      </c>
      <c r="D67" s="5" t="inlineStr"/>
      <c r="E67" s="4" t="n"/>
      <c r="F67" s="4" t="n"/>
      <c r="G67" s="4" t="n"/>
      <c r="H67" s="4" t="n"/>
      <c r="I67" s="3" t="n"/>
      <c r="J67" s="3" t="n"/>
    </row>
    <row r="68">
      <c r="A68" s="3" t="n"/>
      <c r="B68" s="3" t="n"/>
      <c r="C68" s="3" t="n"/>
      <c r="D68" s="3" t="n"/>
      <c r="E68" s="3" t="n"/>
      <c r="F68" s="3" t="n"/>
      <c r="G68" s="3" t="n"/>
      <c r="H68" s="3" t="n"/>
      <c r="I68" s="3" t="n"/>
      <c r="J68" s="3" t="n"/>
    </row>
    <row r="69">
      <c r="A69" s="8" t="inlineStr">
        <is>
          <t>Original source notes</t>
        </is>
      </c>
      <c r="B69" s="3" t="n"/>
      <c r="C69" s="3" t="n"/>
      <c r="D69" s="3" t="n"/>
      <c r="E69" s="3" t="n"/>
      <c r="F69" s="3" t="n"/>
      <c r="G69" s="3" t="n"/>
      <c r="H69" s="3" t="n"/>
      <c r="I69" s="3" t="n"/>
      <c r="J69" s="3" t="n"/>
    </row>
    <row r="70">
      <c r="A70" s="12" t="inlineStr">
        <is>
          <t>WAB notes</t>
        </is>
      </c>
      <c r="B70" s="4" t="inlineStr">
        <is>
          <t>Your wording, unchanged. One point to check: we understand Article L.450-4 of the Code de commerce to designate the FIRST President of the Court of Appeal (premier président), not the President. We have left your wording and are raising it rather than correcting it.</t>
        </is>
      </c>
      <c r="C70" s="4" t="n"/>
      <c r="D70" s="4" t="n"/>
      <c r="E70" s="4" t="n"/>
      <c r="F70" s="4" t="n"/>
      <c r="G70" s="4" t="n"/>
      <c r="H70" s="4" t="n"/>
      <c r="I70" s="3" t="n"/>
      <c r="J70" s="3" t="n"/>
    </row>
    <row r="71" ht="54" customHeight="1">
      <c r="A71" s="12" t="inlineStr">
        <is>
          <t>Reviewer notes from question approval</t>
        </is>
      </c>
      <c r="B71" s="4" t="inlineStr">
        <is>
          <t>nothing to be changed.</t>
        </is>
      </c>
      <c r="C71" s="4" t="n"/>
      <c r="D71" s="4" t="n"/>
      <c r="E71" s="4" t="n"/>
      <c r="F71" s="4" t="n"/>
      <c r="G71" s="4" t="n"/>
      <c r="H71" s="4" t="n"/>
      <c r="I71" s="3" t="n"/>
      <c r="J71" s="3" t="n"/>
    </row>
    <row r="72">
      <c r="A72" s="4" t="n"/>
      <c r="B72" s="4" t="n"/>
      <c r="C72" s="4" t="n"/>
      <c r="D72" s="4" t="n"/>
      <c r="E72" s="4" t="n"/>
      <c r="F72" s="4" t="n"/>
      <c r="G72" s="4" t="n"/>
      <c r="H72" s="4" t="n"/>
      <c r="I72" s="3" t="n"/>
      <c r="J72" s="3" t="n"/>
    </row>
  </sheetData>
  <autoFilter ref="A21:J36"/>
  <mergeCells count="20">
    <mergeCell ref="B65:H65"/>
    <mergeCell ref="B71:H72"/>
    <mergeCell ref="B6:H6"/>
    <mergeCell ref="A20:J20"/>
    <mergeCell ref="A1:H1"/>
    <mergeCell ref="B5:H5"/>
    <mergeCell ref="A61:H61"/>
    <mergeCell ref="A69:H69"/>
    <mergeCell ref="B4:H4"/>
    <mergeCell ref="B62:H62"/>
    <mergeCell ref="B7:H7"/>
    <mergeCell ref="B66:H66"/>
    <mergeCell ref="A3:H3"/>
    <mergeCell ref="A16:H18"/>
    <mergeCell ref="B70:H70"/>
    <mergeCell ref="A14:H14"/>
    <mergeCell ref="B63:H64"/>
    <mergeCell ref="B8:H8"/>
    <mergeCell ref="B10:H12"/>
    <mergeCell ref="A38:H38"/>
  </mergeCells>
  <dataValidations count="9">
    <dataValidation sqref="C22:C36" showDropDown="0" showInputMessage="0" showErrorMessage="0" allowBlank="1" type="list">
      <formula1>=Lists!$F$2:$F$5</formula1>
    </dataValidation>
    <dataValidation sqref="F22:F36" showDropDown="0" showInputMessage="0" showErrorMessage="0" allowBlank="1" type="list">
      <formula1>=Lists!$G$2:$G$4</formula1>
    </dataValidation>
    <dataValidation sqref="G22:G36" showDropDown="0" showInputMessage="0" showErrorMessage="0" allowBlank="1" type="list">
      <formula1>=Lists!$G$2:$G$4</formula1>
    </dataValidation>
    <dataValidation sqref="H22:H36" showDropDown="0" showInputMessage="0" showErrorMessage="0" allowBlank="1" type="list">
      <formula1>=Lists!$G$2:$G$4</formula1>
    </dataValidation>
    <dataValidation sqref="I22:I36" showDropDown="0" showInputMessage="0" showErrorMessage="0" allowBlank="1" type="list">
      <formula1>=Lists!$H$2:$H$6</formula1>
    </dataValidation>
    <dataValidation sqref="D40:D59" showDropDown="0" showInputMessage="0" showErrorMessage="0" allowBlank="1" type="list">
      <formula1>=Lists!$D$2:$D$7</formula1>
    </dataValidation>
    <dataValidation sqref="E40:E59" showDropDown="0" showInputMessage="0" showErrorMessage="0" allowBlank="1" type="list">
      <formula1>=Lists!$E$2:$E$8</formula1>
    </dataValidation>
    <dataValidation sqref="B62" showDropDown="0" showInputMessage="0" showErrorMessage="0" allowBlank="1" type="list">
      <formula1>=Lists!$C$2:$C$4</formula1>
    </dataValidation>
    <dataValidation sqref="B66" showDropDown="0" showInputMessage="0" showErrorMessage="0" allowBlank="1" type="list">
      <formula1>=Lists!$A$2:$A$3</formula1>
    </dataValidation>
  </dataValidations>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J72"/>
  <sheetViews>
    <sheetView showGridLines="0" workbookViewId="0">
      <pane ySplit="21" topLeftCell="A22" activePane="bottomLeft" state="frozen"/>
      <selection pane="bottomLeft" activeCell="A1" sqref="A1"/>
    </sheetView>
  </sheetViews>
  <sheetFormatPr baseColWidth="8" defaultRowHeight="15"/>
  <cols>
    <col width="12" customWidth="1" min="1" max="1"/>
    <col width="34" customWidth="1" min="2" max="2"/>
    <col width="22" customWidth="1" min="3" max="3"/>
    <col width="18" customWidth="1" min="4" max="4"/>
    <col width="20" customWidth="1" min="5" max="5"/>
    <col width="30" customWidth="1" min="6" max="6"/>
    <col width="34" customWidth="1" min="7" max="7"/>
    <col width="18" customWidth="1" min="8" max="8"/>
    <col width="18" customWidth="1" min="9" max="9"/>
    <col width="30" customWidth="1" min="10" max="10"/>
  </cols>
  <sheetData>
    <row r="1" ht="28" customHeight="1">
      <c r="A1" s="6" t="inlineStr">
        <is>
          <t>Q15 — Expert Review</t>
        </is>
      </c>
      <c r="B1" s="3" t="n"/>
      <c r="C1" s="3" t="n"/>
      <c r="D1" s="3" t="n"/>
      <c r="E1" s="3" t="n"/>
      <c r="F1" s="3" t="n"/>
      <c r="G1" s="3" t="n"/>
      <c r="H1" s="3" t="n"/>
      <c r="I1" s="3" t="n"/>
      <c r="J1" s="3" t="n"/>
    </row>
    <row r="2">
      <c r="A2" s="3" t="n"/>
      <c r="B2" s="3" t="n"/>
      <c r="C2" s="3" t="n"/>
      <c r="D2" s="3" t="n"/>
      <c r="E2" s="3" t="n"/>
      <c r="F2" s="3" t="n"/>
      <c r="G2" s="3" t="n"/>
      <c r="H2" s="3" t="n"/>
      <c r="I2" s="3" t="n"/>
      <c r="J2" s="3" t="n"/>
    </row>
    <row r="3">
      <c r="A3" s="8" t="inlineStr">
        <is>
          <t>Question metadata</t>
        </is>
      </c>
      <c r="B3" s="3" t="n"/>
      <c r="C3" s="3" t="n"/>
      <c r="D3" s="3" t="n"/>
      <c r="E3" s="3" t="n"/>
      <c r="F3" s="3" t="n"/>
      <c r="G3" s="3" t="n"/>
      <c r="H3" s="3" t="n"/>
      <c r="I3" s="3" t="n"/>
      <c r="J3" s="3" t="n"/>
    </row>
    <row r="4">
      <c r="A4" s="9" t="inlineStr">
        <is>
          <t>Question ID</t>
        </is>
      </c>
      <c r="B4" s="3" t="n">
        <v>15</v>
      </c>
      <c r="C4" s="3" t="n"/>
      <c r="D4" s="3" t="n"/>
      <c r="E4" s="3" t="n"/>
      <c r="F4" s="3" t="n"/>
      <c r="G4" s="3" t="n"/>
      <c r="H4" s="3" t="n"/>
      <c r="I4" s="3" t="n"/>
      <c r="J4" s="3" t="n"/>
    </row>
    <row r="5">
      <c r="A5" s="9" t="inlineStr">
        <is>
          <t>Topic</t>
        </is>
      </c>
      <c r="B5" s="3" t="inlineStr">
        <is>
          <t>Dawn raids — legal professional privilege</t>
        </is>
      </c>
      <c r="C5" s="3" t="n"/>
      <c r="D5" s="3" t="n"/>
      <c r="E5" s="3" t="n"/>
      <c r="F5" s="3" t="n"/>
      <c r="G5" s="3" t="n"/>
      <c r="H5" s="3" t="n"/>
      <c r="I5" s="3" t="n"/>
      <c r="J5" s="3" t="n"/>
    </row>
    <row r="6">
      <c r="A6" s="9" t="inlineStr">
        <is>
          <t>Scope</t>
        </is>
      </c>
      <c r="B6" s="3" t="inlineStr">
        <is>
          <t>EU</t>
        </is>
      </c>
      <c r="C6" s="3" t="n"/>
      <c r="D6" s="3" t="n"/>
      <c r="E6" s="3" t="n"/>
      <c r="F6" s="3" t="n"/>
      <c r="G6" s="3" t="n"/>
      <c r="H6" s="3" t="n"/>
      <c r="I6" s="3" t="n"/>
      <c r="J6" s="3" t="n"/>
    </row>
    <row r="7">
      <c r="A7" s="9" t="inlineStr">
        <is>
          <t>Original reviewer</t>
        </is>
      </c>
      <c r="B7" s="3" t="inlineStr">
        <is>
          <t>Carolina</t>
        </is>
      </c>
      <c r="C7" s="3" t="n"/>
      <c r="D7" s="3" t="n"/>
      <c r="E7" s="3" t="n"/>
      <c r="F7" s="3" t="n"/>
      <c r="G7" s="3" t="n"/>
      <c r="H7" s="3" t="n"/>
      <c r="I7" s="3" t="n"/>
      <c r="J7" s="3" t="n"/>
    </row>
    <row r="8">
      <c r="A8" s="9" t="inlineStr">
        <is>
          <t>Original status</t>
        </is>
      </c>
      <c r="B8" s="3" t="inlineStr">
        <is>
          <t>Approved</t>
        </is>
      </c>
      <c r="C8" s="3" t="n"/>
      <c r="D8" s="3" t="n"/>
      <c r="E8" s="3" t="n"/>
      <c r="F8" s="3" t="n"/>
      <c r="G8" s="3" t="n"/>
      <c r="H8" s="3" t="n"/>
      <c r="I8" s="3" t="n"/>
      <c r="J8" s="3" t="n"/>
    </row>
    <row r="9">
      <c r="A9" s="3" t="n"/>
      <c r="B9" s="3" t="n"/>
      <c r="C9" s="3" t="n"/>
      <c r="D9" s="3" t="n"/>
      <c r="E9" s="3" t="n"/>
      <c r="F9" s="3" t="n"/>
      <c r="G9" s="3" t="n"/>
      <c r="H9" s="3" t="n"/>
      <c r="I9" s="3" t="n"/>
      <c r="J9" s="3" t="n"/>
    </row>
    <row r="10" ht="45" customHeight="1">
      <c r="A10" s="9" t="inlineStr">
        <is>
          <t>Question</t>
        </is>
      </c>
      <c r="B10" s="3" t="inlineStr">
        <is>
          <t>At what stage is attorney-client privilege breached during a European Commission inspection under Article 20 of Regulation 1/2003 — when the inspector reads the document, or only when the Commission later uses it?</t>
        </is>
      </c>
      <c r="C10" s="3" t="n"/>
      <c r="D10" s="3" t="n"/>
      <c r="E10" s="3" t="n"/>
      <c r="F10" s="3" t="n"/>
      <c r="G10" s="3" t="n"/>
      <c r="H10" s="3" t="n"/>
      <c r="I10" s="3" t="n"/>
      <c r="J10" s="3" t="n"/>
    </row>
    <row r="11">
      <c r="A11" s="3" t="n"/>
      <c r="B11" s="3" t="n"/>
      <c r="C11" s="3" t="n"/>
      <c r="D11" s="3" t="n"/>
      <c r="E11" s="3" t="n"/>
      <c r="F11" s="3" t="n"/>
      <c r="G11" s="3" t="n"/>
      <c r="H11" s="3" t="n"/>
      <c r="I11" s="3" t="n"/>
      <c r="J11" s="3" t="n"/>
    </row>
    <row r="12">
      <c r="A12" s="3" t="n"/>
      <c r="B12" s="3" t="n"/>
      <c r="C12" s="3" t="n"/>
      <c r="D12" s="3" t="n"/>
      <c r="E12" s="3" t="n"/>
      <c r="F12" s="3" t="n"/>
      <c r="G12" s="3" t="n"/>
      <c r="H12" s="3" t="n"/>
      <c r="I12" s="3" t="n"/>
      <c r="J12" s="3" t="n"/>
    </row>
    <row r="13">
      <c r="A13" s="3" t="n"/>
      <c r="B13" s="3" t="n"/>
      <c r="C13" s="3" t="n"/>
      <c r="D13" s="3" t="n"/>
      <c r="E13" s="3" t="n"/>
      <c r="F13" s="3" t="n"/>
      <c r="G13" s="3" t="n"/>
      <c r="H13" s="3" t="n"/>
      <c r="I13" s="3" t="n"/>
      <c r="J13" s="3" t="n"/>
    </row>
    <row r="14">
      <c r="A14" s="8" t="inlineStr">
        <is>
          <t>Generated answer</t>
        </is>
      </c>
      <c r="B14" s="3" t="n"/>
      <c r="C14" s="3" t="n"/>
      <c r="D14" s="3" t="n"/>
      <c r="E14" s="3" t="n"/>
      <c r="F14" s="3" t="n"/>
      <c r="G14" s="3" t="n"/>
      <c r="H14" s="3" t="n"/>
      <c r="I14" s="3" t="n"/>
      <c r="J14" s="3" t="n"/>
    </row>
    <row r="15">
      <c r="A15" s="10" t="inlineStr">
        <is>
          <t>Paste the generated answer below.</t>
        </is>
      </c>
      <c r="B15" s="3" t="n"/>
      <c r="C15" s="3" t="n"/>
      <c r="D15" s="3" t="n"/>
      <c r="E15" s="3" t="n"/>
      <c r="F15" s="3" t="n"/>
      <c r="G15" s="3" t="n"/>
      <c r="H15" s="3" t="n"/>
      <c r="I15" s="3" t="n"/>
      <c r="J15" s="3" t="n"/>
    </row>
    <row r="16" ht="90" customHeight="1">
      <c r="A16" s="3" t="inlineStr"/>
      <c r="B16" s="3" t="n"/>
      <c r="C16" s="3" t="n"/>
      <c r="D16" s="3" t="n"/>
      <c r="E16" s="3" t="n"/>
      <c r="F16" s="3" t="n"/>
      <c r="G16" s="3" t="n"/>
      <c r="H16" s="3" t="n"/>
      <c r="I16" s="3" t="n"/>
      <c r="J16" s="3" t="n"/>
    </row>
    <row r="17" ht="30" customHeight="1">
      <c r="A17" s="3" t="n"/>
      <c r="B17" s="3" t="n"/>
      <c r="C17" s="3" t="n"/>
      <c r="D17" s="3" t="n"/>
      <c r="E17" s="3" t="n"/>
      <c r="F17" s="3" t="n"/>
      <c r="G17" s="3" t="n"/>
      <c r="H17" s="3" t="n"/>
      <c r="I17" s="3" t="n"/>
      <c r="J17" s="3" t="n"/>
    </row>
    <row r="18" ht="30" customHeight="1">
      <c r="A18" s="3" t="n"/>
      <c r="B18" s="3" t="n"/>
      <c r="C18" s="3" t="n"/>
      <c r="D18" s="3" t="n"/>
      <c r="E18" s="3" t="n"/>
      <c r="F18" s="3" t="n"/>
      <c r="G18" s="3" t="n"/>
      <c r="H18" s="3" t="n"/>
      <c r="I18" s="3" t="n"/>
      <c r="J18" s="3" t="n"/>
    </row>
    <row r="19">
      <c r="A19" s="9" t="inlineStr">
        <is>
          <t>Run ID</t>
        </is>
      </c>
      <c r="B19" s="3" t="inlineStr"/>
      <c r="C19" s="9" t="inlineStr">
        <is>
          <t>Run date</t>
        </is>
      </c>
      <c r="D19" s="3" t="inlineStr"/>
      <c r="E19" s="9" t="inlineStr">
        <is>
          <t>Model / prompt version</t>
        </is>
      </c>
      <c r="F19" s="3" t="inlineStr"/>
      <c r="G19" s="9" t="inlineStr">
        <is>
          <t>Corpus snapshot</t>
        </is>
      </c>
      <c r="H19" s="3" t="inlineStr"/>
      <c r="I19" s="3" t="n"/>
      <c r="J19" s="3" t="n"/>
    </row>
    <row r="20">
      <c r="A20" s="8" t="inlineStr">
        <is>
          <t>Retrieval set review</t>
        </is>
      </c>
      <c r="B20" s="3" t="n"/>
      <c r="C20" s="3" t="n"/>
      <c r="D20" s="3" t="n"/>
      <c r="E20" s="3" t="n"/>
      <c r="F20" s="3" t="n"/>
      <c r="G20" s="3" t="n"/>
      <c r="H20" s="3" t="n"/>
      <c r="I20" s="3" t="n"/>
      <c r="J20" s="3" t="n"/>
    </row>
    <row r="21">
      <c r="A21" s="11" t="inlineStr">
        <is>
          <t>Rank</t>
        </is>
      </c>
      <c r="B21" s="11" t="inlineStr">
        <is>
          <t>Retrieved source</t>
        </is>
      </c>
      <c r="C21" s="11" t="inlineStr">
        <is>
          <t>Source type</t>
        </is>
      </c>
      <c r="D21" s="11" t="inlineStr">
        <is>
          <t>Jurisdiction</t>
        </is>
      </c>
      <c r="E21" s="11" t="inlineStr">
        <is>
          <t>URL / Document ID</t>
        </is>
      </c>
      <c r="F21" s="11" t="inlineStr">
        <is>
          <t>Returned by engine?</t>
        </is>
      </c>
      <c r="G21" s="11" t="inlineStr">
        <is>
          <t>Required source?</t>
        </is>
      </c>
      <c r="H21" s="11" t="inlineStr">
        <is>
          <t>Trap?</t>
        </is>
      </c>
      <c r="I21" s="11" t="inlineStr">
        <is>
          <t>Expert verdict</t>
        </is>
      </c>
      <c r="J21" s="11" t="inlineStr">
        <is>
          <t>Notes</t>
        </is>
      </c>
    </row>
    <row r="22" ht="44" customHeight="1">
      <c r="A22" s="4" t="n">
        <v>1</v>
      </c>
      <c r="B22" s="4" t="n"/>
      <c r="C22" s="4" t="n"/>
      <c r="D22" s="4" t="n"/>
      <c r="E22" s="4" t="n"/>
      <c r="F22" s="4" t="n"/>
      <c r="G22" s="4" t="n"/>
      <c r="H22" s="4" t="n"/>
      <c r="I22" s="4" t="n"/>
      <c r="J22" s="4" t="n"/>
    </row>
    <row r="23" ht="44" customHeight="1">
      <c r="A23" s="4" t="n">
        <v>2</v>
      </c>
      <c r="B23" s="4" t="n"/>
      <c r="C23" s="4" t="n"/>
      <c r="D23" s="4" t="n"/>
      <c r="E23" s="4" t="n"/>
      <c r="F23" s="4" t="n"/>
      <c r="G23" s="4" t="n"/>
      <c r="H23" s="4" t="n"/>
      <c r="I23" s="4" t="n"/>
      <c r="J23" s="4" t="n"/>
    </row>
    <row r="24" ht="44" customHeight="1">
      <c r="A24" s="4" t="n">
        <v>3</v>
      </c>
      <c r="B24" s="4" t="n"/>
      <c r="C24" s="4" t="n"/>
      <c r="D24" s="4" t="n"/>
      <c r="E24" s="4" t="n"/>
      <c r="F24" s="4" t="n"/>
      <c r="G24" s="4" t="n"/>
      <c r="H24" s="4" t="n"/>
      <c r="I24" s="4" t="n"/>
      <c r="J24" s="4" t="n"/>
    </row>
    <row r="25" ht="44" customHeight="1">
      <c r="A25" s="4" t="n">
        <v>4</v>
      </c>
      <c r="B25" s="4" t="n"/>
      <c r="C25" s="4" t="n"/>
      <c r="D25" s="4" t="n"/>
      <c r="E25" s="4" t="n"/>
      <c r="F25" s="4" t="n"/>
      <c r="G25" s="4" t="n"/>
      <c r="H25" s="4" t="n"/>
      <c r="I25" s="4" t="n"/>
      <c r="J25" s="4" t="n"/>
    </row>
    <row r="26" ht="44" customHeight="1">
      <c r="A26" s="4" t="n">
        <v>5</v>
      </c>
      <c r="B26" s="4" t="n"/>
      <c r="C26" s="4" t="n"/>
      <c r="D26" s="4" t="n"/>
      <c r="E26" s="4" t="n"/>
      <c r="F26" s="4" t="n"/>
      <c r="G26" s="4" t="n"/>
      <c r="H26" s="4" t="n"/>
      <c r="I26" s="4" t="n"/>
      <c r="J26" s="4" t="n"/>
    </row>
    <row r="27" ht="44" customHeight="1">
      <c r="A27" s="4" t="n">
        <v>6</v>
      </c>
      <c r="B27" s="4" t="n"/>
      <c r="C27" s="4" t="n"/>
      <c r="D27" s="4" t="n"/>
      <c r="E27" s="4" t="n"/>
      <c r="F27" s="4" t="n"/>
      <c r="G27" s="4" t="n"/>
      <c r="H27" s="4" t="n"/>
      <c r="I27" s="4" t="n"/>
      <c r="J27" s="4" t="n"/>
    </row>
    <row r="28" ht="44" customHeight="1">
      <c r="A28" s="4" t="n">
        <v>7</v>
      </c>
      <c r="B28" s="4" t="n"/>
      <c r="C28" s="4" t="n"/>
      <c r="D28" s="4" t="n"/>
      <c r="E28" s="4" t="n"/>
      <c r="F28" s="4" t="n"/>
      <c r="G28" s="4" t="n"/>
      <c r="H28" s="4" t="n"/>
      <c r="I28" s="4" t="n"/>
      <c r="J28" s="4" t="n"/>
    </row>
    <row r="29" ht="44" customHeight="1">
      <c r="A29" s="4" t="n">
        <v>8</v>
      </c>
      <c r="B29" s="4" t="n"/>
      <c r="C29" s="4" t="n"/>
      <c r="D29" s="4" t="n"/>
      <c r="E29" s="4" t="n"/>
      <c r="F29" s="4" t="n"/>
      <c r="G29" s="4" t="n"/>
      <c r="H29" s="4" t="n"/>
      <c r="I29" s="4" t="n"/>
      <c r="J29" s="4" t="n"/>
    </row>
    <row r="30" ht="44" customHeight="1">
      <c r="A30" s="4" t="n">
        <v>9</v>
      </c>
      <c r="B30" s="4" t="n"/>
      <c r="C30" s="4" t="n"/>
      <c r="D30" s="4" t="n"/>
      <c r="E30" s="4" t="n"/>
      <c r="F30" s="4" t="n"/>
      <c r="G30" s="4" t="n"/>
      <c r="H30" s="4" t="n"/>
      <c r="I30" s="4" t="n"/>
      <c r="J30" s="4" t="n"/>
    </row>
    <row r="31" ht="44" customHeight="1">
      <c r="A31" s="4" t="n">
        <v>10</v>
      </c>
      <c r="B31" s="4" t="n"/>
      <c r="C31" s="4" t="n"/>
      <c r="D31" s="4" t="n"/>
      <c r="E31" s="4" t="n"/>
      <c r="F31" s="4" t="n"/>
      <c r="G31" s="4" t="n"/>
      <c r="H31" s="4" t="n"/>
      <c r="I31" s="4" t="n"/>
      <c r="J31" s="4" t="n"/>
    </row>
    <row r="32" ht="44" customHeight="1">
      <c r="A32" s="4" t="n">
        <v>11</v>
      </c>
      <c r="B32" s="4" t="n"/>
      <c r="C32" s="4" t="n"/>
      <c r="D32" s="4" t="n"/>
      <c r="E32" s="4" t="n"/>
      <c r="F32" s="4" t="n"/>
      <c r="G32" s="4" t="n"/>
      <c r="H32" s="4" t="n"/>
      <c r="I32" s="4" t="n"/>
      <c r="J32" s="4" t="n"/>
    </row>
    <row r="33" ht="44" customHeight="1">
      <c r="A33" s="4" t="n">
        <v>12</v>
      </c>
      <c r="B33" s="4" t="n"/>
      <c r="C33" s="4" t="n"/>
      <c r="D33" s="4" t="n"/>
      <c r="E33" s="4" t="n"/>
      <c r="F33" s="4" t="n"/>
      <c r="G33" s="4" t="n"/>
      <c r="H33" s="4" t="n"/>
      <c r="I33" s="4" t="n"/>
      <c r="J33" s="4" t="n"/>
    </row>
    <row r="34" ht="44" customHeight="1">
      <c r="A34" s="4" t="n">
        <v>13</v>
      </c>
      <c r="B34" s="4" t="n"/>
      <c r="C34" s="4" t="n"/>
      <c r="D34" s="4" t="n"/>
      <c r="E34" s="4" t="n"/>
      <c r="F34" s="4" t="n"/>
      <c r="G34" s="4" t="n"/>
      <c r="H34" s="4" t="n"/>
      <c r="I34" s="4" t="n"/>
      <c r="J34" s="4" t="n"/>
    </row>
    <row r="35" ht="44" customHeight="1">
      <c r="A35" s="4" t="n">
        <v>14</v>
      </c>
      <c r="B35" s="4" t="n"/>
      <c r="C35" s="4" t="n"/>
      <c r="D35" s="4" t="n"/>
      <c r="E35" s="4" t="n"/>
      <c r="F35" s="4" t="n"/>
      <c r="G35" s="4" t="n"/>
      <c r="H35" s="4" t="n"/>
      <c r="I35" s="4" t="n"/>
      <c r="J35" s="4" t="n"/>
    </row>
    <row r="36" ht="44" customHeight="1">
      <c r="A36" s="4" t="n">
        <v>15</v>
      </c>
      <c r="B36" s="4" t="n"/>
      <c r="C36" s="4" t="n"/>
      <c r="D36" s="4" t="n"/>
      <c r="E36" s="4" t="n"/>
      <c r="F36" s="4" t="n"/>
      <c r="G36" s="4" t="n"/>
      <c r="H36" s="4" t="n"/>
      <c r="I36" s="4" t="n"/>
      <c r="J36" s="4" t="n"/>
    </row>
    <row r="37">
      <c r="A37" s="3" t="n"/>
      <c r="B37" s="3" t="n"/>
      <c r="C37" s="3" t="n"/>
      <c r="D37" s="3" t="n"/>
      <c r="E37" s="3" t="n"/>
      <c r="F37" s="3" t="n"/>
      <c r="G37" s="3" t="n"/>
      <c r="H37" s="3" t="n"/>
      <c r="I37" s="3" t="n"/>
      <c r="J37" s="3" t="n"/>
    </row>
    <row r="38">
      <c r="A38" s="8" t="inlineStr">
        <is>
          <t>Claim-by-claim review</t>
        </is>
      </c>
      <c r="B38" s="3" t="n"/>
      <c r="C38" s="3" t="n"/>
      <c r="D38" s="3" t="n"/>
      <c r="E38" s="3" t="n"/>
      <c r="F38" s="3" t="n"/>
      <c r="G38" s="3" t="n"/>
      <c r="H38" s="3" t="n"/>
      <c r="I38" s="3" t="n"/>
      <c r="J38" s="3" t="n"/>
    </row>
    <row r="39">
      <c r="A39" s="11" t="inlineStr">
        <is>
          <t>Claim ID</t>
        </is>
      </c>
      <c r="B39" s="11" t="inlineStr">
        <is>
          <t>Claim from answer</t>
        </is>
      </c>
      <c r="C39" s="11" t="inlineStr">
        <is>
          <t>Citation used</t>
        </is>
      </c>
      <c r="D39" s="11" t="inlineStr">
        <is>
          <t>Expert verdict</t>
        </is>
      </c>
      <c r="E39" s="11" t="inlineStr">
        <is>
          <t>Issue type</t>
        </is>
      </c>
      <c r="F39" s="11" t="inlineStr">
        <is>
          <t>Cited passage / source note</t>
        </is>
      </c>
      <c r="G39" s="11" t="inlineStr">
        <is>
          <t>Required fix / comment</t>
        </is>
      </c>
      <c r="H39" s="11" t="inlineStr">
        <is>
          <t>Reviewer</t>
        </is>
      </c>
      <c r="I39" s="11" t="n"/>
      <c r="J39" s="11" t="n"/>
    </row>
    <row r="40" ht="54" customHeight="1">
      <c r="A40" s="4" t="n">
        <v>1</v>
      </c>
      <c r="B40" s="4" t="n"/>
      <c r="C40" s="4" t="n"/>
      <c r="D40" s="4" t="n"/>
      <c r="E40" s="4" t="n"/>
      <c r="F40" s="4" t="n"/>
      <c r="G40" s="4" t="n"/>
      <c r="H40" s="4" t="n"/>
      <c r="I40" s="3" t="n"/>
      <c r="J40" s="3" t="n"/>
    </row>
    <row r="41" ht="54" customHeight="1">
      <c r="A41" s="4" t="n">
        <v>2</v>
      </c>
      <c r="B41" s="4" t="n"/>
      <c r="C41" s="4" t="n"/>
      <c r="D41" s="4" t="n"/>
      <c r="E41" s="4" t="n"/>
      <c r="F41" s="4" t="n"/>
      <c r="G41" s="4" t="n"/>
      <c r="H41" s="4" t="n"/>
      <c r="I41" s="3" t="n"/>
      <c r="J41" s="3" t="n"/>
    </row>
    <row r="42" ht="54" customHeight="1">
      <c r="A42" s="4" t="n">
        <v>3</v>
      </c>
      <c r="B42" s="4" t="n"/>
      <c r="C42" s="4" t="n"/>
      <c r="D42" s="4" t="n"/>
      <c r="E42" s="4" t="n"/>
      <c r="F42" s="4" t="n"/>
      <c r="G42" s="4" t="n"/>
      <c r="H42" s="4" t="n"/>
      <c r="I42" s="3" t="n"/>
      <c r="J42" s="3" t="n"/>
    </row>
    <row r="43" ht="54" customHeight="1">
      <c r="A43" s="4" t="n">
        <v>4</v>
      </c>
      <c r="B43" s="4" t="n"/>
      <c r="C43" s="4" t="n"/>
      <c r="D43" s="4" t="n"/>
      <c r="E43" s="4" t="n"/>
      <c r="F43" s="4" t="n"/>
      <c r="G43" s="4" t="n"/>
      <c r="H43" s="4" t="n"/>
      <c r="I43" s="3" t="n"/>
      <c r="J43" s="3" t="n"/>
    </row>
    <row r="44" ht="54" customHeight="1">
      <c r="A44" s="4" t="n">
        <v>5</v>
      </c>
      <c r="B44" s="4" t="n"/>
      <c r="C44" s="4" t="n"/>
      <c r="D44" s="4" t="n"/>
      <c r="E44" s="4" t="n"/>
      <c r="F44" s="4" t="n"/>
      <c r="G44" s="4" t="n"/>
      <c r="H44" s="4" t="n"/>
      <c r="I44" s="3" t="n"/>
      <c r="J44" s="3" t="n"/>
    </row>
    <row r="45" ht="54" customHeight="1">
      <c r="A45" s="4" t="n">
        <v>6</v>
      </c>
      <c r="B45" s="4" t="n"/>
      <c r="C45" s="4" t="n"/>
      <c r="D45" s="4" t="n"/>
      <c r="E45" s="4" t="n"/>
      <c r="F45" s="4" t="n"/>
      <c r="G45" s="4" t="n"/>
      <c r="H45" s="4" t="n"/>
      <c r="I45" s="3" t="n"/>
      <c r="J45" s="3" t="n"/>
    </row>
    <row r="46" ht="54" customHeight="1">
      <c r="A46" s="4" t="n">
        <v>7</v>
      </c>
      <c r="B46" s="4" t="n"/>
      <c r="C46" s="4" t="n"/>
      <c r="D46" s="4" t="n"/>
      <c r="E46" s="4" t="n"/>
      <c r="F46" s="4" t="n"/>
      <c r="G46" s="4" t="n"/>
      <c r="H46" s="4" t="n"/>
      <c r="I46" s="3" t="n"/>
      <c r="J46" s="3" t="n"/>
    </row>
    <row r="47" ht="54" customHeight="1">
      <c r="A47" s="4" t="n">
        <v>8</v>
      </c>
      <c r="B47" s="4" t="n"/>
      <c r="C47" s="4" t="n"/>
      <c r="D47" s="4" t="n"/>
      <c r="E47" s="4" t="n"/>
      <c r="F47" s="4" t="n"/>
      <c r="G47" s="4" t="n"/>
      <c r="H47" s="4" t="n"/>
      <c r="I47" s="3" t="n"/>
      <c r="J47" s="3" t="n"/>
    </row>
    <row r="48" ht="54" customHeight="1">
      <c r="A48" s="4" t="n">
        <v>9</v>
      </c>
      <c r="B48" s="4" t="n"/>
      <c r="C48" s="4" t="n"/>
      <c r="D48" s="4" t="n"/>
      <c r="E48" s="4" t="n"/>
      <c r="F48" s="4" t="n"/>
      <c r="G48" s="4" t="n"/>
      <c r="H48" s="4" t="n"/>
      <c r="I48" s="3" t="n"/>
      <c r="J48" s="3" t="n"/>
    </row>
    <row r="49" ht="54" customHeight="1">
      <c r="A49" s="4" t="n">
        <v>10</v>
      </c>
      <c r="B49" s="4" t="n"/>
      <c r="C49" s="4" t="n"/>
      <c r="D49" s="4" t="n"/>
      <c r="E49" s="4" t="n"/>
      <c r="F49" s="4" t="n"/>
      <c r="G49" s="4" t="n"/>
      <c r="H49" s="4" t="n"/>
      <c r="I49" s="3" t="n"/>
      <c r="J49" s="3" t="n"/>
    </row>
    <row r="50" ht="54" customHeight="1">
      <c r="A50" s="4" t="n">
        <v>11</v>
      </c>
      <c r="B50" s="4" t="n"/>
      <c r="C50" s="4" t="n"/>
      <c r="D50" s="4" t="n"/>
      <c r="E50" s="4" t="n"/>
      <c r="F50" s="4" t="n"/>
      <c r="G50" s="4" t="n"/>
      <c r="H50" s="4" t="n"/>
      <c r="I50" s="3" t="n"/>
      <c r="J50" s="3" t="n"/>
    </row>
    <row r="51" ht="54" customHeight="1">
      <c r="A51" s="4" t="n">
        <v>12</v>
      </c>
      <c r="B51" s="4" t="n"/>
      <c r="C51" s="4" t="n"/>
      <c r="D51" s="4" t="n"/>
      <c r="E51" s="4" t="n"/>
      <c r="F51" s="4" t="n"/>
      <c r="G51" s="4" t="n"/>
      <c r="H51" s="4" t="n"/>
      <c r="I51" s="3" t="n"/>
      <c r="J51" s="3" t="n"/>
    </row>
    <row r="52" ht="54" customHeight="1">
      <c r="A52" s="4" t="n">
        <v>13</v>
      </c>
      <c r="B52" s="4" t="n"/>
      <c r="C52" s="4" t="n"/>
      <c r="D52" s="4" t="n"/>
      <c r="E52" s="4" t="n"/>
      <c r="F52" s="4" t="n"/>
      <c r="G52" s="4" t="n"/>
      <c r="H52" s="4" t="n"/>
      <c r="I52" s="3" t="n"/>
      <c r="J52" s="3" t="n"/>
    </row>
    <row r="53" ht="54" customHeight="1">
      <c r="A53" s="4" t="n">
        <v>14</v>
      </c>
      <c r="B53" s="4" t="n"/>
      <c r="C53" s="4" t="n"/>
      <c r="D53" s="4" t="n"/>
      <c r="E53" s="4" t="n"/>
      <c r="F53" s="4" t="n"/>
      <c r="G53" s="4" t="n"/>
      <c r="H53" s="4" t="n"/>
      <c r="I53" s="3" t="n"/>
      <c r="J53" s="3" t="n"/>
    </row>
    <row r="54" ht="54" customHeight="1">
      <c r="A54" s="4" t="n">
        <v>15</v>
      </c>
      <c r="B54" s="4" t="n"/>
      <c r="C54" s="4" t="n"/>
      <c r="D54" s="4" t="n"/>
      <c r="E54" s="4" t="n"/>
      <c r="F54" s="4" t="n"/>
      <c r="G54" s="4" t="n"/>
      <c r="H54" s="4" t="n"/>
      <c r="I54" s="3" t="n"/>
      <c r="J54" s="3" t="n"/>
    </row>
    <row r="55" ht="54" customHeight="1">
      <c r="A55" s="4" t="n">
        <v>16</v>
      </c>
      <c r="B55" s="4" t="n"/>
      <c r="C55" s="4" t="n"/>
      <c r="D55" s="4" t="n"/>
      <c r="E55" s="4" t="n"/>
      <c r="F55" s="4" t="n"/>
      <c r="G55" s="4" t="n"/>
      <c r="H55" s="4" t="n"/>
      <c r="I55" s="3" t="n"/>
      <c r="J55" s="3" t="n"/>
    </row>
    <row r="56" ht="54" customHeight="1">
      <c r="A56" s="4" t="n">
        <v>17</v>
      </c>
      <c r="B56" s="4" t="n"/>
      <c r="C56" s="4" t="n"/>
      <c r="D56" s="4" t="n"/>
      <c r="E56" s="4" t="n"/>
      <c r="F56" s="4" t="n"/>
      <c r="G56" s="4" t="n"/>
      <c r="H56" s="4" t="n"/>
      <c r="I56" s="3" t="n"/>
      <c r="J56" s="3" t="n"/>
    </row>
    <row r="57" ht="54" customHeight="1">
      <c r="A57" s="4" t="n">
        <v>18</v>
      </c>
      <c r="B57" s="4" t="n"/>
      <c r="C57" s="4" t="n"/>
      <c r="D57" s="4" t="n"/>
      <c r="E57" s="4" t="n"/>
      <c r="F57" s="4" t="n"/>
      <c r="G57" s="4" t="n"/>
      <c r="H57" s="4" t="n"/>
      <c r="I57" s="3" t="n"/>
      <c r="J57" s="3" t="n"/>
    </row>
    <row r="58" ht="54" customHeight="1">
      <c r="A58" s="4" t="n">
        <v>19</v>
      </c>
      <c r="B58" s="4" t="n"/>
      <c r="C58" s="4" t="n"/>
      <c r="D58" s="4" t="n"/>
      <c r="E58" s="4" t="n"/>
      <c r="F58" s="4" t="n"/>
      <c r="G58" s="4" t="n"/>
      <c r="H58" s="4" t="n"/>
      <c r="I58" s="3" t="n"/>
      <c r="J58" s="3" t="n"/>
    </row>
    <row r="59" ht="54" customHeight="1">
      <c r="A59" s="4" t="n">
        <v>20</v>
      </c>
      <c r="B59" s="4" t="n"/>
      <c r="C59" s="4" t="n"/>
      <c r="D59" s="4" t="n"/>
      <c r="E59" s="4" t="n"/>
      <c r="F59" s="4" t="n"/>
      <c r="G59" s="4" t="n"/>
      <c r="H59" s="4" t="n"/>
      <c r="I59" s="3" t="n"/>
      <c r="J59" s="3" t="n"/>
    </row>
    <row r="60">
      <c r="A60" s="3" t="n"/>
      <c r="B60" s="3" t="n"/>
      <c r="C60" s="3" t="n"/>
      <c r="D60" s="3" t="n"/>
      <c r="E60" s="3" t="n"/>
      <c r="F60" s="3" t="n"/>
      <c r="G60" s="3" t="n"/>
      <c r="H60" s="3" t="n"/>
      <c r="I60" s="3" t="n"/>
      <c r="J60" s="3" t="n"/>
    </row>
    <row r="61">
      <c r="A61" s="8" t="inlineStr">
        <is>
          <t>Final expert verdict</t>
        </is>
      </c>
      <c r="B61" s="3" t="n"/>
      <c r="C61" s="3" t="n"/>
      <c r="D61" s="3" t="n"/>
      <c r="E61" s="3" t="n"/>
      <c r="F61" s="3" t="n"/>
      <c r="G61" s="3" t="n"/>
      <c r="H61" s="3" t="n"/>
      <c r="I61" s="3" t="n"/>
      <c r="J61" s="3" t="n"/>
    </row>
    <row r="62">
      <c r="A62" s="12" t="inlineStr">
        <is>
          <t>Is the answer acceptable?</t>
        </is>
      </c>
      <c r="B62" s="4" t="inlineStr"/>
      <c r="C62" s="4" t="n"/>
      <c r="D62" s="4" t="n"/>
      <c r="E62" s="4" t="n"/>
      <c r="F62" s="4" t="n"/>
      <c r="G62" s="4" t="n"/>
      <c r="H62" s="4" t="n"/>
      <c r="I62" s="3" t="n"/>
      <c r="J62" s="3" t="n"/>
    </row>
    <row r="63" ht="54" customHeight="1">
      <c r="A63" s="12" t="inlineStr">
        <is>
          <t>Overall comment / required fixes</t>
        </is>
      </c>
      <c r="B63" s="4" t="n"/>
      <c r="C63" s="4" t="n"/>
      <c r="D63" s="4" t="n"/>
      <c r="E63" s="4" t="n"/>
      <c r="F63" s="4" t="n"/>
      <c r="G63" s="4" t="n"/>
      <c r="H63" s="4" t="n"/>
      <c r="I63" s="3" t="n"/>
      <c r="J63" s="3" t="n"/>
    </row>
    <row r="64">
      <c r="A64" s="4" t="n"/>
      <c r="B64" s="4" t="n"/>
      <c r="C64" s="4" t="n"/>
      <c r="D64" s="4" t="n"/>
      <c r="E64" s="4" t="n"/>
      <c r="F64" s="4" t="n"/>
      <c r="G64" s="4" t="n"/>
      <c r="H64" s="4" t="n"/>
      <c r="I64" s="3" t="n"/>
      <c r="J64" s="3" t="n"/>
    </row>
    <row r="65">
      <c r="A65" s="12" t="inlineStr">
        <is>
          <t>Missing key sources?</t>
        </is>
      </c>
      <c r="B65" s="4" t="n"/>
      <c r="C65" s="4" t="n"/>
      <c r="D65" s="4" t="n"/>
      <c r="E65" s="4" t="n"/>
      <c r="F65" s="4" t="n"/>
      <c r="G65" s="4" t="n"/>
      <c r="H65" s="4" t="n"/>
      <c r="I65" s="3" t="n"/>
      <c r="J65" s="3" t="n"/>
    </row>
    <row r="66">
      <c r="A66" s="12" t="inlineStr">
        <is>
          <t>Review completed?</t>
        </is>
      </c>
      <c r="B66" s="4" t="inlineStr"/>
      <c r="C66" s="4" t="n"/>
      <c r="D66" s="4" t="n"/>
      <c r="E66" s="4" t="n"/>
      <c r="F66" s="4" t="n"/>
      <c r="G66" s="4" t="n"/>
      <c r="H66" s="4" t="n"/>
      <c r="I66" s="3" t="n"/>
      <c r="J66" s="3" t="n"/>
    </row>
    <row r="67">
      <c r="A67" s="12" t="inlineStr">
        <is>
          <t>Reviewer</t>
        </is>
      </c>
      <c r="B67" s="4" t="n"/>
      <c r="C67" s="12" t="inlineStr">
        <is>
          <t>Review date</t>
        </is>
      </c>
      <c r="D67" s="5" t="inlineStr"/>
      <c r="E67" s="4" t="n"/>
      <c r="F67" s="4" t="n"/>
      <c r="G67" s="4" t="n"/>
      <c r="H67" s="4" t="n"/>
      <c r="I67" s="3" t="n"/>
      <c r="J67" s="3" t="n"/>
    </row>
    <row r="68">
      <c r="A68" s="3" t="n"/>
      <c r="B68" s="3" t="n"/>
      <c r="C68" s="3" t="n"/>
      <c r="D68" s="3" t="n"/>
      <c r="E68" s="3" t="n"/>
      <c r="F68" s="3" t="n"/>
      <c r="G68" s="3" t="n"/>
      <c r="H68" s="3" t="n"/>
      <c r="I68" s="3" t="n"/>
      <c r="J68" s="3" t="n"/>
    </row>
    <row r="69">
      <c r="A69" s="8" t="inlineStr">
        <is>
          <t>Original source notes</t>
        </is>
      </c>
      <c r="B69" s="3" t="n"/>
      <c r="C69" s="3" t="n"/>
      <c r="D69" s="3" t="n"/>
      <c r="E69" s="3" t="n"/>
      <c r="F69" s="3" t="n"/>
      <c r="G69" s="3" t="n"/>
      <c r="H69" s="3" t="n"/>
      <c r="I69" s="3" t="n"/>
      <c r="J69" s="3" t="n"/>
    </row>
    <row r="70">
      <c r="A70" s="12" t="inlineStr">
        <is>
          <t>WAB notes</t>
        </is>
      </c>
      <c r="B70" s="4" t="inlineStr">
        <is>
          <t>Your document gave this as "the same attorney-client privilege question transposed to European Commission inspections". This is our wording of it — check we transposed it as you meant.</t>
        </is>
      </c>
      <c r="C70" s="4" t="n"/>
      <c r="D70" s="4" t="n"/>
      <c r="E70" s="4" t="n"/>
      <c r="F70" s="4" t="n"/>
      <c r="G70" s="4" t="n"/>
      <c r="H70" s="4" t="n"/>
      <c r="I70" s="3" t="n"/>
      <c r="J70" s="3" t="n"/>
    </row>
    <row r="71" ht="54" customHeight="1">
      <c r="A71" s="12" t="inlineStr">
        <is>
          <t>Reviewer notes from question approval</t>
        </is>
      </c>
      <c r="B71" s="4" t="inlineStr">
        <is>
          <t>nothing to be changed.</t>
        </is>
      </c>
      <c r="C71" s="4" t="n"/>
      <c r="D71" s="4" t="n"/>
      <c r="E71" s="4" t="n"/>
      <c r="F71" s="4" t="n"/>
      <c r="G71" s="4" t="n"/>
      <c r="H71" s="4" t="n"/>
      <c r="I71" s="3" t="n"/>
      <c r="J71" s="3" t="n"/>
    </row>
    <row r="72">
      <c r="A72" s="4" t="n"/>
      <c r="B72" s="4" t="n"/>
      <c r="C72" s="4" t="n"/>
      <c r="D72" s="4" t="n"/>
      <c r="E72" s="4" t="n"/>
      <c r="F72" s="4" t="n"/>
      <c r="G72" s="4" t="n"/>
      <c r="H72" s="4" t="n"/>
      <c r="I72" s="3" t="n"/>
      <c r="J72" s="3" t="n"/>
    </row>
  </sheetData>
  <autoFilter ref="A21:J36"/>
  <mergeCells count="20">
    <mergeCell ref="B65:H65"/>
    <mergeCell ref="B71:H72"/>
    <mergeCell ref="B6:H6"/>
    <mergeCell ref="A20:J20"/>
    <mergeCell ref="A1:H1"/>
    <mergeCell ref="B5:H5"/>
    <mergeCell ref="A61:H61"/>
    <mergeCell ref="A69:H69"/>
    <mergeCell ref="B4:H4"/>
    <mergeCell ref="B62:H62"/>
    <mergeCell ref="B7:H7"/>
    <mergeCell ref="B66:H66"/>
    <mergeCell ref="A3:H3"/>
    <mergeCell ref="A16:H18"/>
    <mergeCell ref="B70:H70"/>
    <mergeCell ref="A14:H14"/>
    <mergeCell ref="B63:H64"/>
    <mergeCell ref="B8:H8"/>
    <mergeCell ref="B10:H12"/>
    <mergeCell ref="A38:H38"/>
  </mergeCells>
  <dataValidations count="9">
    <dataValidation sqref="C22:C36" showDropDown="0" showInputMessage="0" showErrorMessage="0" allowBlank="1" type="list">
      <formula1>=Lists!$F$2:$F$5</formula1>
    </dataValidation>
    <dataValidation sqref="F22:F36" showDropDown="0" showInputMessage="0" showErrorMessage="0" allowBlank="1" type="list">
      <formula1>=Lists!$G$2:$G$4</formula1>
    </dataValidation>
    <dataValidation sqref="G22:G36" showDropDown="0" showInputMessage="0" showErrorMessage="0" allowBlank="1" type="list">
      <formula1>=Lists!$G$2:$G$4</formula1>
    </dataValidation>
    <dataValidation sqref="H22:H36" showDropDown="0" showInputMessage="0" showErrorMessage="0" allowBlank="1" type="list">
      <formula1>=Lists!$G$2:$G$4</formula1>
    </dataValidation>
    <dataValidation sqref="I22:I36" showDropDown="0" showInputMessage="0" showErrorMessage="0" allowBlank="1" type="list">
      <formula1>=Lists!$H$2:$H$6</formula1>
    </dataValidation>
    <dataValidation sqref="D40:D59" showDropDown="0" showInputMessage="0" showErrorMessage="0" allowBlank="1" type="list">
      <formula1>=Lists!$D$2:$D$7</formula1>
    </dataValidation>
    <dataValidation sqref="E40:E59" showDropDown="0" showInputMessage="0" showErrorMessage="0" allowBlank="1" type="list">
      <formula1>=Lists!$E$2:$E$8</formula1>
    </dataValidation>
    <dataValidation sqref="B62" showDropDown="0" showInputMessage="0" showErrorMessage="0" allowBlank="1" type="list">
      <formula1>=Lists!$C$2:$C$4</formula1>
    </dataValidation>
    <dataValidation sqref="B66" showDropDown="0" showInputMessage="0" showErrorMessage="0" allowBlank="1" type="list">
      <formula1>=Lists!$A$2:$A$3</formula1>
    </dataValidation>
  </dataValidations>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J72"/>
  <sheetViews>
    <sheetView showGridLines="0" workbookViewId="0">
      <pane ySplit="21" topLeftCell="A22" activePane="bottomLeft" state="frozen"/>
      <selection pane="bottomLeft" activeCell="A1" sqref="A1"/>
    </sheetView>
  </sheetViews>
  <sheetFormatPr baseColWidth="8" defaultRowHeight="15"/>
  <cols>
    <col width="12" customWidth="1" min="1" max="1"/>
    <col width="34" customWidth="1" min="2" max="2"/>
    <col width="22" customWidth="1" min="3" max="3"/>
    <col width="18" customWidth="1" min="4" max="4"/>
    <col width="20" customWidth="1" min="5" max="5"/>
    <col width="30" customWidth="1" min="6" max="6"/>
    <col width="34" customWidth="1" min="7" max="7"/>
    <col width="18" customWidth="1" min="8" max="8"/>
    <col width="18" customWidth="1" min="9" max="9"/>
    <col width="30" customWidth="1" min="10" max="10"/>
  </cols>
  <sheetData>
    <row r="1" ht="28" customHeight="1">
      <c r="A1" s="6" t="inlineStr">
        <is>
          <t>Q16 — Expert Review</t>
        </is>
      </c>
      <c r="B1" s="3" t="n"/>
      <c r="C1" s="3" t="n"/>
      <c r="D1" s="3" t="n"/>
      <c r="E1" s="3" t="n"/>
      <c r="F1" s="3" t="n"/>
      <c r="G1" s="3" t="n"/>
      <c r="H1" s="3" t="n"/>
      <c r="I1" s="3" t="n"/>
      <c r="J1" s="3" t="n"/>
    </row>
    <row r="2">
      <c r="A2" s="3" t="n"/>
      <c r="B2" s="3" t="n"/>
      <c r="C2" s="3" t="n"/>
      <c r="D2" s="3" t="n"/>
      <c r="E2" s="3" t="n"/>
      <c r="F2" s="3" t="n"/>
      <c r="G2" s="3" t="n"/>
      <c r="H2" s="3" t="n"/>
      <c r="I2" s="3" t="n"/>
      <c r="J2" s="3" t="n"/>
    </row>
    <row r="3">
      <c r="A3" s="8" t="inlineStr">
        <is>
          <t>Question metadata</t>
        </is>
      </c>
      <c r="B3" s="3" t="n"/>
      <c r="C3" s="3" t="n"/>
      <c r="D3" s="3" t="n"/>
      <c r="E3" s="3" t="n"/>
      <c r="F3" s="3" t="n"/>
      <c r="G3" s="3" t="n"/>
      <c r="H3" s="3" t="n"/>
      <c r="I3" s="3" t="n"/>
      <c r="J3" s="3" t="n"/>
    </row>
    <row r="4">
      <c r="A4" s="9" t="inlineStr">
        <is>
          <t>Question ID</t>
        </is>
      </c>
      <c r="B4" s="3" t="n">
        <v>16</v>
      </c>
      <c r="C4" s="3" t="n"/>
      <c r="D4" s="3" t="n"/>
      <c r="E4" s="3" t="n"/>
      <c r="F4" s="3" t="n"/>
      <c r="G4" s="3" t="n"/>
      <c r="H4" s="3" t="n"/>
      <c r="I4" s="3" t="n"/>
      <c r="J4" s="3" t="n"/>
    </row>
    <row r="5">
      <c r="A5" s="9" t="inlineStr">
        <is>
          <t>Topic</t>
        </is>
      </c>
      <c r="B5" s="3" t="inlineStr">
        <is>
          <t>Dawn raids — personal data</t>
        </is>
      </c>
      <c r="C5" s="3" t="n"/>
      <c r="D5" s="3" t="n"/>
      <c r="E5" s="3" t="n"/>
      <c r="F5" s="3" t="n"/>
      <c r="G5" s="3" t="n"/>
      <c r="H5" s="3" t="n"/>
      <c r="I5" s="3" t="n"/>
      <c r="J5" s="3" t="n"/>
    </row>
    <row r="6">
      <c r="A6" s="9" t="inlineStr">
        <is>
          <t>Scope</t>
        </is>
      </c>
      <c r="B6" s="3" t="inlineStr">
        <is>
          <t>EU</t>
        </is>
      </c>
      <c r="C6" s="3" t="n"/>
      <c r="D6" s="3" t="n"/>
      <c r="E6" s="3" t="n"/>
      <c r="F6" s="3" t="n"/>
      <c r="G6" s="3" t="n"/>
      <c r="H6" s="3" t="n"/>
      <c r="I6" s="3" t="n"/>
      <c r="J6" s="3" t="n"/>
    </row>
    <row r="7">
      <c r="A7" s="9" t="inlineStr">
        <is>
          <t>Original reviewer</t>
        </is>
      </c>
      <c r="B7" s="3" t="inlineStr">
        <is>
          <t>Carolina</t>
        </is>
      </c>
      <c r="C7" s="3" t="n"/>
      <c r="D7" s="3" t="n"/>
      <c r="E7" s="3" t="n"/>
      <c r="F7" s="3" t="n"/>
      <c r="G7" s="3" t="n"/>
      <c r="H7" s="3" t="n"/>
      <c r="I7" s="3" t="n"/>
      <c r="J7" s="3" t="n"/>
    </row>
    <row r="8">
      <c r="A8" s="9" t="inlineStr">
        <is>
          <t>Original status</t>
        </is>
      </c>
      <c r="B8" s="3" t="inlineStr">
        <is>
          <t>Approved</t>
        </is>
      </c>
      <c r="C8" s="3" t="n"/>
      <c r="D8" s="3" t="n"/>
      <c r="E8" s="3" t="n"/>
      <c r="F8" s="3" t="n"/>
      <c r="G8" s="3" t="n"/>
      <c r="H8" s="3" t="n"/>
      <c r="I8" s="3" t="n"/>
      <c r="J8" s="3" t="n"/>
    </row>
    <row r="9">
      <c r="A9" s="3" t="n"/>
      <c r="B9" s="3" t="n"/>
      <c r="C9" s="3" t="n"/>
      <c r="D9" s="3" t="n"/>
      <c r="E9" s="3" t="n"/>
      <c r="F9" s="3" t="n"/>
      <c r="G9" s="3" t="n"/>
      <c r="H9" s="3" t="n"/>
      <c r="I9" s="3" t="n"/>
      <c r="J9" s="3" t="n"/>
    </row>
    <row r="10" ht="45" customHeight="1">
      <c r="A10" s="9" t="inlineStr">
        <is>
          <t>Question</t>
        </is>
      </c>
      <c r="B10" s="3" t="inlineStr">
        <is>
          <t>Under what conditions must the European Commission protect personal data during an inspection? Does the GDPR apply? Must documents be sealed on request?</t>
        </is>
      </c>
      <c r="C10" s="3" t="n"/>
      <c r="D10" s="3" t="n"/>
      <c r="E10" s="3" t="n"/>
      <c r="F10" s="3" t="n"/>
      <c r="G10" s="3" t="n"/>
      <c r="H10" s="3" t="n"/>
      <c r="I10" s="3" t="n"/>
      <c r="J10" s="3" t="n"/>
    </row>
    <row r="11">
      <c r="A11" s="3" t="n"/>
      <c r="B11" s="3" t="n"/>
      <c r="C11" s="3" t="n"/>
      <c r="D11" s="3" t="n"/>
      <c r="E11" s="3" t="n"/>
      <c r="F11" s="3" t="n"/>
      <c r="G11" s="3" t="n"/>
      <c r="H11" s="3" t="n"/>
      <c r="I11" s="3" t="n"/>
      <c r="J11" s="3" t="n"/>
    </row>
    <row r="12">
      <c r="A12" s="3" t="n"/>
      <c r="B12" s="3" t="n"/>
      <c r="C12" s="3" t="n"/>
      <c r="D12" s="3" t="n"/>
      <c r="E12" s="3" t="n"/>
      <c r="F12" s="3" t="n"/>
      <c r="G12" s="3" t="n"/>
      <c r="H12" s="3" t="n"/>
      <c r="I12" s="3" t="n"/>
      <c r="J12" s="3" t="n"/>
    </row>
    <row r="13">
      <c r="A13" s="3" t="n"/>
      <c r="B13" s="3" t="n"/>
      <c r="C13" s="3" t="n"/>
      <c r="D13" s="3" t="n"/>
      <c r="E13" s="3" t="n"/>
      <c r="F13" s="3" t="n"/>
      <c r="G13" s="3" t="n"/>
      <c r="H13" s="3" t="n"/>
      <c r="I13" s="3" t="n"/>
      <c r="J13" s="3" t="n"/>
    </row>
    <row r="14">
      <c r="A14" s="8" t="inlineStr">
        <is>
          <t>Generated answer</t>
        </is>
      </c>
      <c r="B14" s="3" t="n"/>
      <c r="C14" s="3" t="n"/>
      <c r="D14" s="3" t="n"/>
      <c r="E14" s="3" t="n"/>
      <c r="F14" s="3" t="n"/>
      <c r="G14" s="3" t="n"/>
      <c r="H14" s="3" t="n"/>
      <c r="I14" s="3" t="n"/>
      <c r="J14" s="3" t="n"/>
    </row>
    <row r="15">
      <c r="A15" s="10" t="inlineStr">
        <is>
          <t>Paste the generated answer below.</t>
        </is>
      </c>
      <c r="B15" s="3" t="n"/>
      <c r="C15" s="3" t="n"/>
      <c r="D15" s="3" t="n"/>
      <c r="E15" s="3" t="n"/>
      <c r="F15" s="3" t="n"/>
      <c r="G15" s="3" t="n"/>
      <c r="H15" s="3" t="n"/>
      <c r="I15" s="3" t="n"/>
      <c r="J15" s="3" t="n"/>
    </row>
    <row r="16" ht="90" customHeight="1">
      <c r="A16" s="3" t="inlineStr"/>
      <c r="B16" s="3" t="n"/>
      <c r="C16" s="3" t="n"/>
      <c r="D16" s="3" t="n"/>
      <c r="E16" s="3" t="n"/>
      <c r="F16" s="3" t="n"/>
      <c r="G16" s="3" t="n"/>
      <c r="H16" s="3" t="n"/>
      <c r="I16" s="3" t="n"/>
      <c r="J16" s="3" t="n"/>
    </row>
    <row r="17" ht="30" customHeight="1">
      <c r="A17" s="3" t="n"/>
      <c r="B17" s="3" t="n"/>
      <c r="C17" s="3" t="n"/>
      <c r="D17" s="3" t="n"/>
      <c r="E17" s="3" t="n"/>
      <c r="F17" s="3" t="n"/>
      <c r="G17" s="3" t="n"/>
      <c r="H17" s="3" t="n"/>
      <c r="I17" s="3" t="n"/>
      <c r="J17" s="3" t="n"/>
    </row>
    <row r="18" ht="30" customHeight="1">
      <c r="A18" s="3" t="n"/>
      <c r="B18" s="3" t="n"/>
      <c r="C18" s="3" t="n"/>
      <c r="D18" s="3" t="n"/>
      <c r="E18" s="3" t="n"/>
      <c r="F18" s="3" t="n"/>
      <c r="G18" s="3" t="n"/>
      <c r="H18" s="3" t="n"/>
      <c r="I18" s="3" t="n"/>
      <c r="J18" s="3" t="n"/>
    </row>
    <row r="19">
      <c r="A19" s="9" t="inlineStr">
        <is>
          <t>Run ID</t>
        </is>
      </c>
      <c r="B19" s="3" t="inlineStr"/>
      <c r="C19" s="9" t="inlineStr">
        <is>
          <t>Run date</t>
        </is>
      </c>
      <c r="D19" s="3" t="inlineStr"/>
      <c r="E19" s="9" t="inlineStr">
        <is>
          <t>Model / prompt version</t>
        </is>
      </c>
      <c r="F19" s="3" t="inlineStr"/>
      <c r="G19" s="9" t="inlineStr">
        <is>
          <t>Corpus snapshot</t>
        </is>
      </c>
      <c r="H19" s="3" t="inlineStr"/>
      <c r="I19" s="3" t="n"/>
      <c r="J19" s="3" t="n"/>
    </row>
    <row r="20">
      <c r="A20" s="8" t="inlineStr">
        <is>
          <t>Retrieval set review</t>
        </is>
      </c>
      <c r="B20" s="3" t="n"/>
      <c r="C20" s="3" t="n"/>
      <c r="D20" s="3" t="n"/>
      <c r="E20" s="3" t="n"/>
      <c r="F20" s="3" t="n"/>
      <c r="G20" s="3" t="n"/>
      <c r="H20" s="3" t="n"/>
      <c r="I20" s="3" t="n"/>
      <c r="J20" s="3" t="n"/>
    </row>
    <row r="21">
      <c r="A21" s="11" t="inlineStr">
        <is>
          <t>Rank</t>
        </is>
      </c>
      <c r="B21" s="11" t="inlineStr">
        <is>
          <t>Retrieved source</t>
        </is>
      </c>
      <c r="C21" s="11" t="inlineStr">
        <is>
          <t>Source type</t>
        </is>
      </c>
      <c r="D21" s="11" t="inlineStr">
        <is>
          <t>Jurisdiction</t>
        </is>
      </c>
      <c r="E21" s="11" t="inlineStr">
        <is>
          <t>URL / Document ID</t>
        </is>
      </c>
      <c r="F21" s="11" t="inlineStr">
        <is>
          <t>Returned by engine?</t>
        </is>
      </c>
      <c r="G21" s="11" t="inlineStr">
        <is>
          <t>Required source?</t>
        </is>
      </c>
      <c r="H21" s="11" t="inlineStr">
        <is>
          <t>Trap?</t>
        </is>
      </c>
      <c r="I21" s="11" t="inlineStr">
        <is>
          <t>Expert verdict</t>
        </is>
      </c>
      <c r="J21" s="11" t="inlineStr">
        <is>
          <t>Notes</t>
        </is>
      </c>
    </row>
    <row r="22" ht="44" customHeight="1">
      <c r="A22" s="4" t="n">
        <v>1</v>
      </c>
      <c r="B22" s="4" t="n"/>
      <c r="C22" s="4" t="n"/>
      <c r="D22" s="4" t="n"/>
      <c r="E22" s="4" t="n"/>
      <c r="F22" s="4" t="n"/>
      <c r="G22" s="4" t="n"/>
      <c r="H22" s="4" t="n"/>
      <c r="I22" s="4" t="n"/>
      <c r="J22" s="4" t="n"/>
    </row>
    <row r="23" ht="44" customHeight="1">
      <c r="A23" s="4" t="n">
        <v>2</v>
      </c>
      <c r="B23" s="4" t="n"/>
      <c r="C23" s="4" t="n"/>
      <c r="D23" s="4" t="n"/>
      <c r="E23" s="4" t="n"/>
      <c r="F23" s="4" t="n"/>
      <c r="G23" s="4" t="n"/>
      <c r="H23" s="4" t="n"/>
      <c r="I23" s="4" t="n"/>
      <c r="J23" s="4" t="n"/>
    </row>
    <row r="24" ht="44" customHeight="1">
      <c r="A24" s="4" t="n">
        <v>3</v>
      </c>
      <c r="B24" s="4" t="n"/>
      <c r="C24" s="4" t="n"/>
      <c r="D24" s="4" t="n"/>
      <c r="E24" s="4" t="n"/>
      <c r="F24" s="4" t="n"/>
      <c r="G24" s="4" t="n"/>
      <c r="H24" s="4" t="n"/>
      <c r="I24" s="4" t="n"/>
      <c r="J24" s="4" t="n"/>
    </row>
    <row r="25" ht="44" customHeight="1">
      <c r="A25" s="4" t="n">
        <v>4</v>
      </c>
      <c r="B25" s="4" t="n"/>
      <c r="C25" s="4" t="n"/>
      <c r="D25" s="4" t="n"/>
      <c r="E25" s="4" t="n"/>
      <c r="F25" s="4" t="n"/>
      <c r="G25" s="4" t="n"/>
      <c r="H25" s="4" t="n"/>
      <c r="I25" s="4" t="n"/>
      <c r="J25" s="4" t="n"/>
    </row>
    <row r="26" ht="44" customHeight="1">
      <c r="A26" s="4" t="n">
        <v>5</v>
      </c>
      <c r="B26" s="4" t="n"/>
      <c r="C26" s="4" t="n"/>
      <c r="D26" s="4" t="n"/>
      <c r="E26" s="4" t="n"/>
      <c r="F26" s="4" t="n"/>
      <c r="G26" s="4" t="n"/>
      <c r="H26" s="4" t="n"/>
      <c r="I26" s="4" t="n"/>
      <c r="J26" s="4" t="n"/>
    </row>
    <row r="27" ht="44" customHeight="1">
      <c r="A27" s="4" t="n">
        <v>6</v>
      </c>
      <c r="B27" s="4" t="n"/>
      <c r="C27" s="4" t="n"/>
      <c r="D27" s="4" t="n"/>
      <c r="E27" s="4" t="n"/>
      <c r="F27" s="4" t="n"/>
      <c r="G27" s="4" t="n"/>
      <c r="H27" s="4" t="n"/>
      <c r="I27" s="4" t="n"/>
      <c r="J27" s="4" t="n"/>
    </row>
    <row r="28" ht="44" customHeight="1">
      <c r="A28" s="4" t="n">
        <v>7</v>
      </c>
      <c r="B28" s="4" t="n"/>
      <c r="C28" s="4" t="n"/>
      <c r="D28" s="4" t="n"/>
      <c r="E28" s="4" t="n"/>
      <c r="F28" s="4" t="n"/>
      <c r="G28" s="4" t="n"/>
      <c r="H28" s="4" t="n"/>
      <c r="I28" s="4" t="n"/>
      <c r="J28" s="4" t="n"/>
    </row>
    <row r="29" ht="44" customHeight="1">
      <c r="A29" s="4" t="n">
        <v>8</v>
      </c>
      <c r="B29" s="4" t="n"/>
      <c r="C29" s="4" t="n"/>
      <c r="D29" s="4" t="n"/>
      <c r="E29" s="4" t="n"/>
      <c r="F29" s="4" t="n"/>
      <c r="G29" s="4" t="n"/>
      <c r="H29" s="4" t="n"/>
      <c r="I29" s="4" t="n"/>
      <c r="J29" s="4" t="n"/>
    </row>
    <row r="30" ht="44" customHeight="1">
      <c r="A30" s="4" t="n">
        <v>9</v>
      </c>
      <c r="B30" s="4" t="n"/>
      <c r="C30" s="4" t="n"/>
      <c r="D30" s="4" t="n"/>
      <c r="E30" s="4" t="n"/>
      <c r="F30" s="4" t="n"/>
      <c r="G30" s="4" t="n"/>
      <c r="H30" s="4" t="n"/>
      <c r="I30" s="4" t="n"/>
      <c r="J30" s="4" t="n"/>
    </row>
    <row r="31" ht="44" customHeight="1">
      <c r="A31" s="4" t="n">
        <v>10</v>
      </c>
      <c r="B31" s="4" t="n"/>
      <c r="C31" s="4" t="n"/>
      <c r="D31" s="4" t="n"/>
      <c r="E31" s="4" t="n"/>
      <c r="F31" s="4" t="n"/>
      <c r="G31" s="4" t="n"/>
      <c r="H31" s="4" t="n"/>
      <c r="I31" s="4" t="n"/>
      <c r="J31" s="4" t="n"/>
    </row>
    <row r="32" ht="44" customHeight="1">
      <c r="A32" s="4" t="n">
        <v>11</v>
      </c>
      <c r="B32" s="4" t="n"/>
      <c r="C32" s="4" t="n"/>
      <c r="D32" s="4" t="n"/>
      <c r="E32" s="4" t="n"/>
      <c r="F32" s="4" t="n"/>
      <c r="G32" s="4" t="n"/>
      <c r="H32" s="4" t="n"/>
      <c r="I32" s="4" t="n"/>
      <c r="J32" s="4" t="n"/>
    </row>
    <row r="33" ht="44" customHeight="1">
      <c r="A33" s="4" t="n">
        <v>12</v>
      </c>
      <c r="B33" s="4" t="n"/>
      <c r="C33" s="4" t="n"/>
      <c r="D33" s="4" t="n"/>
      <c r="E33" s="4" t="n"/>
      <c r="F33" s="4" t="n"/>
      <c r="G33" s="4" t="n"/>
      <c r="H33" s="4" t="n"/>
      <c r="I33" s="4" t="n"/>
      <c r="J33" s="4" t="n"/>
    </row>
    <row r="34" ht="44" customHeight="1">
      <c r="A34" s="4" t="n">
        <v>13</v>
      </c>
      <c r="B34" s="4" t="n"/>
      <c r="C34" s="4" t="n"/>
      <c r="D34" s="4" t="n"/>
      <c r="E34" s="4" t="n"/>
      <c r="F34" s="4" t="n"/>
      <c r="G34" s="4" t="n"/>
      <c r="H34" s="4" t="n"/>
      <c r="I34" s="4" t="n"/>
      <c r="J34" s="4" t="n"/>
    </row>
    <row r="35" ht="44" customHeight="1">
      <c r="A35" s="4" t="n">
        <v>14</v>
      </c>
      <c r="B35" s="4" t="n"/>
      <c r="C35" s="4" t="n"/>
      <c r="D35" s="4" t="n"/>
      <c r="E35" s="4" t="n"/>
      <c r="F35" s="4" t="n"/>
      <c r="G35" s="4" t="n"/>
      <c r="H35" s="4" t="n"/>
      <c r="I35" s="4" t="n"/>
      <c r="J35" s="4" t="n"/>
    </row>
    <row r="36" ht="44" customHeight="1">
      <c r="A36" s="4" t="n">
        <v>15</v>
      </c>
      <c r="B36" s="4" t="n"/>
      <c r="C36" s="4" t="n"/>
      <c r="D36" s="4" t="n"/>
      <c r="E36" s="4" t="n"/>
      <c r="F36" s="4" t="n"/>
      <c r="G36" s="4" t="n"/>
      <c r="H36" s="4" t="n"/>
      <c r="I36" s="4" t="n"/>
      <c r="J36" s="4" t="n"/>
    </row>
    <row r="37">
      <c r="A37" s="3" t="n"/>
      <c r="B37" s="3" t="n"/>
      <c r="C37" s="3" t="n"/>
      <c r="D37" s="3" t="n"/>
      <c r="E37" s="3" t="n"/>
      <c r="F37" s="3" t="n"/>
      <c r="G37" s="3" t="n"/>
      <c r="H37" s="3" t="n"/>
      <c r="I37" s="3" t="n"/>
      <c r="J37" s="3" t="n"/>
    </row>
    <row r="38">
      <c r="A38" s="8" t="inlineStr">
        <is>
          <t>Claim-by-claim review</t>
        </is>
      </c>
      <c r="B38" s="3" t="n"/>
      <c r="C38" s="3" t="n"/>
      <c r="D38" s="3" t="n"/>
      <c r="E38" s="3" t="n"/>
      <c r="F38" s="3" t="n"/>
      <c r="G38" s="3" t="n"/>
      <c r="H38" s="3" t="n"/>
      <c r="I38" s="3" t="n"/>
      <c r="J38" s="3" t="n"/>
    </row>
    <row r="39">
      <c r="A39" s="11" t="inlineStr">
        <is>
          <t>Claim ID</t>
        </is>
      </c>
      <c r="B39" s="11" t="inlineStr">
        <is>
          <t>Claim from answer</t>
        </is>
      </c>
      <c r="C39" s="11" t="inlineStr">
        <is>
          <t>Citation used</t>
        </is>
      </c>
      <c r="D39" s="11" t="inlineStr">
        <is>
          <t>Expert verdict</t>
        </is>
      </c>
      <c r="E39" s="11" t="inlineStr">
        <is>
          <t>Issue type</t>
        </is>
      </c>
      <c r="F39" s="11" t="inlineStr">
        <is>
          <t>Cited passage / source note</t>
        </is>
      </c>
      <c r="G39" s="11" t="inlineStr">
        <is>
          <t>Required fix / comment</t>
        </is>
      </c>
      <c r="H39" s="11" t="inlineStr">
        <is>
          <t>Reviewer</t>
        </is>
      </c>
      <c r="I39" s="11" t="n"/>
      <c r="J39" s="11" t="n"/>
    </row>
    <row r="40" ht="54" customHeight="1">
      <c r="A40" s="4" t="n">
        <v>1</v>
      </c>
      <c r="B40" s="4" t="n"/>
      <c r="C40" s="4" t="n"/>
      <c r="D40" s="4" t="n"/>
      <c r="E40" s="4" t="n"/>
      <c r="F40" s="4" t="n"/>
      <c r="G40" s="4" t="n"/>
      <c r="H40" s="4" t="n"/>
      <c r="I40" s="3" t="n"/>
      <c r="J40" s="3" t="n"/>
    </row>
    <row r="41" ht="54" customHeight="1">
      <c r="A41" s="4" t="n">
        <v>2</v>
      </c>
      <c r="B41" s="4" t="n"/>
      <c r="C41" s="4" t="n"/>
      <c r="D41" s="4" t="n"/>
      <c r="E41" s="4" t="n"/>
      <c r="F41" s="4" t="n"/>
      <c r="G41" s="4" t="n"/>
      <c r="H41" s="4" t="n"/>
      <c r="I41" s="3" t="n"/>
      <c r="J41" s="3" t="n"/>
    </row>
    <row r="42" ht="54" customHeight="1">
      <c r="A42" s="4" t="n">
        <v>3</v>
      </c>
      <c r="B42" s="4" t="n"/>
      <c r="C42" s="4" t="n"/>
      <c r="D42" s="4" t="n"/>
      <c r="E42" s="4" t="n"/>
      <c r="F42" s="4" t="n"/>
      <c r="G42" s="4" t="n"/>
      <c r="H42" s="4" t="n"/>
      <c r="I42" s="3" t="n"/>
      <c r="J42" s="3" t="n"/>
    </row>
    <row r="43" ht="54" customHeight="1">
      <c r="A43" s="4" t="n">
        <v>4</v>
      </c>
      <c r="B43" s="4" t="n"/>
      <c r="C43" s="4" t="n"/>
      <c r="D43" s="4" t="n"/>
      <c r="E43" s="4" t="n"/>
      <c r="F43" s="4" t="n"/>
      <c r="G43" s="4" t="n"/>
      <c r="H43" s="4" t="n"/>
      <c r="I43" s="3" t="n"/>
      <c r="J43" s="3" t="n"/>
    </row>
    <row r="44" ht="54" customHeight="1">
      <c r="A44" s="4" t="n">
        <v>5</v>
      </c>
      <c r="B44" s="4" t="n"/>
      <c r="C44" s="4" t="n"/>
      <c r="D44" s="4" t="n"/>
      <c r="E44" s="4" t="n"/>
      <c r="F44" s="4" t="n"/>
      <c r="G44" s="4" t="n"/>
      <c r="H44" s="4" t="n"/>
      <c r="I44" s="3" t="n"/>
      <c r="J44" s="3" t="n"/>
    </row>
    <row r="45" ht="54" customHeight="1">
      <c r="A45" s="4" t="n">
        <v>6</v>
      </c>
      <c r="B45" s="4" t="n"/>
      <c r="C45" s="4" t="n"/>
      <c r="D45" s="4" t="n"/>
      <c r="E45" s="4" t="n"/>
      <c r="F45" s="4" t="n"/>
      <c r="G45" s="4" t="n"/>
      <c r="H45" s="4" t="n"/>
      <c r="I45" s="3" t="n"/>
      <c r="J45" s="3" t="n"/>
    </row>
    <row r="46" ht="54" customHeight="1">
      <c r="A46" s="4" t="n">
        <v>7</v>
      </c>
      <c r="B46" s="4" t="n"/>
      <c r="C46" s="4" t="n"/>
      <c r="D46" s="4" t="n"/>
      <c r="E46" s="4" t="n"/>
      <c r="F46" s="4" t="n"/>
      <c r="G46" s="4" t="n"/>
      <c r="H46" s="4" t="n"/>
      <c r="I46" s="3" t="n"/>
      <c r="J46" s="3" t="n"/>
    </row>
    <row r="47" ht="54" customHeight="1">
      <c r="A47" s="4" t="n">
        <v>8</v>
      </c>
      <c r="B47" s="4" t="n"/>
      <c r="C47" s="4" t="n"/>
      <c r="D47" s="4" t="n"/>
      <c r="E47" s="4" t="n"/>
      <c r="F47" s="4" t="n"/>
      <c r="G47" s="4" t="n"/>
      <c r="H47" s="4" t="n"/>
      <c r="I47" s="3" t="n"/>
      <c r="J47" s="3" t="n"/>
    </row>
    <row r="48" ht="54" customHeight="1">
      <c r="A48" s="4" t="n">
        <v>9</v>
      </c>
      <c r="B48" s="4" t="n"/>
      <c r="C48" s="4" t="n"/>
      <c r="D48" s="4" t="n"/>
      <c r="E48" s="4" t="n"/>
      <c r="F48" s="4" t="n"/>
      <c r="G48" s="4" t="n"/>
      <c r="H48" s="4" t="n"/>
      <c r="I48" s="3" t="n"/>
      <c r="J48" s="3" t="n"/>
    </row>
    <row r="49" ht="54" customHeight="1">
      <c r="A49" s="4" t="n">
        <v>10</v>
      </c>
      <c r="B49" s="4" t="n"/>
      <c r="C49" s="4" t="n"/>
      <c r="D49" s="4" t="n"/>
      <c r="E49" s="4" t="n"/>
      <c r="F49" s="4" t="n"/>
      <c r="G49" s="4" t="n"/>
      <c r="H49" s="4" t="n"/>
      <c r="I49" s="3" t="n"/>
      <c r="J49" s="3" t="n"/>
    </row>
    <row r="50" ht="54" customHeight="1">
      <c r="A50" s="4" t="n">
        <v>11</v>
      </c>
      <c r="B50" s="4" t="n"/>
      <c r="C50" s="4" t="n"/>
      <c r="D50" s="4" t="n"/>
      <c r="E50" s="4" t="n"/>
      <c r="F50" s="4" t="n"/>
      <c r="G50" s="4" t="n"/>
      <c r="H50" s="4" t="n"/>
      <c r="I50" s="3" t="n"/>
      <c r="J50" s="3" t="n"/>
    </row>
    <row r="51" ht="54" customHeight="1">
      <c r="A51" s="4" t="n">
        <v>12</v>
      </c>
      <c r="B51" s="4" t="n"/>
      <c r="C51" s="4" t="n"/>
      <c r="D51" s="4" t="n"/>
      <c r="E51" s="4" t="n"/>
      <c r="F51" s="4" t="n"/>
      <c r="G51" s="4" t="n"/>
      <c r="H51" s="4" t="n"/>
      <c r="I51" s="3" t="n"/>
      <c r="J51" s="3" t="n"/>
    </row>
    <row r="52" ht="54" customHeight="1">
      <c r="A52" s="4" t="n">
        <v>13</v>
      </c>
      <c r="B52" s="4" t="n"/>
      <c r="C52" s="4" t="n"/>
      <c r="D52" s="4" t="n"/>
      <c r="E52" s="4" t="n"/>
      <c r="F52" s="4" t="n"/>
      <c r="G52" s="4" t="n"/>
      <c r="H52" s="4" t="n"/>
      <c r="I52" s="3" t="n"/>
      <c r="J52" s="3" t="n"/>
    </row>
    <row r="53" ht="54" customHeight="1">
      <c r="A53" s="4" t="n">
        <v>14</v>
      </c>
      <c r="B53" s="4" t="n"/>
      <c r="C53" s="4" t="n"/>
      <c r="D53" s="4" t="n"/>
      <c r="E53" s="4" t="n"/>
      <c r="F53" s="4" t="n"/>
      <c r="G53" s="4" t="n"/>
      <c r="H53" s="4" t="n"/>
      <c r="I53" s="3" t="n"/>
      <c r="J53" s="3" t="n"/>
    </row>
    <row r="54" ht="54" customHeight="1">
      <c r="A54" s="4" t="n">
        <v>15</v>
      </c>
      <c r="B54" s="4" t="n"/>
      <c r="C54" s="4" t="n"/>
      <c r="D54" s="4" t="n"/>
      <c r="E54" s="4" t="n"/>
      <c r="F54" s="4" t="n"/>
      <c r="G54" s="4" t="n"/>
      <c r="H54" s="4" t="n"/>
      <c r="I54" s="3" t="n"/>
      <c r="J54" s="3" t="n"/>
    </row>
    <row r="55" ht="54" customHeight="1">
      <c r="A55" s="4" t="n">
        <v>16</v>
      </c>
      <c r="B55" s="4" t="n"/>
      <c r="C55" s="4" t="n"/>
      <c r="D55" s="4" t="n"/>
      <c r="E55" s="4" t="n"/>
      <c r="F55" s="4" t="n"/>
      <c r="G55" s="4" t="n"/>
      <c r="H55" s="4" t="n"/>
      <c r="I55" s="3" t="n"/>
      <c r="J55" s="3" t="n"/>
    </row>
    <row r="56" ht="54" customHeight="1">
      <c r="A56" s="4" t="n">
        <v>17</v>
      </c>
      <c r="B56" s="4" t="n"/>
      <c r="C56" s="4" t="n"/>
      <c r="D56" s="4" t="n"/>
      <c r="E56" s="4" t="n"/>
      <c r="F56" s="4" t="n"/>
      <c r="G56" s="4" t="n"/>
      <c r="H56" s="4" t="n"/>
      <c r="I56" s="3" t="n"/>
      <c r="J56" s="3" t="n"/>
    </row>
    <row r="57" ht="54" customHeight="1">
      <c r="A57" s="4" t="n">
        <v>18</v>
      </c>
      <c r="B57" s="4" t="n"/>
      <c r="C57" s="4" t="n"/>
      <c r="D57" s="4" t="n"/>
      <c r="E57" s="4" t="n"/>
      <c r="F57" s="4" t="n"/>
      <c r="G57" s="4" t="n"/>
      <c r="H57" s="4" t="n"/>
      <c r="I57" s="3" t="n"/>
      <c r="J57" s="3" t="n"/>
    </row>
    <row r="58" ht="54" customHeight="1">
      <c r="A58" s="4" t="n">
        <v>19</v>
      </c>
      <c r="B58" s="4" t="n"/>
      <c r="C58" s="4" t="n"/>
      <c r="D58" s="4" t="n"/>
      <c r="E58" s="4" t="n"/>
      <c r="F58" s="4" t="n"/>
      <c r="G58" s="4" t="n"/>
      <c r="H58" s="4" t="n"/>
      <c r="I58" s="3" t="n"/>
      <c r="J58" s="3" t="n"/>
    </row>
    <row r="59" ht="54" customHeight="1">
      <c r="A59" s="4" t="n">
        <v>20</v>
      </c>
      <c r="B59" s="4" t="n"/>
      <c r="C59" s="4" t="n"/>
      <c r="D59" s="4" t="n"/>
      <c r="E59" s="4" t="n"/>
      <c r="F59" s="4" t="n"/>
      <c r="G59" s="4" t="n"/>
      <c r="H59" s="4" t="n"/>
      <c r="I59" s="3" t="n"/>
      <c r="J59" s="3" t="n"/>
    </row>
    <row r="60">
      <c r="A60" s="3" t="n"/>
      <c r="B60" s="3" t="n"/>
      <c r="C60" s="3" t="n"/>
      <c r="D60" s="3" t="n"/>
      <c r="E60" s="3" t="n"/>
      <c r="F60" s="3" t="n"/>
      <c r="G60" s="3" t="n"/>
      <c r="H60" s="3" t="n"/>
      <c r="I60" s="3" t="n"/>
      <c r="J60" s="3" t="n"/>
    </row>
    <row r="61">
      <c r="A61" s="8" t="inlineStr">
        <is>
          <t>Final expert verdict</t>
        </is>
      </c>
      <c r="B61" s="3" t="n"/>
      <c r="C61" s="3" t="n"/>
      <c r="D61" s="3" t="n"/>
      <c r="E61" s="3" t="n"/>
      <c r="F61" s="3" t="n"/>
      <c r="G61" s="3" t="n"/>
      <c r="H61" s="3" t="n"/>
      <c r="I61" s="3" t="n"/>
      <c r="J61" s="3" t="n"/>
    </row>
    <row r="62">
      <c r="A62" s="12" t="inlineStr">
        <is>
          <t>Is the answer acceptable?</t>
        </is>
      </c>
      <c r="B62" s="4" t="inlineStr"/>
      <c r="C62" s="4" t="n"/>
      <c r="D62" s="4" t="n"/>
      <c r="E62" s="4" t="n"/>
      <c r="F62" s="4" t="n"/>
      <c r="G62" s="4" t="n"/>
      <c r="H62" s="4" t="n"/>
      <c r="I62" s="3" t="n"/>
      <c r="J62" s="3" t="n"/>
    </row>
    <row r="63" ht="54" customHeight="1">
      <c r="A63" s="12" t="inlineStr">
        <is>
          <t>Overall comment / required fixes</t>
        </is>
      </c>
      <c r="B63" s="4" t="n"/>
      <c r="C63" s="4" t="n"/>
      <c r="D63" s="4" t="n"/>
      <c r="E63" s="4" t="n"/>
      <c r="F63" s="4" t="n"/>
      <c r="G63" s="4" t="n"/>
      <c r="H63" s="4" t="n"/>
      <c r="I63" s="3" t="n"/>
      <c r="J63" s="3" t="n"/>
    </row>
    <row r="64">
      <c r="A64" s="4" t="n"/>
      <c r="B64" s="4" t="n"/>
      <c r="C64" s="4" t="n"/>
      <c r="D64" s="4" t="n"/>
      <c r="E64" s="4" t="n"/>
      <c r="F64" s="4" t="n"/>
      <c r="G64" s="4" t="n"/>
      <c r="H64" s="4" t="n"/>
      <c r="I64" s="3" t="n"/>
      <c r="J64" s="3" t="n"/>
    </row>
    <row r="65">
      <c r="A65" s="12" t="inlineStr">
        <is>
          <t>Missing key sources?</t>
        </is>
      </c>
      <c r="B65" s="4" t="n"/>
      <c r="C65" s="4" t="n"/>
      <c r="D65" s="4" t="n"/>
      <c r="E65" s="4" t="n"/>
      <c r="F65" s="4" t="n"/>
      <c r="G65" s="4" t="n"/>
      <c r="H65" s="4" t="n"/>
      <c r="I65" s="3" t="n"/>
      <c r="J65" s="3" t="n"/>
    </row>
    <row r="66">
      <c r="A66" s="12" t="inlineStr">
        <is>
          <t>Review completed?</t>
        </is>
      </c>
      <c r="B66" s="4" t="inlineStr"/>
      <c r="C66" s="4" t="n"/>
      <c r="D66" s="4" t="n"/>
      <c r="E66" s="4" t="n"/>
      <c r="F66" s="4" t="n"/>
      <c r="G66" s="4" t="n"/>
      <c r="H66" s="4" t="n"/>
      <c r="I66" s="3" t="n"/>
      <c r="J66" s="3" t="n"/>
    </row>
    <row r="67">
      <c r="A67" s="12" t="inlineStr">
        <is>
          <t>Reviewer</t>
        </is>
      </c>
      <c r="B67" s="4" t="n"/>
      <c r="C67" s="12" t="inlineStr">
        <is>
          <t>Review date</t>
        </is>
      </c>
      <c r="D67" s="5" t="inlineStr"/>
      <c r="E67" s="4" t="n"/>
      <c r="F67" s="4" t="n"/>
      <c r="G67" s="4" t="n"/>
      <c r="H67" s="4" t="n"/>
      <c r="I67" s="3" t="n"/>
      <c r="J67" s="3" t="n"/>
    </row>
    <row r="68">
      <c r="A68" s="3" t="n"/>
      <c r="B68" s="3" t="n"/>
      <c r="C68" s="3" t="n"/>
      <c r="D68" s="3" t="n"/>
      <c r="E68" s="3" t="n"/>
      <c r="F68" s="3" t="n"/>
      <c r="G68" s="3" t="n"/>
      <c r="H68" s="3" t="n"/>
      <c r="I68" s="3" t="n"/>
      <c r="J68" s="3" t="n"/>
    </row>
    <row r="69">
      <c r="A69" s="8" t="inlineStr">
        <is>
          <t>Original source notes</t>
        </is>
      </c>
      <c r="B69" s="3" t="n"/>
      <c r="C69" s="3" t="n"/>
      <c r="D69" s="3" t="n"/>
      <c r="E69" s="3" t="n"/>
      <c r="F69" s="3" t="n"/>
      <c r="G69" s="3" t="n"/>
      <c r="H69" s="3" t="n"/>
      <c r="I69" s="3" t="n"/>
      <c r="J69" s="3" t="n"/>
    </row>
    <row r="70">
      <c r="A70" s="12" t="inlineStr">
        <is>
          <t>WAB notes</t>
        </is>
      </c>
      <c r="B70" s="4" t="inlineStr">
        <is>
          <t>Your document gave this as "the same personal data protection question for Commission inspections". This is our wording of it. One point to check: the GDPR (Regulation 2016/679) binds member states and companies; the Commission's own processing is governed by a different instrument, Regulation 2018/1725. We kept your question as posed, because "the GDPR is not the applicable instrument — Regulation 2018/1725 is" is exactly the answer we want to be able to test for. We had also drafted a wider version covering private correspondence, personal devices, employees' own data, and whether the sealed-envelope procedure reaches beyond privilege. Tell us if you want the wider version, or both.</t>
        </is>
      </c>
      <c r="C70" s="4" t="n"/>
      <c r="D70" s="4" t="n"/>
      <c r="E70" s="4" t="n"/>
      <c r="F70" s="4" t="n"/>
      <c r="G70" s="4" t="n"/>
      <c r="H70" s="4" t="n"/>
      <c r="I70" s="3" t="n"/>
      <c r="J70" s="3" t="n"/>
    </row>
    <row r="71" ht="54" customHeight="1">
      <c r="A71" s="12" t="inlineStr">
        <is>
          <t>Reviewer notes from question approval</t>
        </is>
      </c>
      <c r="B71" s="4" t="inlineStr">
        <is>
          <t>let's leave this wording and also include the wider version of the question too.</t>
        </is>
      </c>
      <c r="C71" s="4" t="n"/>
      <c r="D71" s="4" t="n"/>
      <c r="E71" s="4" t="n"/>
      <c r="F71" s="4" t="n"/>
      <c r="G71" s="4" t="n"/>
      <c r="H71" s="4" t="n"/>
      <c r="I71" s="3" t="n"/>
      <c r="J71" s="3" t="n"/>
    </row>
    <row r="72">
      <c r="A72" s="4" t="n"/>
      <c r="B72" s="4" t="n"/>
      <c r="C72" s="4" t="n"/>
      <c r="D72" s="4" t="n"/>
      <c r="E72" s="4" t="n"/>
      <c r="F72" s="4" t="n"/>
      <c r="G72" s="4" t="n"/>
      <c r="H72" s="4" t="n"/>
      <c r="I72" s="3" t="n"/>
      <c r="J72" s="3" t="n"/>
    </row>
  </sheetData>
  <autoFilter ref="A21:J36"/>
  <mergeCells count="20">
    <mergeCell ref="B65:H65"/>
    <mergeCell ref="B71:H72"/>
    <mergeCell ref="B6:H6"/>
    <mergeCell ref="A20:J20"/>
    <mergeCell ref="A1:H1"/>
    <mergeCell ref="B5:H5"/>
    <mergeCell ref="A61:H61"/>
    <mergeCell ref="A69:H69"/>
    <mergeCell ref="B4:H4"/>
    <mergeCell ref="B62:H62"/>
    <mergeCell ref="B7:H7"/>
    <mergeCell ref="B66:H66"/>
    <mergeCell ref="A3:H3"/>
    <mergeCell ref="A16:H18"/>
    <mergeCell ref="B70:H70"/>
    <mergeCell ref="A14:H14"/>
    <mergeCell ref="B63:H64"/>
    <mergeCell ref="B8:H8"/>
    <mergeCell ref="B10:H12"/>
    <mergeCell ref="A38:H38"/>
  </mergeCells>
  <dataValidations count="9">
    <dataValidation sqref="C22:C36" showDropDown="0" showInputMessage="0" showErrorMessage="0" allowBlank="1" type="list">
      <formula1>=Lists!$F$2:$F$5</formula1>
    </dataValidation>
    <dataValidation sqref="F22:F36" showDropDown="0" showInputMessage="0" showErrorMessage="0" allowBlank="1" type="list">
      <formula1>=Lists!$G$2:$G$4</formula1>
    </dataValidation>
    <dataValidation sqref="G22:G36" showDropDown="0" showInputMessage="0" showErrorMessage="0" allowBlank="1" type="list">
      <formula1>=Lists!$G$2:$G$4</formula1>
    </dataValidation>
    <dataValidation sqref="H22:H36" showDropDown="0" showInputMessage="0" showErrorMessage="0" allowBlank="1" type="list">
      <formula1>=Lists!$G$2:$G$4</formula1>
    </dataValidation>
    <dataValidation sqref="I22:I36" showDropDown="0" showInputMessage="0" showErrorMessage="0" allowBlank="1" type="list">
      <formula1>=Lists!$H$2:$H$6</formula1>
    </dataValidation>
    <dataValidation sqref="D40:D59" showDropDown="0" showInputMessage="0" showErrorMessage="0" allowBlank="1" type="list">
      <formula1>=Lists!$D$2:$D$7</formula1>
    </dataValidation>
    <dataValidation sqref="E40:E59" showDropDown="0" showInputMessage="0" showErrorMessage="0" allowBlank="1" type="list">
      <formula1>=Lists!$E$2:$E$8</formula1>
    </dataValidation>
    <dataValidation sqref="B62" showDropDown="0" showInputMessage="0" showErrorMessage="0" allowBlank="1" type="list">
      <formula1>=Lists!$C$2:$C$4</formula1>
    </dataValidation>
    <dataValidation sqref="B66" showDropDown="0" showInputMessage="0" showErrorMessage="0" allowBlank="1" type="list">
      <formula1>=Lists!$A$2:$A$3</formula1>
    </dataValidation>
  </dataValidations>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J72"/>
  <sheetViews>
    <sheetView showGridLines="0" workbookViewId="0">
      <pane ySplit="21" topLeftCell="A22" activePane="bottomLeft" state="frozen"/>
      <selection pane="bottomLeft" activeCell="A1" sqref="A1"/>
    </sheetView>
  </sheetViews>
  <sheetFormatPr baseColWidth="8" defaultRowHeight="15"/>
  <cols>
    <col width="12" customWidth="1" min="1" max="1"/>
    <col width="34" customWidth="1" min="2" max="2"/>
    <col width="22" customWidth="1" min="3" max="3"/>
    <col width="18" customWidth="1" min="4" max="4"/>
    <col width="20" customWidth="1" min="5" max="5"/>
    <col width="30" customWidth="1" min="6" max="6"/>
    <col width="34" customWidth="1" min="7" max="7"/>
    <col width="18" customWidth="1" min="8" max="8"/>
    <col width="18" customWidth="1" min="9" max="9"/>
    <col width="30" customWidth="1" min="10" max="10"/>
  </cols>
  <sheetData>
    <row r="1" ht="28" customHeight="1">
      <c r="A1" s="6" t="inlineStr">
        <is>
          <t>Q17 — Expert Review</t>
        </is>
      </c>
      <c r="B1" s="3" t="n"/>
      <c r="C1" s="3" t="n"/>
      <c r="D1" s="3" t="n"/>
      <c r="E1" s="3" t="n"/>
      <c r="F1" s="3" t="n"/>
      <c r="G1" s="3" t="n"/>
      <c r="H1" s="3" t="n"/>
      <c r="I1" s="3" t="n"/>
      <c r="J1" s="3" t="n"/>
    </row>
    <row r="2">
      <c r="A2" s="3" t="n"/>
      <c r="B2" s="3" t="n"/>
      <c r="C2" s="3" t="n"/>
      <c r="D2" s="3" t="n"/>
      <c r="E2" s="3" t="n"/>
      <c r="F2" s="3" t="n"/>
      <c r="G2" s="3" t="n"/>
      <c r="H2" s="3" t="n"/>
      <c r="I2" s="3" t="n"/>
      <c r="J2" s="3" t="n"/>
    </row>
    <row r="3">
      <c r="A3" s="8" t="inlineStr">
        <is>
          <t>Question metadata</t>
        </is>
      </c>
      <c r="B3" s="3" t="n"/>
      <c r="C3" s="3" t="n"/>
      <c r="D3" s="3" t="n"/>
      <c r="E3" s="3" t="n"/>
      <c r="F3" s="3" t="n"/>
      <c r="G3" s="3" t="n"/>
      <c r="H3" s="3" t="n"/>
      <c r="I3" s="3" t="n"/>
      <c r="J3" s="3" t="n"/>
    </row>
    <row r="4">
      <c r="A4" s="9" t="inlineStr">
        <is>
          <t>Question ID</t>
        </is>
      </c>
      <c r="B4" s="3" t="n">
        <v>17</v>
      </c>
      <c r="C4" s="3" t="n"/>
      <c r="D4" s="3" t="n"/>
      <c r="E4" s="3" t="n"/>
      <c r="F4" s="3" t="n"/>
      <c r="G4" s="3" t="n"/>
      <c r="H4" s="3" t="n"/>
      <c r="I4" s="3" t="n"/>
      <c r="J4" s="3" t="n"/>
    </row>
    <row r="5">
      <c r="A5" s="9" t="inlineStr">
        <is>
          <t>Topic</t>
        </is>
      </c>
      <c r="B5" s="3" t="inlineStr">
        <is>
          <t>Dawn raids — challenging a seizure</t>
        </is>
      </c>
      <c r="C5" s="3" t="n"/>
      <c r="D5" s="3" t="n"/>
      <c r="E5" s="3" t="n"/>
      <c r="F5" s="3" t="n"/>
      <c r="G5" s="3" t="n"/>
      <c r="H5" s="3" t="n"/>
      <c r="I5" s="3" t="n"/>
      <c r="J5" s="3" t="n"/>
    </row>
    <row r="6">
      <c r="A6" s="9" t="inlineStr">
        <is>
          <t>Scope</t>
        </is>
      </c>
      <c r="B6" s="3" t="inlineStr">
        <is>
          <t>EU</t>
        </is>
      </c>
      <c r="C6" s="3" t="n"/>
      <c r="D6" s="3" t="n"/>
      <c r="E6" s="3" t="n"/>
      <c r="F6" s="3" t="n"/>
      <c r="G6" s="3" t="n"/>
      <c r="H6" s="3" t="n"/>
      <c r="I6" s="3" t="n"/>
      <c r="J6" s="3" t="n"/>
    </row>
    <row r="7">
      <c r="A7" s="9" t="inlineStr">
        <is>
          <t>Original reviewer</t>
        </is>
      </c>
      <c r="B7" s="3" t="inlineStr">
        <is>
          <t>Carolina</t>
        </is>
      </c>
      <c r="C7" s="3" t="n"/>
      <c r="D7" s="3" t="n"/>
      <c r="E7" s="3" t="n"/>
      <c r="F7" s="3" t="n"/>
      <c r="G7" s="3" t="n"/>
      <c r="H7" s="3" t="n"/>
      <c r="I7" s="3" t="n"/>
      <c r="J7" s="3" t="n"/>
    </row>
    <row r="8">
      <c r="A8" s="9" t="inlineStr">
        <is>
          <t>Original status</t>
        </is>
      </c>
      <c r="B8" s="3" t="inlineStr">
        <is>
          <t>Approved</t>
        </is>
      </c>
      <c r="C8" s="3" t="n"/>
      <c r="D8" s="3" t="n"/>
      <c r="E8" s="3" t="n"/>
      <c r="F8" s="3" t="n"/>
      <c r="G8" s="3" t="n"/>
      <c r="H8" s="3" t="n"/>
      <c r="I8" s="3" t="n"/>
      <c r="J8" s="3" t="n"/>
    </row>
    <row r="9">
      <c r="A9" s="3" t="n"/>
      <c r="B9" s="3" t="n"/>
      <c r="C9" s="3" t="n"/>
      <c r="D9" s="3" t="n"/>
      <c r="E9" s="3" t="n"/>
      <c r="F9" s="3" t="n"/>
      <c r="G9" s="3" t="n"/>
      <c r="H9" s="3" t="n"/>
      <c r="I9" s="3" t="n"/>
      <c r="J9" s="3" t="n"/>
    </row>
    <row r="10" ht="45" customHeight="1">
      <c r="A10" s="9" t="inlineStr">
        <is>
          <t>Question</t>
        </is>
      </c>
      <c r="B10" s="3" t="inlineStr">
        <is>
          <t>What procedural avenues exist to challenge seizure of privileged documents after a European Commission inspection?</t>
        </is>
      </c>
      <c r="C10" s="3" t="n"/>
      <c r="D10" s="3" t="n"/>
      <c r="E10" s="3" t="n"/>
      <c r="F10" s="3" t="n"/>
      <c r="G10" s="3" t="n"/>
      <c r="H10" s="3" t="n"/>
      <c r="I10" s="3" t="n"/>
      <c r="J10" s="3" t="n"/>
    </row>
    <row r="11">
      <c r="A11" s="3" t="n"/>
      <c r="B11" s="3" t="n"/>
      <c r="C11" s="3" t="n"/>
      <c r="D11" s="3" t="n"/>
      <c r="E11" s="3" t="n"/>
      <c r="F11" s="3" t="n"/>
      <c r="G11" s="3" t="n"/>
      <c r="H11" s="3" t="n"/>
      <c r="I11" s="3" t="n"/>
      <c r="J11" s="3" t="n"/>
    </row>
    <row r="12">
      <c r="A12" s="3" t="n"/>
      <c r="B12" s="3" t="n"/>
      <c r="C12" s="3" t="n"/>
      <c r="D12" s="3" t="n"/>
      <c r="E12" s="3" t="n"/>
      <c r="F12" s="3" t="n"/>
      <c r="G12" s="3" t="n"/>
      <c r="H12" s="3" t="n"/>
      <c r="I12" s="3" t="n"/>
      <c r="J12" s="3" t="n"/>
    </row>
    <row r="13">
      <c r="A13" s="3" t="n"/>
      <c r="B13" s="3" t="n"/>
      <c r="C13" s="3" t="n"/>
      <c r="D13" s="3" t="n"/>
      <c r="E13" s="3" t="n"/>
      <c r="F13" s="3" t="n"/>
      <c r="G13" s="3" t="n"/>
      <c r="H13" s="3" t="n"/>
      <c r="I13" s="3" t="n"/>
      <c r="J13" s="3" t="n"/>
    </row>
    <row r="14">
      <c r="A14" s="8" t="inlineStr">
        <is>
          <t>Generated answer</t>
        </is>
      </c>
      <c r="B14" s="3" t="n"/>
      <c r="C14" s="3" t="n"/>
      <c r="D14" s="3" t="n"/>
      <c r="E14" s="3" t="n"/>
      <c r="F14" s="3" t="n"/>
      <c r="G14" s="3" t="n"/>
      <c r="H14" s="3" t="n"/>
      <c r="I14" s="3" t="n"/>
      <c r="J14" s="3" t="n"/>
    </row>
    <row r="15">
      <c r="A15" s="10" t="inlineStr">
        <is>
          <t>Paste the generated answer below.</t>
        </is>
      </c>
      <c r="B15" s="3" t="n"/>
      <c r="C15" s="3" t="n"/>
      <c r="D15" s="3" t="n"/>
      <c r="E15" s="3" t="n"/>
      <c r="F15" s="3" t="n"/>
      <c r="G15" s="3" t="n"/>
      <c r="H15" s="3" t="n"/>
      <c r="I15" s="3" t="n"/>
      <c r="J15" s="3" t="n"/>
    </row>
    <row r="16" ht="90" customHeight="1">
      <c r="A16" s="3" t="inlineStr"/>
      <c r="B16" s="3" t="n"/>
      <c r="C16" s="3" t="n"/>
      <c r="D16" s="3" t="n"/>
      <c r="E16" s="3" t="n"/>
      <c r="F16" s="3" t="n"/>
      <c r="G16" s="3" t="n"/>
      <c r="H16" s="3" t="n"/>
      <c r="I16" s="3" t="n"/>
      <c r="J16" s="3" t="n"/>
    </row>
    <row r="17" ht="30" customHeight="1">
      <c r="A17" s="3" t="n"/>
      <c r="B17" s="3" t="n"/>
      <c r="C17" s="3" t="n"/>
      <c r="D17" s="3" t="n"/>
      <c r="E17" s="3" t="n"/>
      <c r="F17" s="3" t="n"/>
      <c r="G17" s="3" t="n"/>
      <c r="H17" s="3" t="n"/>
      <c r="I17" s="3" t="n"/>
      <c r="J17" s="3" t="n"/>
    </row>
    <row r="18" ht="30" customHeight="1">
      <c r="A18" s="3" t="n"/>
      <c r="B18" s="3" t="n"/>
      <c r="C18" s="3" t="n"/>
      <c r="D18" s="3" t="n"/>
      <c r="E18" s="3" t="n"/>
      <c r="F18" s="3" t="n"/>
      <c r="G18" s="3" t="n"/>
      <c r="H18" s="3" t="n"/>
      <c r="I18" s="3" t="n"/>
      <c r="J18" s="3" t="n"/>
    </row>
    <row r="19">
      <c r="A19" s="9" t="inlineStr">
        <is>
          <t>Run ID</t>
        </is>
      </c>
      <c r="B19" s="3" t="inlineStr"/>
      <c r="C19" s="9" t="inlineStr">
        <is>
          <t>Run date</t>
        </is>
      </c>
      <c r="D19" s="3" t="inlineStr"/>
      <c r="E19" s="9" t="inlineStr">
        <is>
          <t>Model / prompt version</t>
        </is>
      </c>
      <c r="F19" s="3" t="inlineStr"/>
      <c r="G19" s="9" t="inlineStr">
        <is>
          <t>Corpus snapshot</t>
        </is>
      </c>
      <c r="H19" s="3" t="inlineStr"/>
      <c r="I19" s="3" t="n"/>
      <c r="J19" s="3" t="n"/>
    </row>
    <row r="20">
      <c r="A20" s="8" t="inlineStr">
        <is>
          <t>Retrieval set review</t>
        </is>
      </c>
      <c r="B20" s="3" t="n"/>
      <c r="C20" s="3" t="n"/>
      <c r="D20" s="3" t="n"/>
      <c r="E20" s="3" t="n"/>
      <c r="F20" s="3" t="n"/>
      <c r="G20" s="3" t="n"/>
      <c r="H20" s="3" t="n"/>
      <c r="I20" s="3" t="n"/>
      <c r="J20" s="3" t="n"/>
    </row>
    <row r="21">
      <c r="A21" s="11" t="inlineStr">
        <is>
          <t>Rank</t>
        </is>
      </c>
      <c r="B21" s="11" t="inlineStr">
        <is>
          <t>Retrieved source</t>
        </is>
      </c>
      <c r="C21" s="11" t="inlineStr">
        <is>
          <t>Source type</t>
        </is>
      </c>
      <c r="D21" s="11" t="inlineStr">
        <is>
          <t>Jurisdiction</t>
        </is>
      </c>
      <c r="E21" s="11" t="inlineStr">
        <is>
          <t>URL / Document ID</t>
        </is>
      </c>
      <c r="F21" s="11" t="inlineStr">
        <is>
          <t>Returned by engine?</t>
        </is>
      </c>
      <c r="G21" s="11" t="inlineStr">
        <is>
          <t>Required source?</t>
        </is>
      </c>
      <c r="H21" s="11" t="inlineStr">
        <is>
          <t>Trap?</t>
        </is>
      </c>
      <c r="I21" s="11" t="inlineStr">
        <is>
          <t>Expert verdict</t>
        </is>
      </c>
      <c r="J21" s="11" t="inlineStr">
        <is>
          <t>Notes</t>
        </is>
      </c>
    </row>
    <row r="22" ht="44" customHeight="1">
      <c r="A22" s="4" t="n">
        <v>1</v>
      </c>
      <c r="B22" s="4" t="n"/>
      <c r="C22" s="4" t="n"/>
      <c r="D22" s="4" t="n"/>
      <c r="E22" s="4" t="n"/>
      <c r="F22" s="4" t="n"/>
      <c r="G22" s="4" t="n"/>
      <c r="H22" s="4" t="n"/>
      <c r="I22" s="4" t="n"/>
      <c r="J22" s="4" t="n"/>
    </row>
    <row r="23" ht="44" customHeight="1">
      <c r="A23" s="4" t="n">
        <v>2</v>
      </c>
      <c r="B23" s="4" t="n"/>
      <c r="C23" s="4" t="n"/>
      <c r="D23" s="4" t="n"/>
      <c r="E23" s="4" t="n"/>
      <c r="F23" s="4" t="n"/>
      <c r="G23" s="4" t="n"/>
      <c r="H23" s="4" t="n"/>
      <c r="I23" s="4" t="n"/>
      <c r="J23" s="4" t="n"/>
    </row>
    <row r="24" ht="44" customHeight="1">
      <c r="A24" s="4" t="n">
        <v>3</v>
      </c>
      <c r="B24" s="4" t="n"/>
      <c r="C24" s="4" t="n"/>
      <c r="D24" s="4" t="n"/>
      <c r="E24" s="4" t="n"/>
      <c r="F24" s="4" t="n"/>
      <c r="G24" s="4" t="n"/>
      <c r="H24" s="4" t="n"/>
      <c r="I24" s="4" t="n"/>
      <c r="J24" s="4" t="n"/>
    </row>
    <row r="25" ht="44" customHeight="1">
      <c r="A25" s="4" t="n">
        <v>4</v>
      </c>
      <c r="B25" s="4" t="n"/>
      <c r="C25" s="4" t="n"/>
      <c r="D25" s="4" t="n"/>
      <c r="E25" s="4" t="n"/>
      <c r="F25" s="4" t="n"/>
      <c r="G25" s="4" t="n"/>
      <c r="H25" s="4" t="n"/>
      <c r="I25" s="4" t="n"/>
      <c r="J25" s="4" t="n"/>
    </row>
    <row r="26" ht="44" customHeight="1">
      <c r="A26" s="4" t="n">
        <v>5</v>
      </c>
      <c r="B26" s="4" t="n"/>
      <c r="C26" s="4" t="n"/>
      <c r="D26" s="4" t="n"/>
      <c r="E26" s="4" t="n"/>
      <c r="F26" s="4" t="n"/>
      <c r="G26" s="4" t="n"/>
      <c r="H26" s="4" t="n"/>
      <c r="I26" s="4" t="n"/>
      <c r="J26" s="4" t="n"/>
    </row>
    <row r="27" ht="44" customHeight="1">
      <c r="A27" s="4" t="n">
        <v>6</v>
      </c>
      <c r="B27" s="4" t="n"/>
      <c r="C27" s="4" t="n"/>
      <c r="D27" s="4" t="n"/>
      <c r="E27" s="4" t="n"/>
      <c r="F27" s="4" t="n"/>
      <c r="G27" s="4" t="n"/>
      <c r="H27" s="4" t="n"/>
      <c r="I27" s="4" t="n"/>
      <c r="J27" s="4" t="n"/>
    </row>
    <row r="28" ht="44" customHeight="1">
      <c r="A28" s="4" t="n">
        <v>7</v>
      </c>
      <c r="B28" s="4" t="n"/>
      <c r="C28" s="4" t="n"/>
      <c r="D28" s="4" t="n"/>
      <c r="E28" s="4" t="n"/>
      <c r="F28" s="4" t="n"/>
      <c r="G28" s="4" t="n"/>
      <c r="H28" s="4" t="n"/>
      <c r="I28" s="4" t="n"/>
      <c r="J28" s="4" t="n"/>
    </row>
    <row r="29" ht="44" customHeight="1">
      <c r="A29" s="4" t="n">
        <v>8</v>
      </c>
      <c r="B29" s="4" t="n"/>
      <c r="C29" s="4" t="n"/>
      <c r="D29" s="4" t="n"/>
      <c r="E29" s="4" t="n"/>
      <c r="F29" s="4" t="n"/>
      <c r="G29" s="4" t="n"/>
      <c r="H29" s="4" t="n"/>
      <c r="I29" s="4" t="n"/>
      <c r="J29" s="4" t="n"/>
    </row>
    <row r="30" ht="44" customHeight="1">
      <c r="A30" s="4" t="n">
        <v>9</v>
      </c>
      <c r="B30" s="4" t="n"/>
      <c r="C30" s="4" t="n"/>
      <c r="D30" s="4" t="n"/>
      <c r="E30" s="4" t="n"/>
      <c r="F30" s="4" t="n"/>
      <c r="G30" s="4" t="n"/>
      <c r="H30" s="4" t="n"/>
      <c r="I30" s="4" t="n"/>
      <c r="J30" s="4" t="n"/>
    </row>
    <row r="31" ht="44" customHeight="1">
      <c r="A31" s="4" t="n">
        <v>10</v>
      </c>
      <c r="B31" s="4" t="n"/>
      <c r="C31" s="4" t="n"/>
      <c r="D31" s="4" t="n"/>
      <c r="E31" s="4" t="n"/>
      <c r="F31" s="4" t="n"/>
      <c r="G31" s="4" t="n"/>
      <c r="H31" s="4" t="n"/>
      <c r="I31" s="4" t="n"/>
      <c r="J31" s="4" t="n"/>
    </row>
    <row r="32" ht="44" customHeight="1">
      <c r="A32" s="4" t="n">
        <v>11</v>
      </c>
      <c r="B32" s="4" t="n"/>
      <c r="C32" s="4" t="n"/>
      <c r="D32" s="4" t="n"/>
      <c r="E32" s="4" t="n"/>
      <c r="F32" s="4" t="n"/>
      <c r="G32" s="4" t="n"/>
      <c r="H32" s="4" t="n"/>
      <c r="I32" s="4" t="n"/>
      <c r="J32" s="4" t="n"/>
    </row>
    <row r="33" ht="44" customHeight="1">
      <c r="A33" s="4" t="n">
        <v>12</v>
      </c>
      <c r="B33" s="4" t="n"/>
      <c r="C33" s="4" t="n"/>
      <c r="D33" s="4" t="n"/>
      <c r="E33" s="4" t="n"/>
      <c r="F33" s="4" t="n"/>
      <c r="G33" s="4" t="n"/>
      <c r="H33" s="4" t="n"/>
      <c r="I33" s="4" t="n"/>
      <c r="J33" s="4" t="n"/>
    </row>
    <row r="34" ht="44" customHeight="1">
      <c r="A34" s="4" t="n">
        <v>13</v>
      </c>
      <c r="B34" s="4" t="n"/>
      <c r="C34" s="4" t="n"/>
      <c r="D34" s="4" t="n"/>
      <c r="E34" s="4" t="n"/>
      <c r="F34" s="4" t="n"/>
      <c r="G34" s="4" t="n"/>
      <c r="H34" s="4" t="n"/>
      <c r="I34" s="4" t="n"/>
      <c r="J34" s="4" t="n"/>
    </row>
    <row r="35" ht="44" customHeight="1">
      <c r="A35" s="4" t="n">
        <v>14</v>
      </c>
      <c r="B35" s="4" t="n"/>
      <c r="C35" s="4" t="n"/>
      <c r="D35" s="4" t="n"/>
      <c r="E35" s="4" t="n"/>
      <c r="F35" s="4" t="n"/>
      <c r="G35" s="4" t="n"/>
      <c r="H35" s="4" t="n"/>
      <c r="I35" s="4" t="n"/>
      <c r="J35" s="4" t="n"/>
    </row>
    <row r="36" ht="44" customHeight="1">
      <c r="A36" s="4" t="n">
        <v>15</v>
      </c>
      <c r="B36" s="4" t="n"/>
      <c r="C36" s="4" t="n"/>
      <c r="D36" s="4" t="n"/>
      <c r="E36" s="4" t="n"/>
      <c r="F36" s="4" t="n"/>
      <c r="G36" s="4" t="n"/>
      <c r="H36" s="4" t="n"/>
      <c r="I36" s="4" t="n"/>
      <c r="J36" s="4" t="n"/>
    </row>
    <row r="37">
      <c r="A37" s="3" t="n"/>
      <c r="B37" s="3" t="n"/>
      <c r="C37" s="3" t="n"/>
      <c r="D37" s="3" t="n"/>
      <c r="E37" s="3" t="n"/>
      <c r="F37" s="3" t="n"/>
      <c r="G37" s="3" t="n"/>
      <c r="H37" s="3" t="n"/>
      <c r="I37" s="3" t="n"/>
      <c r="J37" s="3" t="n"/>
    </row>
    <row r="38">
      <c r="A38" s="8" t="inlineStr">
        <is>
          <t>Claim-by-claim review</t>
        </is>
      </c>
      <c r="B38" s="3" t="n"/>
      <c r="C38" s="3" t="n"/>
      <c r="D38" s="3" t="n"/>
      <c r="E38" s="3" t="n"/>
      <c r="F38" s="3" t="n"/>
      <c r="G38" s="3" t="n"/>
      <c r="H38" s="3" t="n"/>
      <c r="I38" s="3" t="n"/>
      <c r="J38" s="3" t="n"/>
    </row>
    <row r="39">
      <c r="A39" s="11" t="inlineStr">
        <is>
          <t>Claim ID</t>
        </is>
      </c>
      <c r="B39" s="11" t="inlineStr">
        <is>
          <t>Claim from answer</t>
        </is>
      </c>
      <c r="C39" s="11" t="inlineStr">
        <is>
          <t>Citation used</t>
        </is>
      </c>
      <c r="D39" s="11" t="inlineStr">
        <is>
          <t>Expert verdict</t>
        </is>
      </c>
      <c r="E39" s="11" t="inlineStr">
        <is>
          <t>Issue type</t>
        </is>
      </c>
      <c r="F39" s="11" t="inlineStr">
        <is>
          <t>Cited passage / source note</t>
        </is>
      </c>
      <c r="G39" s="11" t="inlineStr">
        <is>
          <t>Required fix / comment</t>
        </is>
      </c>
      <c r="H39" s="11" t="inlineStr">
        <is>
          <t>Reviewer</t>
        </is>
      </c>
      <c r="I39" s="11" t="n"/>
      <c r="J39" s="11" t="n"/>
    </row>
    <row r="40" ht="54" customHeight="1">
      <c r="A40" s="4" t="n">
        <v>1</v>
      </c>
      <c r="B40" s="4" t="n"/>
      <c r="C40" s="4" t="n"/>
      <c r="D40" s="4" t="n"/>
      <c r="E40" s="4" t="n"/>
      <c r="F40" s="4" t="n"/>
      <c r="G40" s="4" t="n"/>
      <c r="H40" s="4" t="n"/>
      <c r="I40" s="3" t="n"/>
      <c r="J40" s="3" t="n"/>
    </row>
    <row r="41" ht="54" customHeight="1">
      <c r="A41" s="4" t="n">
        <v>2</v>
      </c>
      <c r="B41" s="4" t="n"/>
      <c r="C41" s="4" t="n"/>
      <c r="D41" s="4" t="n"/>
      <c r="E41" s="4" t="n"/>
      <c r="F41" s="4" t="n"/>
      <c r="G41" s="4" t="n"/>
      <c r="H41" s="4" t="n"/>
      <c r="I41" s="3" t="n"/>
      <c r="J41" s="3" t="n"/>
    </row>
    <row r="42" ht="54" customHeight="1">
      <c r="A42" s="4" t="n">
        <v>3</v>
      </c>
      <c r="B42" s="4" t="n"/>
      <c r="C42" s="4" t="n"/>
      <c r="D42" s="4" t="n"/>
      <c r="E42" s="4" t="n"/>
      <c r="F42" s="4" t="n"/>
      <c r="G42" s="4" t="n"/>
      <c r="H42" s="4" t="n"/>
      <c r="I42" s="3" t="n"/>
      <c r="J42" s="3" t="n"/>
    </row>
    <row r="43" ht="54" customHeight="1">
      <c r="A43" s="4" t="n">
        <v>4</v>
      </c>
      <c r="B43" s="4" t="n"/>
      <c r="C43" s="4" t="n"/>
      <c r="D43" s="4" t="n"/>
      <c r="E43" s="4" t="n"/>
      <c r="F43" s="4" t="n"/>
      <c r="G43" s="4" t="n"/>
      <c r="H43" s="4" t="n"/>
      <c r="I43" s="3" t="n"/>
      <c r="J43" s="3" t="n"/>
    </row>
    <row r="44" ht="54" customHeight="1">
      <c r="A44" s="4" t="n">
        <v>5</v>
      </c>
      <c r="B44" s="4" t="n"/>
      <c r="C44" s="4" t="n"/>
      <c r="D44" s="4" t="n"/>
      <c r="E44" s="4" t="n"/>
      <c r="F44" s="4" t="n"/>
      <c r="G44" s="4" t="n"/>
      <c r="H44" s="4" t="n"/>
      <c r="I44" s="3" t="n"/>
      <c r="J44" s="3" t="n"/>
    </row>
    <row r="45" ht="54" customHeight="1">
      <c r="A45" s="4" t="n">
        <v>6</v>
      </c>
      <c r="B45" s="4" t="n"/>
      <c r="C45" s="4" t="n"/>
      <c r="D45" s="4" t="n"/>
      <c r="E45" s="4" t="n"/>
      <c r="F45" s="4" t="n"/>
      <c r="G45" s="4" t="n"/>
      <c r="H45" s="4" t="n"/>
      <c r="I45" s="3" t="n"/>
      <c r="J45" s="3" t="n"/>
    </row>
    <row r="46" ht="54" customHeight="1">
      <c r="A46" s="4" t="n">
        <v>7</v>
      </c>
      <c r="B46" s="4" t="n"/>
      <c r="C46" s="4" t="n"/>
      <c r="D46" s="4" t="n"/>
      <c r="E46" s="4" t="n"/>
      <c r="F46" s="4" t="n"/>
      <c r="G46" s="4" t="n"/>
      <c r="H46" s="4" t="n"/>
      <c r="I46" s="3" t="n"/>
      <c r="J46" s="3" t="n"/>
    </row>
    <row r="47" ht="54" customHeight="1">
      <c r="A47" s="4" t="n">
        <v>8</v>
      </c>
      <c r="B47" s="4" t="n"/>
      <c r="C47" s="4" t="n"/>
      <c r="D47" s="4" t="n"/>
      <c r="E47" s="4" t="n"/>
      <c r="F47" s="4" t="n"/>
      <c r="G47" s="4" t="n"/>
      <c r="H47" s="4" t="n"/>
      <c r="I47" s="3" t="n"/>
      <c r="J47" s="3" t="n"/>
    </row>
    <row r="48" ht="54" customHeight="1">
      <c r="A48" s="4" t="n">
        <v>9</v>
      </c>
      <c r="B48" s="4" t="n"/>
      <c r="C48" s="4" t="n"/>
      <c r="D48" s="4" t="n"/>
      <c r="E48" s="4" t="n"/>
      <c r="F48" s="4" t="n"/>
      <c r="G48" s="4" t="n"/>
      <c r="H48" s="4" t="n"/>
      <c r="I48" s="3" t="n"/>
      <c r="J48" s="3" t="n"/>
    </row>
    <row r="49" ht="54" customHeight="1">
      <c r="A49" s="4" t="n">
        <v>10</v>
      </c>
      <c r="B49" s="4" t="n"/>
      <c r="C49" s="4" t="n"/>
      <c r="D49" s="4" t="n"/>
      <c r="E49" s="4" t="n"/>
      <c r="F49" s="4" t="n"/>
      <c r="G49" s="4" t="n"/>
      <c r="H49" s="4" t="n"/>
      <c r="I49" s="3" t="n"/>
      <c r="J49" s="3" t="n"/>
    </row>
    <row r="50" ht="54" customHeight="1">
      <c r="A50" s="4" t="n">
        <v>11</v>
      </c>
      <c r="B50" s="4" t="n"/>
      <c r="C50" s="4" t="n"/>
      <c r="D50" s="4" t="n"/>
      <c r="E50" s="4" t="n"/>
      <c r="F50" s="4" t="n"/>
      <c r="G50" s="4" t="n"/>
      <c r="H50" s="4" t="n"/>
      <c r="I50" s="3" t="n"/>
      <c r="J50" s="3" t="n"/>
    </row>
    <row r="51" ht="54" customHeight="1">
      <c r="A51" s="4" t="n">
        <v>12</v>
      </c>
      <c r="B51" s="4" t="n"/>
      <c r="C51" s="4" t="n"/>
      <c r="D51" s="4" t="n"/>
      <c r="E51" s="4" t="n"/>
      <c r="F51" s="4" t="n"/>
      <c r="G51" s="4" t="n"/>
      <c r="H51" s="4" t="n"/>
      <c r="I51" s="3" t="n"/>
      <c r="J51" s="3" t="n"/>
    </row>
    <row r="52" ht="54" customHeight="1">
      <c r="A52" s="4" t="n">
        <v>13</v>
      </c>
      <c r="B52" s="4" t="n"/>
      <c r="C52" s="4" t="n"/>
      <c r="D52" s="4" t="n"/>
      <c r="E52" s="4" t="n"/>
      <c r="F52" s="4" t="n"/>
      <c r="G52" s="4" t="n"/>
      <c r="H52" s="4" t="n"/>
      <c r="I52" s="3" t="n"/>
      <c r="J52" s="3" t="n"/>
    </row>
    <row r="53" ht="54" customHeight="1">
      <c r="A53" s="4" t="n">
        <v>14</v>
      </c>
      <c r="B53" s="4" t="n"/>
      <c r="C53" s="4" t="n"/>
      <c r="D53" s="4" t="n"/>
      <c r="E53" s="4" t="n"/>
      <c r="F53" s="4" t="n"/>
      <c r="G53" s="4" t="n"/>
      <c r="H53" s="4" t="n"/>
      <c r="I53" s="3" t="n"/>
      <c r="J53" s="3" t="n"/>
    </row>
    <row r="54" ht="54" customHeight="1">
      <c r="A54" s="4" t="n">
        <v>15</v>
      </c>
      <c r="B54" s="4" t="n"/>
      <c r="C54" s="4" t="n"/>
      <c r="D54" s="4" t="n"/>
      <c r="E54" s="4" t="n"/>
      <c r="F54" s="4" t="n"/>
      <c r="G54" s="4" t="n"/>
      <c r="H54" s="4" t="n"/>
      <c r="I54" s="3" t="n"/>
      <c r="J54" s="3" t="n"/>
    </row>
    <row r="55" ht="54" customHeight="1">
      <c r="A55" s="4" t="n">
        <v>16</v>
      </c>
      <c r="B55" s="4" t="n"/>
      <c r="C55" s="4" t="n"/>
      <c r="D55" s="4" t="n"/>
      <c r="E55" s="4" t="n"/>
      <c r="F55" s="4" t="n"/>
      <c r="G55" s="4" t="n"/>
      <c r="H55" s="4" t="n"/>
      <c r="I55" s="3" t="n"/>
      <c r="J55" s="3" t="n"/>
    </row>
    <row r="56" ht="54" customHeight="1">
      <c r="A56" s="4" t="n">
        <v>17</v>
      </c>
      <c r="B56" s="4" t="n"/>
      <c r="C56" s="4" t="n"/>
      <c r="D56" s="4" t="n"/>
      <c r="E56" s="4" t="n"/>
      <c r="F56" s="4" t="n"/>
      <c r="G56" s="4" t="n"/>
      <c r="H56" s="4" t="n"/>
      <c r="I56" s="3" t="n"/>
      <c r="J56" s="3" t="n"/>
    </row>
    <row r="57" ht="54" customHeight="1">
      <c r="A57" s="4" t="n">
        <v>18</v>
      </c>
      <c r="B57" s="4" t="n"/>
      <c r="C57" s="4" t="n"/>
      <c r="D57" s="4" t="n"/>
      <c r="E57" s="4" t="n"/>
      <c r="F57" s="4" t="n"/>
      <c r="G57" s="4" t="n"/>
      <c r="H57" s="4" t="n"/>
      <c r="I57" s="3" t="n"/>
      <c r="J57" s="3" t="n"/>
    </row>
    <row r="58" ht="54" customHeight="1">
      <c r="A58" s="4" t="n">
        <v>19</v>
      </c>
      <c r="B58" s="4" t="n"/>
      <c r="C58" s="4" t="n"/>
      <c r="D58" s="4" t="n"/>
      <c r="E58" s="4" t="n"/>
      <c r="F58" s="4" t="n"/>
      <c r="G58" s="4" t="n"/>
      <c r="H58" s="4" t="n"/>
      <c r="I58" s="3" t="n"/>
      <c r="J58" s="3" t="n"/>
    </row>
    <row r="59" ht="54" customHeight="1">
      <c r="A59" s="4" t="n">
        <v>20</v>
      </c>
      <c r="B59" s="4" t="n"/>
      <c r="C59" s="4" t="n"/>
      <c r="D59" s="4" t="n"/>
      <c r="E59" s="4" t="n"/>
      <c r="F59" s="4" t="n"/>
      <c r="G59" s="4" t="n"/>
      <c r="H59" s="4" t="n"/>
      <c r="I59" s="3" t="n"/>
      <c r="J59" s="3" t="n"/>
    </row>
    <row r="60">
      <c r="A60" s="3" t="n"/>
      <c r="B60" s="3" t="n"/>
      <c r="C60" s="3" t="n"/>
      <c r="D60" s="3" t="n"/>
      <c r="E60" s="3" t="n"/>
      <c r="F60" s="3" t="n"/>
      <c r="G60" s="3" t="n"/>
      <c r="H60" s="3" t="n"/>
      <c r="I60" s="3" t="n"/>
      <c r="J60" s="3" t="n"/>
    </row>
    <row r="61">
      <c r="A61" s="8" t="inlineStr">
        <is>
          <t>Final expert verdict</t>
        </is>
      </c>
      <c r="B61" s="3" t="n"/>
      <c r="C61" s="3" t="n"/>
      <c r="D61" s="3" t="n"/>
      <c r="E61" s="3" t="n"/>
      <c r="F61" s="3" t="n"/>
      <c r="G61" s="3" t="n"/>
      <c r="H61" s="3" t="n"/>
      <c r="I61" s="3" t="n"/>
      <c r="J61" s="3" t="n"/>
    </row>
    <row r="62">
      <c r="A62" s="12" t="inlineStr">
        <is>
          <t>Is the answer acceptable?</t>
        </is>
      </c>
      <c r="B62" s="4" t="inlineStr"/>
      <c r="C62" s="4" t="n"/>
      <c r="D62" s="4" t="n"/>
      <c r="E62" s="4" t="n"/>
      <c r="F62" s="4" t="n"/>
      <c r="G62" s="4" t="n"/>
      <c r="H62" s="4" t="n"/>
      <c r="I62" s="3" t="n"/>
      <c r="J62" s="3" t="n"/>
    </row>
    <row r="63" ht="54" customHeight="1">
      <c r="A63" s="12" t="inlineStr">
        <is>
          <t>Overall comment / required fixes</t>
        </is>
      </c>
      <c r="B63" s="4" t="n"/>
      <c r="C63" s="4" t="n"/>
      <c r="D63" s="4" t="n"/>
      <c r="E63" s="4" t="n"/>
      <c r="F63" s="4" t="n"/>
      <c r="G63" s="4" t="n"/>
      <c r="H63" s="4" t="n"/>
      <c r="I63" s="3" t="n"/>
      <c r="J63" s="3" t="n"/>
    </row>
    <row r="64">
      <c r="A64" s="4" t="n"/>
      <c r="B64" s="4" t="n"/>
      <c r="C64" s="4" t="n"/>
      <c r="D64" s="4" t="n"/>
      <c r="E64" s="4" t="n"/>
      <c r="F64" s="4" t="n"/>
      <c r="G64" s="4" t="n"/>
      <c r="H64" s="4" t="n"/>
      <c r="I64" s="3" t="n"/>
      <c r="J64" s="3" t="n"/>
    </row>
    <row r="65">
      <c r="A65" s="12" t="inlineStr">
        <is>
          <t>Missing key sources?</t>
        </is>
      </c>
      <c r="B65" s="4" t="n"/>
      <c r="C65" s="4" t="n"/>
      <c r="D65" s="4" t="n"/>
      <c r="E65" s="4" t="n"/>
      <c r="F65" s="4" t="n"/>
      <c r="G65" s="4" t="n"/>
      <c r="H65" s="4" t="n"/>
      <c r="I65" s="3" t="n"/>
      <c r="J65" s="3" t="n"/>
    </row>
    <row r="66">
      <c r="A66" s="12" t="inlineStr">
        <is>
          <t>Review completed?</t>
        </is>
      </c>
      <c r="B66" s="4" t="inlineStr"/>
      <c r="C66" s="4" t="n"/>
      <c r="D66" s="4" t="n"/>
      <c r="E66" s="4" t="n"/>
      <c r="F66" s="4" t="n"/>
      <c r="G66" s="4" t="n"/>
      <c r="H66" s="4" t="n"/>
      <c r="I66" s="3" t="n"/>
      <c r="J66" s="3" t="n"/>
    </row>
    <row r="67">
      <c r="A67" s="12" t="inlineStr">
        <is>
          <t>Reviewer</t>
        </is>
      </c>
      <c r="B67" s="4" t="n"/>
      <c r="C67" s="12" t="inlineStr">
        <is>
          <t>Review date</t>
        </is>
      </c>
      <c r="D67" s="5" t="inlineStr"/>
      <c r="E67" s="4" t="n"/>
      <c r="F67" s="4" t="n"/>
      <c r="G67" s="4" t="n"/>
      <c r="H67" s="4" t="n"/>
      <c r="I67" s="3" t="n"/>
      <c r="J67" s="3" t="n"/>
    </row>
    <row r="68">
      <c r="A68" s="3" t="n"/>
      <c r="B68" s="3" t="n"/>
      <c r="C68" s="3" t="n"/>
      <c r="D68" s="3" t="n"/>
      <c r="E68" s="3" t="n"/>
      <c r="F68" s="3" t="n"/>
      <c r="G68" s="3" t="n"/>
      <c r="H68" s="3" t="n"/>
      <c r="I68" s="3" t="n"/>
      <c r="J68" s="3" t="n"/>
    </row>
    <row r="69">
      <c r="A69" s="8" t="inlineStr">
        <is>
          <t>Original source notes</t>
        </is>
      </c>
      <c r="B69" s="3" t="n"/>
      <c r="C69" s="3" t="n"/>
      <c r="D69" s="3" t="n"/>
      <c r="E69" s="3" t="n"/>
      <c r="F69" s="3" t="n"/>
      <c r="G69" s="3" t="n"/>
      <c r="H69" s="3" t="n"/>
      <c r="I69" s="3" t="n"/>
      <c r="J69" s="3" t="n"/>
    </row>
    <row r="70">
      <c r="A70" s="12" t="inlineStr">
        <is>
          <t>WAB notes</t>
        </is>
      </c>
      <c r="B70" s="4" t="inlineStr">
        <is>
          <t>Your wording, unchanged.</t>
        </is>
      </c>
      <c r="C70" s="4" t="n"/>
      <c r="D70" s="4" t="n"/>
      <c r="E70" s="4" t="n"/>
      <c r="F70" s="4" t="n"/>
      <c r="G70" s="4" t="n"/>
      <c r="H70" s="4" t="n"/>
      <c r="I70" s="3" t="n"/>
      <c r="J70" s="3" t="n"/>
    </row>
    <row r="71" ht="54" customHeight="1">
      <c r="A71" s="12" t="inlineStr">
        <is>
          <t>Reviewer notes from question approval</t>
        </is>
      </c>
      <c r="B71" s="4" t="inlineStr">
        <is>
          <t>agreed.</t>
        </is>
      </c>
      <c r="C71" s="4" t="n"/>
      <c r="D71" s="4" t="n"/>
      <c r="E71" s="4" t="n"/>
      <c r="F71" s="4" t="n"/>
      <c r="G71" s="4" t="n"/>
      <c r="H71" s="4" t="n"/>
      <c r="I71" s="3" t="n"/>
      <c r="J71" s="3" t="n"/>
    </row>
    <row r="72">
      <c r="A72" s="4" t="n"/>
      <c r="B72" s="4" t="n"/>
      <c r="C72" s="4" t="n"/>
      <c r="D72" s="4" t="n"/>
      <c r="E72" s="4" t="n"/>
      <c r="F72" s="4" t="n"/>
      <c r="G72" s="4" t="n"/>
      <c r="H72" s="4" t="n"/>
      <c r="I72" s="3" t="n"/>
      <c r="J72" s="3" t="n"/>
    </row>
  </sheetData>
  <autoFilter ref="A21:J36"/>
  <mergeCells count="20">
    <mergeCell ref="B65:H65"/>
    <mergeCell ref="B71:H72"/>
    <mergeCell ref="B6:H6"/>
    <mergeCell ref="A20:J20"/>
    <mergeCell ref="A1:H1"/>
    <mergeCell ref="B5:H5"/>
    <mergeCell ref="A61:H61"/>
    <mergeCell ref="A69:H69"/>
    <mergeCell ref="B4:H4"/>
    <mergeCell ref="B62:H62"/>
    <mergeCell ref="B7:H7"/>
    <mergeCell ref="B66:H66"/>
    <mergeCell ref="A3:H3"/>
    <mergeCell ref="A16:H18"/>
    <mergeCell ref="B70:H70"/>
    <mergeCell ref="A14:H14"/>
    <mergeCell ref="B63:H64"/>
    <mergeCell ref="B8:H8"/>
    <mergeCell ref="B10:H12"/>
    <mergeCell ref="A38:H38"/>
  </mergeCells>
  <dataValidations count="9">
    <dataValidation sqref="C22:C36" showDropDown="0" showInputMessage="0" showErrorMessage="0" allowBlank="1" type="list">
      <formula1>=Lists!$F$2:$F$5</formula1>
    </dataValidation>
    <dataValidation sqref="F22:F36" showDropDown="0" showInputMessage="0" showErrorMessage="0" allowBlank="1" type="list">
      <formula1>=Lists!$G$2:$G$4</formula1>
    </dataValidation>
    <dataValidation sqref="G22:G36" showDropDown="0" showInputMessage="0" showErrorMessage="0" allowBlank="1" type="list">
      <formula1>=Lists!$G$2:$G$4</formula1>
    </dataValidation>
    <dataValidation sqref="H22:H36" showDropDown="0" showInputMessage="0" showErrorMessage="0" allowBlank="1" type="list">
      <formula1>=Lists!$G$2:$G$4</formula1>
    </dataValidation>
    <dataValidation sqref="I22:I36" showDropDown="0" showInputMessage="0" showErrorMessage="0" allowBlank="1" type="list">
      <formula1>=Lists!$H$2:$H$6</formula1>
    </dataValidation>
    <dataValidation sqref="D40:D59" showDropDown="0" showInputMessage="0" showErrorMessage="0" allowBlank="1" type="list">
      <formula1>=Lists!$D$2:$D$7</formula1>
    </dataValidation>
    <dataValidation sqref="E40:E59" showDropDown="0" showInputMessage="0" showErrorMessage="0" allowBlank="1" type="list">
      <formula1>=Lists!$E$2:$E$8</formula1>
    </dataValidation>
    <dataValidation sqref="B62" showDropDown="0" showInputMessage="0" showErrorMessage="0" allowBlank="1" type="list">
      <formula1>=Lists!$C$2:$C$4</formula1>
    </dataValidation>
    <dataValidation sqref="B66" showDropDown="0" showInputMessage="0" showErrorMessage="0" allowBlank="1" type="list">
      <formula1>=Lists!$A$2:$A$3</formula1>
    </dataValidation>
  </dataValidations>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J72"/>
  <sheetViews>
    <sheetView showGridLines="0" workbookViewId="0">
      <pane ySplit="21" topLeftCell="A22" activePane="bottomLeft" state="frozen"/>
      <selection pane="bottomLeft" activeCell="A1" sqref="A1"/>
    </sheetView>
  </sheetViews>
  <sheetFormatPr baseColWidth="8" defaultRowHeight="15"/>
  <cols>
    <col width="12" customWidth="1" min="1" max="1"/>
    <col width="34" customWidth="1" min="2" max="2"/>
    <col width="22" customWidth="1" min="3" max="3"/>
    <col width="18" customWidth="1" min="4" max="4"/>
    <col width="20" customWidth="1" min="5" max="5"/>
    <col width="30" customWidth="1" min="6" max="6"/>
    <col width="34" customWidth="1" min="7" max="7"/>
    <col width="18" customWidth="1" min="8" max="8"/>
    <col width="18" customWidth="1" min="9" max="9"/>
    <col width="30" customWidth="1" min="10" max="10"/>
  </cols>
  <sheetData>
    <row r="1" ht="28" customHeight="1">
      <c r="A1" s="6" t="inlineStr">
        <is>
          <t>Q18 — Expert Review</t>
        </is>
      </c>
      <c r="B1" s="3" t="n"/>
      <c r="C1" s="3" t="n"/>
      <c r="D1" s="3" t="n"/>
      <c r="E1" s="3" t="n"/>
      <c r="F1" s="3" t="n"/>
      <c r="G1" s="3" t="n"/>
      <c r="H1" s="3" t="n"/>
      <c r="I1" s="3" t="n"/>
      <c r="J1" s="3" t="n"/>
    </row>
    <row r="2">
      <c r="A2" s="3" t="n"/>
      <c r="B2" s="3" t="n"/>
      <c r="C2" s="3" t="n"/>
      <c r="D2" s="3" t="n"/>
      <c r="E2" s="3" t="n"/>
      <c r="F2" s="3" t="n"/>
      <c r="G2" s="3" t="n"/>
      <c r="H2" s="3" t="n"/>
      <c r="I2" s="3" t="n"/>
      <c r="J2" s="3" t="n"/>
    </row>
    <row r="3">
      <c r="A3" s="8" t="inlineStr">
        <is>
          <t>Question metadata</t>
        </is>
      </c>
      <c r="B3" s="3" t="n"/>
      <c r="C3" s="3" t="n"/>
      <c r="D3" s="3" t="n"/>
      <c r="E3" s="3" t="n"/>
      <c r="F3" s="3" t="n"/>
      <c r="G3" s="3" t="n"/>
      <c r="H3" s="3" t="n"/>
      <c r="I3" s="3" t="n"/>
      <c r="J3" s="3" t="n"/>
    </row>
    <row r="4">
      <c r="A4" s="9" t="inlineStr">
        <is>
          <t>Question ID</t>
        </is>
      </c>
      <c r="B4" s="3" t="n">
        <v>18</v>
      </c>
      <c r="C4" s="3" t="n"/>
      <c r="D4" s="3" t="n"/>
      <c r="E4" s="3" t="n"/>
      <c r="F4" s="3" t="n"/>
      <c r="G4" s="3" t="n"/>
      <c r="H4" s="3" t="n"/>
      <c r="I4" s="3" t="n"/>
      <c r="J4" s="3" t="n"/>
    </row>
    <row r="5">
      <c r="A5" s="9" t="inlineStr">
        <is>
          <t>Topic</t>
        </is>
      </c>
      <c r="B5" s="3" t="inlineStr">
        <is>
          <t>Dawn raids — legal professional privilege</t>
        </is>
      </c>
      <c r="C5" s="3" t="n"/>
      <c r="D5" s="3" t="n"/>
      <c r="E5" s="3" t="n"/>
      <c r="F5" s="3" t="n"/>
      <c r="G5" s="3" t="n"/>
      <c r="H5" s="3" t="n"/>
      <c r="I5" s="3" t="n"/>
      <c r="J5" s="3" t="n"/>
    </row>
    <row r="6">
      <c r="A6" s="9" t="inlineStr">
        <is>
          <t>Scope</t>
        </is>
      </c>
      <c r="B6" s="3" t="inlineStr">
        <is>
          <t>US</t>
        </is>
      </c>
      <c r="C6" s="3" t="n"/>
      <c r="D6" s="3" t="n"/>
      <c r="E6" s="3" t="n"/>
      <c r="F6" s="3" t="n"/>
      <c r="G6" s="3" t="n"/>
      <c r="H6" s="3" t="n"/>
      <c r="I6" s="3" t="n"/>
      <c r="J6" s="3" t="n"/>
    </row>
    <row r="7">
      <c r="A7" s="9" t="inlineStr">
        <is>
          <t>Original reviewer</t>
        </is>
      </c>
      <c r="B7" s="3" t="inlineStr">
        <is>
          <t>Arthur</t>
        </is>
      </c>
      <c r="C7" s="3" t="n"/>
      <c r="D7" s="3" t="n"/>
      <c r="E7" s="3" t="n"/>
      <c r="F7" s="3" t="n"/>
      <c r="G7" s="3" t="n"/>
      <c r="H7" s="3" t="n"/>
      <c r="I7" s="3" t="n"/>
      <c r="J7" s="3" t="n"/>
    </row>
    <row r="8">
      <c r="A8" s="9" t="inlineStr">
        <is>
          <t>Original status</t>
        </is>
      </c>
      <c r="B8" s="3" t="inlineStr">
        <is>
          <t>Approved</t>
        </is>
      </c>
      <c r="C8" s="3" t="n"/>
      <c r="D8" s="3" t="n"/>
      <c r="E8" s="3" t="n"/>
      <c r="F8" s="3" t="n"/>
      <c r="G8" s="3" t="n"/>
      <c r="H8" s="3" t="n"/>
      <c r="I8" s="3" t="n"/>
      <c r="J8" s="3" t="n"/>
    </row>
    <row r="9">
      <c r="A9" s="3" t="n"/>
      <c r="B9" s="3" t="n"/>
      <c r="C9" s="3" t="n"/>
      <c r="D9" s="3" t="n"/>
      <c r="E9" s="3" t="n"/>
      <c r="F9" s="3" t="n"/>
      <c r="G9" s="3" t="n"/>
      <c r="H9" s="3" t="n"/>
      <c r="I9" s="3" t="n"/>
      <c r="J9" s="3" t="n"/>
    </row>
    <row r="10" ht="45" customHeight="1">
      <c r="A10" s="9" t="inlineStr">
        <is>
          <t>Question</t>
        </is>
      </c>
      <c r="B10" s="3" t="inlineStr">
        <is>
          <t>At what stage is attorney-client privilege breached when US antitrust authorities gather documents — when the investigator reads the document, or only when it is later used?</t>
        </is>
      </c>
      <c r="C10" s="3" t="n"/>
      <c r="D10" s="3" t="n"/>
      <c r="E10" s="3" t="n"/>
      <c r="F10" s="3" t="n"/>
      <c r="G10" s="3" t="n"/>
      <c r="H10" s="3" t="n"/>
      <c r="I10" s="3" t="n"/>
      <c r="J10" s="3" t="n"/>
    </row>
    <row r="11">
      <c r="A11" s="3" t="n"/>
      <c r="B11" s="3" t="n"/>
      <c r="C11" s="3" t="n"/>
      <c r="D11" s="3" t="n"/>
      <c r="E11" s="3" t="n"/>
      <c r="F11" s="3" t="n"/>
      <c r="G11" s="3" t="n"/>
      <c r="H11" s="3" t="n"/>
      <c r="I11" s="3" t="n"/>
      <c r="J11" s="3" t="n"/>
    </row>
    <row r="12">
      <c r="A12" s="3" t="n"/>
      <c r="B12" s="3" t="n"/>
      <c r="C12" s="3" t="n"/>
      <c r="D12" s="3" t="n"/>
      <c r="E12" s="3" t="n"/>
      <c r="F12" s="3" t="n"/>
      <c r="G12" s="3" t="n"/>
      <c r="H12" s="3" t="n"/>
      <c r="I12" s="3" t="n"/>
      <c r="J12" s="3" t="n"/>
    </row>
    <row r="13">
      <c r="A13" s="3" t="n"/>
      <c r="B13" s="3" t="n"/>
      <c r="C13" s="3" t="n"/>
      <c r="D13" s="3" t="n"/>
      <c r="E13" s="3" t="n"/>
      <c r="F13" s="3" t="n"/>
      <c r="G13" s="3" t="n"/>
      <c r="H13" s="3" t="n"/>
      <c r="I13" s="3" t="n"/>
      <c r="J13" s="3" t="n"/>
    </row>
    <row r="14">
      <c r="A14" s="8" t="inlineStr">
        <is>
          <t>Generated answer</t>
        </is>
      </c>
      <c r="B14" s="3" t="n"/>
      <c r="C14" s="3" t="n"/>
      <c r="D14" s="3" t="n"/>
      <c r="E14" s="3" t="n"/>
      <c r="F14" s="3" t="n"/>
      <c r="G14" s="3" t="n"/>
      <c r="H14" s="3" t="n"/>
      <c r="I14" s="3" t="n"/>
      <c r="J14" s="3" t="n"/>
    </row>
    <row r="15">
      <c r="A15" s="10" t="inlineStr">
        <is>
          <t>Paste the generated answer below.</t>
        </is>
      </c>
      <c r="B15" s="3" t="n"/>
      <c r="C15" s="3" t="n"/>
      <c r="D15" s="3" t="n"/>
      <c r="E15" s="3" t="n"/>
      <c r="F15" s="3" t="n"/>
      <c r="G15" s="3" t="n"/>
      <c r="H15" s="3" t="n"/>
      <c r="I15" s="3" t="n"/>
      <c r="J15" s="3" t="n"/>
    </row>
    <row r="16" ht="90" customHeight="1">
      <c r="A16" s="3" t="inlineStr"/>
      <c r="B16" s="3" t="n"/>
      <c r="C16" s="3" t="n"/>
      <c r="D16" s="3" t="n"/>
      <c r="E16" s="3" t="n"/>
      <c r="F16" s="3" t="n"/>
      <c r="G16" s="3" t="n"/>
      <c r="H16" s="3" t="n"/>
      <c r="I16" s="3" t="n"/>
      <c r="J16" s="3" t="n"/>
    </row>
    <row r="17" ht="30" customHeight="1">
      <c r="A17" s="3" t="n"/>
      <c r="B17" s="3" t="n"/>
      <c r="C17" s="3" t="n"/>
      <c r="D17" s="3" t="n"/>
      <c r="E17" s="3" t="n"/>
      <c r="F17" s="3" t="n"/>
      <c r="G17" s="3" t="n"/>
      <c r="H17" s="3" t="n"/>
      <c r="I17" s="3" t="n"/>
      <c r="J17" s="3" t="n"/>
    </row>
    <row r="18" ht="30" customHeight="1">
      <c r="A18" s="3" t="n"/>
      <c r="B18" s="3" t="n"/>
      <c r="C18" s="3" t="n"/>
      <c r="D18" s="3" t="n"/>
      <c r="E18" s="3" t="n"/>
      <c r="F18" s="3" t="n"/>
      <c r="G18" s="3" t="n"/>
      <c r="H18" s="3" t="n"/>
      <c r="I18" s="3" t="n"/>
      <c r="J18" s="3" t="n"/>
    </row>
    <row r="19">
      <c r="A19" s="9" t="inlineStr">
        <is>
          <t>Run ID</t>
        </is>
      </c>
      <c r="B19" s="3" t="inlineStr"/>
      <c r="C19" s="9" t="inlineStr">
        <is>
          <t>Run date</t>
        </is>
      </c>
      <c r="D19" s="3" t="inlineStr"/>
      <c r="E19" s="9" t="inlineStr">
        <is>
          <t>Model / prompt version</t>
        </is>
      </c>
      <c r="F19" s="3" t="inlineStr"/>
      <c r="G19" s="9" t="inlineStr">
        <is>
          <t>Corpus snapshot</t>
        </is>
      </c>
      <c r="H19" s="3" t="inlineStr"/>
      <c r="I19" s="3" t="n"/>
      <c r="J19" s="3" t="n"/>
    </row>
    <row r="20">
      <c r="A20" s="8" t="inlineStr">
        <is>
          <t>Retrieval set review</t>
        </is>
      </c>
      <c r="B20" s="3" t="n"/>
      <c r="C20" s="3" t="n"/>
      <c r="D20" s="3" t="n"/>
      <c r="E20" s="3" t="n"/>
      <c r="F20" s="3" t="n"/>
      <c r="G20" s="3" t="n"/>
      <c r="H20" s="3" t="n"/>
      <c r="I20" s="3" t="n"/>
      <c r="J20" s="3" t="n"/>
    </row>
    <row r="21">
      <c r="A21" s="11" t="inlineStr">
        <is>
          <t>Rank</t>
        </is>
      </c>
      <c r="B21" s="11" t="inlineStr">
        <is>
          <t>Retrieved source</t>
        </is>
      </c>
      <c r="C21" s="11" t="inlineStr">
        <is>
          <t>Source type</t>
        </is>
      </c>
      <c r="D21" s="11" t="inlineStr">
        <is>
          <t>Jurisdiction</t>
        </is>
      </c>
      <c r="E21" s="11" t="inlineStr">
        <is>
          <t>URL / Document ID</t>
        </is>
      </c>
      <c r="F21" s="11" t="inlineStr">
        <is>
          <t>Returned by engine?</t>
        </is>
      </c>
      <c r="G21" s="11" t="inlineStr">
        <is>
          <t>Required source?</t>
        </is>
      </c>
      <c r="H21" s="11" t="inlineStr">
        <is>
          <t>Trap?</t>
        </is>
      </c>
      <c r="I21" s="11" t="inlineStr">
        <is>
          <t>Expert verdict</t>
        </is>
      </c>
      <c r="J21" s="11" t="inlineStr">
        <is>
          <t>Notes</t>
        </is>
      </c>
    </row>
    <row r="22" ht="44" customHeight="1">
      <c r="A22" s="4" t="n">
        <v>1</v>
      </c>
      <c r="B22" s="4" t="n"/>
      <c r="C22" s="4" t="n"/>
      <c r="D22" s="4" t="n"/>
      <c r="E22" s="4" t="n"/>
      <c r="F22" s="4" t="n"/>
      <c r="G22" s="4" t="n"/>
      <c r="H22" s="4" t="n"/>
      <c r="I22" s="4" t="n"/>
      <c r="J22" s="4" t="n"/>
    </row>
    <row r="23" ht="44" customHeight="1">
      <c r="A23" s="4" t="n">
        <v>2</v>
      </c>
      <c r="B23" s="4" t="n"/>
      <c r="C23" s="4" t="n"/>
      <c r="D23" s="4" t="n"/>
      <c r="E23" s="4" t="n"/>
      <c r="F23" s="4" t="n"/>
      <c r="G23" s="4" t="n"/>
      <c r="H23" s="4" t="n"/>
      <c r="I23" s="4" t="n"/>
      <c r="J23" s="4" t="n"/>
    </row>
    <row r="24" ht="44" customHeight="1">
      <c r="A24" s="4" t="n">
        <v>3</v>
      </c>
      <c r="B24" s="4" t="n"/>
      <c r="C24" s="4" t="n"/>
      <c r="D24" s="4" t="n"/>
      <c r="E24" s="4" t="n"/>
      <c r="F24" s="4" t="n"/>
      <c r="G24" s="4" t="n"/>
      <c r="H24" s="4" t="n"/>
      <c r="I24" s="4" t="n"/>
      <c r="J24" s="4" t="n"/>
    </row>
    <row r="25" ht="44" customHeight="1">
      <c r="A25" s="4" t="n">
        <v>4</v>
      </c>
      <c r="B25" s="4" t="n"/>
      <c r="C25" s="4" t="n"/>
      <c r="D25" s="4" t="n"/>
      <c r="E25" s="4" t="n"/>
      <c r="F25" s="4" t="n"/>
      <c r="G25" s="4" t="n"/>
      <c r="H25" s="4" t="n"/>
      <c r="I25" s="4" t="n"/>
      <c r="J25" s="4" t="n"/>
    </row>
    <row r="26" ht="44" customHeight="1">
      <c r="A26" s="4" t="n">
        <v>5</v>
      </c>
      <c r="B26" s="4" t="n"/>
      <c r="C26" s="4" t="n"/>
      <c r="D26" s="4" t="n"/>
      <c r="E26" s="4" t="n"/>
      <c r="F26" s="4" t="n"/>
      <c r="G26" s="4" t="n"/>
      <c r="H26" s="4" t="n"/>
      <c r="I26" s="4" t="n"/>
      <c r="J26" s="4" t="n"/>
    </row>
    <row r="27" ht="44" customHeight="1">
      <c r="A27" s="4" t="n">
        <v>6</v>
      </c>
      <c r="B27" s="4" t="n"/>
      <c r="C27" s="4" t="n"/>
      <c r="D27" s="4" t="n"/>
      <c r="E27" s="4" t="n"/>
      <c r="F27" s="4" t="n"/>
      <c r="G27" s="4" t="n"/>
      <c r="H27" s="4" t="n"/>
      <c r="I27" s="4" t="n"/>
      <c r="J27" s="4" t="n"/>
    </row>
    <row r="28" ht="44" customHeight="1">
      <c r="A28" s="4" t="n">
        <v>7</v>
      </c>
      <c r="B28" s="4" t="n"/>
      <c r="C28" s="4" t="n"/>
      <c r="D28" s="4" t="n"/>
      <c r="E28" s="4" t="n"/>
      <c r="F28" s="4" t="n"/>
      <c r="G28" s="4" t="n"/>
      <c r="H28" s="4" t="n"/>
      <c r="I28" s="4" t="n"/>
      <c r="J28" s="4" t="n"/>
    </row>
    <row r="29" ht="44" customHeight="1">
      <c r="A29" s="4" t="n">
        <v>8</v>
      </c>
      <c r="B29" s="4" t="n"/>
      <c r="C29" s="4" t="n"/>
      <c r="D29" s="4" t="n"/>
      <c r="E29" s="4" t="n"/>
      <c r="F29" s="4" t="n"/>
      <c r="G29" s="4" t="n"/>
      <c r="H29" s="4" t="n"/>
      <c r="I29" s="4" t="n"/>
      <c r="J29" s="4" t="n"/>
    </row>
    <row r="30" ht="44" customHeight="1">
      <c r="A30" s="4" t="n">
        <v>9</v>
      </c>
      <c r="B30" s="4" t="n"/>
      <c r="C30" s="4" t="n"/>
      <c r="D30" s="4" t="n"/>
      <c r="E30" s="4" t="n"/>
      <c r="F30" s="4" t="n"/>
      <c r="G30" s="4" t="n"/>
      <c r="H30" s="4" t="n"/>
      <c r="I30" s="4" t="n"/>
      <c r="J30" s="4" t="n"/>
    </row>
    <row r="31" ht="44" customHeight="1">
      <c r="A31" s="4" t="n">
        <v>10</v>
      </c>
      <c r="B31" s="4" t="n"/>
      <c r="C31" s="4" t="n"/>
      <c r="D31" s="4" t="n"/>
      <c r="E31" s="4" t="n"/>
      <c r="F31" s="4" t="n"/>
      <c r="G31" s="4" t="n"/>
      <c r="H31" s="4" t="n"/>
      <c r="I31" s="4" t="n"/>
      <c r="J31" s="4" t="n"/>
    </row>
    <row r="32" ht="44" customHeight="1">
      <c r="A32" s="4" t="n">
        <v>11</v>
      </c>
      <c r="B32" s="4" t="n"/>
      <c r="C32" s="4" t="n"/>
      <c r="D32" s="4" t="n"/>
      <c r="E32" s="4" t="n"/>
      <c r="F32" s="4" t="n"/>
      <c r="G32" s="4" t="n"/>
      <c r="H32" s="4" t="n"/>
      <c r="I32" s="4" t="n"/>
      <c r="J32" s="4" t="n"/>
    </row>
    <row r="33" ht="44" customHeight="1">
      <c r="A33" s="4" t="n">
        <v>12</v>
      </c>
      <c r="B33" s="4" t="n"/>
      <c r="C33" s="4" t="n"/>
      <c r="D33" s="4" t="n"/>
      <c r="E33" s="4" t="n"/>
      <c r="F33" s="4" t="n"/>
      <c r="G33" s="4" t="n"/>
      <c r="H33" s="4" t="n"/>
      <c r="I33" s="4" t="n"/>
      <c r="J33" s="4" t="n"/>
    </row>
    <row r="34" ht="44" customHeight="1">
      <c r="A34" s="4" t="n">
        <v>13</v>
      </c>
      <c r="B34" s="4" t="n"/>
      <c r="C34" s="4" t="n"/>
      <c r="D34" s="4" t="n"/>
      <c r="E34" s="4" t="n"/>
      <c r="F34" s="4" t="n"/>
      <c r="G34" s="4" t="n"/>
      <c r="H34" s="4" t="n"/>
      <c r="I34" s="4" t="n"/>
      <c r="J34" s="4" t="n"/>
    </row>
    <row r="35" ht="44" customHeight="1">
      <c r="A35" s="4" t="n">
        <v>14</v>
      </c>
      <c r="B35" s="4" t="n"/>
      <c r="C35" s="4" t="n"/>
      <c r="D35" s="4" t="n"/>
      <c r="E35" s="4" t="n"/>
      <c r="F35" s="4" t="n"/>
      <c r="G35" s="4" t="n"/>
      <c r="H35" s="4" t="n"/>
      <c r="I35" s="4" t="n"/>
      <c r="J35" s="4" t="n"/>
    </row>
    <row r="36" ht="44" customHeight="1">
      <c r="A36" s="4" t="n">
        <v>15</v>
      </c>
      <c r="B36" s="4" t="n"/>
      <c r="C36" s="4" t="n"/>
      <c r="D36" s="4" t="n"/>
      <c r="E36" s="4" t="n"/>
      <c r="F36" s="4" t="n"/>
      <c r="G36" s="4" t="n"/>
      <c r="H36" s="4" t="n"/>
      <c r="I36" s="4" t="n"/>
      <c r="J36" s="4" t="n"/>
    </row>
    <row r="37">
      <c r="A37" s="3" t="n"/>
      <c r="B37" s="3" t="n"/>
      <c r="C37" s="3" t="n"/>
      <c r="D37" s="3" t="n"/>
      <c r="E37" s="3" t="n"/>
      <c r="F37" s="3" t="n"/>
      <c r="G37" s="3" t="n"/>
      <c r="H37" s="3" t="n"/>
      <c r="I37" s="3" t="n"/>
      <c r="J37" s="3" t="n"/>
    </row>
    <row r="38">
      <c r="A38" s="8" t="inlineStr">
        <is>
          <t>Claim-by-claim review</t>
        </is>
      </c>
      <c r="B38" s="3" t="n"/>
      <c r="C38" s="3" t="n"/>
      <c r="D38" s="3" t="n"/>
      <c r="E38" s="3" t="n"/>
      <c r="F38" s="3" t="n"/>
      <c r="G38" s="3" t="n"/>
      <c r="H38" s="3" t="n"/>
      <c r="I38" s="3" t="n"/>
      <c r="J38" s="3" t="n"/>
    </row>
    <row r="39">
      <c r="A39" s="11" t="inlineStr">
        <is>
          <t>Claim ID</t>
        </is>
      </c>
      <c r="B39" s="11" t="inlineStr">
        <is>
          <t>Claim from answer</t>
        </is>
      </c>
      <c r="C39" s="11" t="inlineStr">
        <is>
          <t>Citation used</t>
        </is>
      </c>
      <c r="D39" s="11" t="inlineStr">
        <is>
          <t>Expert verdict</t>
        </is>
      </c>
      <c r="E39" s="11" t="inlineStr">
        <is>
          <t>Issue type</t>
        </is>
      </c>
      <c r="F39" s="11" t="inlineStr">
        <is>
          <t>Cited passage / source note</t>
        </is>
      </c>
      <c r="G39" s="11" t="inlineStr">
        <is>
          <t>Required fix / comment</t>
        </is>
      </c>
      <c r="H39" s="11" t="inlineStr">
        <is>
          <t>Reviewer</t>
        </is>
      </c>
      <c r="I39" s="11" t="n"/>
      <c r="J39" s="11" t="n"/>
    </row>
    <row r="40" ht="54" customHeight="1">
      <c r="A40" s="4" t="n">
        <v>1</v>
      </c>
      <c r="B40" s="4" t="n"/>
      <c r="C40" s="4" t="n"/>
      <c r="D40" s="4" t="n"/>
      <c r="E40" s="4" t="n"/>
      <c r="F40" s="4" t="n"/>
      <c r="G40" s="4" t="n"/>
      <c r="H40" s="4" t="n"/>
      <c r="I40" s="3" t="n"/>
      <c r="J40" s="3" t="n"/>
    </row>
    <row r="41" ht="54" customHeight="1">
      <c r="A41" s="4" t="n">
        <v>2</v>
      </c>
      <c r="B41" s="4" t="n"/>
      <c r="C41" s="4" t="n"/>
      <c r="D41" s="4" t="n"/>
      <c r="E41" s="4" t="n"/>
      <c r="F41" s="4" t="n"/>
      <c r="G41" s="4" t="n"/>
      <c r="H41" s="4" t="n"/>
      <c r="I41" s="3" t="n"/>
      <c r="J41" s="3" t="n"/>
    </row>
    <row r="42" ht="54" customHeight="1">
      <c r="A42" s="4" t="n">
        <v>3</v>
      </c>
      <c r="B42" s="4" t="n"/>
      <c r="C42" s="4" t="n"/>
      <c r="D42" s="4" t="n"/>
      <c r="E42" s="4" t="n"/>
      <c r="F42" s="4" t="n"/>
      <c r="G42" s="4" t="n"/>
      <c r="H42" s="4" t="n"/>
      <c r="I42" s="3" t="n"/>
      <c r="J42" s="3" t="n"/>
    </row>
    <row r="43" ht="54" customHeight="1">
      <c r="A43" s="4" t="n">
        <v>4</v>
      </c>
      <c r="B43" s="4" t="n"/>
      <c r="C43" s="4" t="n"/>
      <c r="D43" s="4" t="n"/>
      <c r="E43" s="4" t="n"/>
      <c r="F43" s="4" t="n"/>
      <c r="G43" s="4" t="n"/>
      <c r="H43" s="4" t="n"/>
      <c r="I43" s="3" t="n"/>
      <c r="J43" s="3" t="n"/>
    </row>
    <row r="44" ht="54" customHeight="1">
      <c r="A44" s="4" t="n">
        <v>5</v>
      </c>
      <c r="B44" s="4" t="n"/>
      <c r="C44" s="4" t="n"/>
      <c r="D44" s="4" t="n"/>
      <c r="E44" s="4" t="n"/>
      <c r="F44" s="4" t="n"/>
      <c r="G44" s="4" t="n"/>
      <c r="H44" s="4" t="n"/>
      <c r="I44" s="3" t="n"/>
      <c r="J44" s="3" t="n"/>
    </row>
    <row r="45" ht="54" customHeight="1">
      <c r="A45" s="4" t="n">
        <v>6</v>
      </c>
      <c r="B45" s="4" t="n"/>
      <c r="C45" s="4" t="n"/>
      <c r="D45" s="4" t="n"/>
      <c r="E45" s="4" t="n"/>
      <c r="F45" s="4" t="n"/>
      <c r="G45" s="4" t="n"/>
      <c r="H45" s="4" t="n"/>
      <c r="I45" s="3" t="n"/>
      <c r="J45" s="3" t="n"/>
    </row>
    <row r="46" ht="54" customHeight="1">
      <c r="A46" s="4" t="n">
        <v>7</v>
      </c>
      <c r="B46" s="4" t="n"/>
      <c r="C46" s="4" t="n"/>
      <c r="D46" s="4" t="n"/>
      <c r="E46" s="4" t="n"/>
      <c r="F46" s="4" t="n"/>
      <c r="G46" s="4" t="n"/>
      <c r="H46" s="4" t="n"/>
      <c r="I46" s="3" t="n"/>
      <c r="J46" s="3" t="n"/>
    </row>
    <row r="47" ht="54" customHeight="1">
      <c r="A47" s="4" t="n">
        <v>8</v>
      </c>
      <c r="B47" s="4" t="n"/>
      <c r="C47" s="4" t="n"/>
      <c r="D47" s="4" t="n"/>
      <c r="E47" s="4" t="n"/>
      <c r="F47" s="4" t="n"/>
      <c r="G47" s="4" t="n"/>
      <c r="H47" s="4" t="n"/>
      <c r="I47" s="3" t="n"/>
      <c r="J47" s="3" t="n"/>
    </row>
    <row r="48" ht="54" customHeight="1">
      <c r="A48" s="4" t="n">
        <v>9</v>
      </c>
      <c r="B48" s="4" t="n"/>
      <c r="C48" s="4" t="n"/>
      <c r="D48" s="4" t="n"/>
      <c r="E48" s="4" t="n"/>
      <c r="F48" s="4" t="n"/>
      <c r="G48" s="4" t="n"/>
      <c r="H48" s="4" t="n"/>
      <c r="I48" s="3" t="n"/>
      <c r="J48" s="3" t="n"/>
    </row>
    <row r="49" ht="54" customHeight="1">
      <c r="A49" s="4" t="n">
        <v>10</v>
      </c>
      <c r="B49" s="4" t="n"/>
      <c r="C49" s="4" t="n"/>
      <c r="D49" s="4" t="n"/>
      <c r="E49" s="4" t="n"/>
      <c r="F49" s="4" t="n"/>
      <c r="G49" s="4" t="n"/>
      <c r="H49" s="4" t="n"/>
      <c r="I49" s="3" t="n"/>
      <c r="J49" s="3" t="n"/>
    </row>
    <row r="50" ht="54" customHeight="1">
      <c r="A50" s="4" t="n">
        <v>11</v>
      </c>
      <c r="B50" s="4" t="n"/>
      <c r="C50" s="4" t="n"/>
      <c r="D50" s="4" t="n"/>
      <c r="E50" s="4" t="n"/>
      <c r="F50" s="4" t="n"/>
      <c r="G50" s="4" t="n"/>
      <c r="H50" s="4" t="n"/>
      <c r="I50" s="3" t="n"/>
      <c r="J50" s="3" t="n"/>
    </row>
    <row r="51" ht="54" customHeight="1">
      <c r="A51" s="4" t="n">
        <v>12</v>
      </c>
      <c r="B51" s="4" t="n"/>
      <c r="C51" s="4" t="n"/>
      <c r="D51" s="4" t="n"/>
      <c r="E51" s="4" t="n"/>
      <c r="F51" s="4" t="n"/>
      <c r="G51" s="4" t="n"/>
      <c r="H51" s="4" t="n"/>
      <c r="I51" s="3" t="n"/>
      <c r="J51" s="3" t="n"/>
    </row>
    <row r="52" ht="54" customHeight="1">
      <c r="A52" s="4" t="n">
        <v>13</v>
      </c>
      <c r="B52" s="4" t="n"/>
      <c r="C52" s="4" t="n"/>
      <c r="D52" s="4" t="n"/>
      <c r="E52" s="4" t="n"/>
      <c r="F52" s="4" t="n"/>
      <c r="G52" s="4" t="n"/>
      <c r="H52" s="4" t="n"/>
      <c r="I52" s="3" t="n"/>
      <c r="J52" s="3" t="n"/>
    </row>
    <row r="53" ht="54" customHeight="1">
      <c r="A53" s="4" t="n">
        <v>14</v>
      </c>
      <c r="B53" s="4" t="n"/>
      <c r="C53" s="4" t="n"/>
      <c r="D53" s="4" t="n"/>
      <c r="E53" s="4" t="n"/>
      <c r="F53" s="4" t="n"/>
      <c r="G53" s="4" t="n"/>
      <c r="H53" s="4" t="n"/>
      <c r="I53" s="3" t="n"/>
      <c r="J53" s="3" t="n"/>
    </row>
    <row r="54" ht="54" customHeight="1">
      <c r="A54" s="4" t="n">
        <v>15</v>
      </c>
      <c r="B54" s="4" t="n"/>
      <c r="C54" s="4" t="n"/>
      <c r="D54" s="4" t="n"/>
      <c r="E54" s="4" t="n"/>
      <c r="F54" s="4" t="n"/>
      <c r="G54" s="4" t="n"/>
      <c r="H54" s="4" t="n"/>
      <c r="I54" s="3" t="n"/>
      <c r="J54" s="3" t="n"/>
    </row>
    <row r="55" ht="54" customHeight="1">
      <c r="A55" s="4" t="n">
        <v>16</v>
      </c>
      <c r="B55" s="4" t="n"/>
      <c r="C55" s="4" t="n"/>
      <c r="D55" s="4" t="n"/>
      <c r="E55" s="4" t="n"/>
      <c r="F55" s="4" t="n"/>
      <c r="G55" s="4" t="n"/>
      <c r="H55" s="4" t="n"/>
      <c r="I55" s="3" t="n"/>
      <c r="J55" s="3" t="n"/>
    </row>
    <row r="56" ht="54" customHeight="1">
      <c r="A56" s="4" t="n">
        <v>17</v>
      </c>
      <c r="B56" s="4" t="n"/>
      <c r="C56" s="4" t="n"/>
      <c r="D56" s="4" t="n"/>
      <c r="E56" s="4" t="n"/>
      <c r="F56" s="4" t="n"/>
      <c r="G56" s="4" t="n"/>
      <c r="H56" s="4" t="n"/>
      <c r="I56" s="3" t="n"/>
      <c r="J56" s="3" t="n"/>
    </row>
    <row r="57" ht="54" customHeight="1">
      <c r="A57" s="4" t="n">
        <v>18</v>
      </c>
      <c r="B57" s="4" t="n"/>
      <c r="C57" s="4" t="n"/>
      <c r="D57" s="4" t="n"/>
      <c r="E57" s="4" t="n"/>
      <c r="F57" s="4" t="n"/>
      <c r="G57" s="4" t="n"/>
      <c r="H57" s="4" t="n"/>
      <c r="I57" s="3" t="n"/>
      <c r="J57" s="3" t="n"/>
    </row>
    <row r="58" ht="54" customHeight="1">
      <c r="A58" s="4" t="n">
        <v>19</v>
      </c>
      <c r="B58" s="4" t="n"/>
      <c r="C58" s="4" t="n"/>
      <c r="D58" s="4" t="n"/>
      <c r="E58" s="4" t="n"/>
      <c r="F58" s="4" t="n"/>
      <c r="G58" s="4" t="n"/>
      <c r="H58" s="4" t="n"/>
      <c r="I58" s="3" t="n"/>
      <c r="J58" s="3" t="n"/>
    </row>
    <row r="59" ht="54" customHeight="1">
      <c r="A59" s="4" t="n">
        <v>20</v>
      </c>
      <c r="B59" s="4" t="n"/>
      <c r="C59" s="4" t="n"/>
      <c r="D59" s="4" t="n"/>
      <c r="E59" s="4" t="n"/>
      <c r="F59" s="4" t="n"/>
      <c r="G59" s="4" t="n"/>
      <c r="H59" s="4" t="n"/>
      <c r="I59" s="3" t="n"/>
      <c r="J59" s="3" t="n"/>
    </row>
    <row r="60">
      <c r="A60" s="3" t="n"/>
      <c r="B60" s="3" t="n"/>
      <c r="C60" s="3" t="n"/>
      <c r="D60" s="3" t="n"/>
      <c r="E60" s="3" t="n"/>
      <c r="F60" s="3" t="n"/>
      <c r="G60" s="3" t="n"/>
      <c r="H60" s="3" t="n"/>
      <c r="I60" s="3" t="n"/>
      <c r="J60" s="3" t="n"/>
    </row>
    <row r="61">
      <c r="A61" s="8" t="inlineStr">
        <is>
          <t>Final expert verdict</t>
        </is>
      </c>
      <c r="B61" s="3" t="n"/>
      <c r="C61" s="3" t="n"/>
      <c r="D61" s="3" t="n"/>
      <c r="E61" s="3" t="n"/>
      <c r="F61" s="3" t="n"/>
      <c r="G61" s="3" t="n"/>
      <c r="H61" s="3" t="n"/>
      <c r="I61" s="3" t="n"/>
      <c r="J61" s="3" t="n"/>
    </row>
    <row r="62">
      <c r="A62" s="12" t="inlineStr">
        <is>
          <t>Is the answer acceptable?</t>
        </is>
      </c>
      <c r="B62" s="4" t="inlineStr"/>
      <c r="C62" s="4" t="n"/>
      <c r="D62" s="4" t="n"/>
      <c r="E62" s="4" t="n"/>
      <c r="F62" s="4" t="n"/>
      <c r="G62" s="4" t="n"/>
      <c r="H62" s="4" t="n"/>
      <c r="I62" s="3" t="n"/>
      <c r="J62" s="3" t="n"/>
    </row>
    <row r="63" ht="54" customHeight="1">
      <c r="A63" s="12" t="inlineStr">
        <is>
          <t>Overall comment / required fixes</t>
        </is>
      </c>
      <c r="B63" s="4" t="n"/>
      <c r="C63" s="4" t="n"/>
      <c r="D63" s="4" t="n"/>
      <c r="E63" s="4" t="n"/>
      <c r="F63" s="4" t="n"/>
      <c r="G63" s="4" t="n"/>
      <c r="H63" s="4" t="n"/>
      <c r="I63" s="3" t="n"/>
      <c r="J63" s="3" t="n"/>
    </row>
    <row r="64">
      <c r="A64" s="4" t="n"/>
      <c r="B64" s="4" t="n"/>
      <c r="C64" s="4" t="n"/>
      <c r="D64" s="4" t="n"/>
      <c r="E64" s="4" t="n"/>
      <c r="F64" s="4" t="n"/>
      <c r="G64" s="4" t="n"/>
      <c r="H64" s="4" t="n"/>
      <c r="I64" s="3" t="n"/>
      <c r="J64" s="3" t="n"/>
    </row>
    <row r="65">
      <c r="A65" s="12" t="inlineStr">
        <is>
          <t>Missing key sources?</t>
        </is>
      </c>
      <c r="B65" s="4" t="n"/>
      <c r="C65" s="4" t="n"/>
      <c r="D65" s="4" t="n"/>
      <c r="E65" s="4" t="n"/>
      <c r="F65" s="4" t="n"/>
      <c r="G65" s="4" t="n"/>
      <c r="H65" s="4" t="n"/>
      <c r="I65" s="3" t="n"/>
      <c r="J65" s="3" t="n"/>
    </row>
    <row r="66">
      <c r="A66" s="12" t="inlineStr">
        <is>
          <t>Review completed?</t>
        </is>
      </c>
      <c r="B66" s="4" t="inlineStr"/>
      <c r="C66" s="4" t="n"/>
      <c r="D66" s="4" t="n"/>
      <c r="E66" s="4" t="n"/>
      <c r="F66" s="4" t="n"/>
      <c r="G66" s="4" t="n"/>
      <c r="H66" s="4" t="n"/>
      <c r="I66" s="3" t="n"/>
      <c r="J66" s="3" t="n"/>
    </row>
    <row r="67">
      <c r="A67" s="12" t="inlineStr">
        <is>
          <t>Reviewer</t>
        </is>
      </c>
      <c r="B67" s="4" t="n"/>
      <c r="C67" s="12" t="inlineStr">
        <is>
          <t>Review date</t>
        </is>
      </c>
      <c r="D67" s="5" t="inlineStr"/>
      <c r="E67" s="4" t="n"/>
      <c r="F67" s="4" t="n"/>
      <c r="G67" s="4" t="n"/>
      <c r="H67" s="4" t="n"/>
      <c r="I67" s="3" t="n"/>
      <c r="J67" s="3" t="n"/>
    </row>
    <row r="68">
      <c r="A68" s="3" t="n"/>
      <c r="B68" s="3" t="n"/>
      <c r="C68" s="3" t="n"/>
      <c r="D68" s="3" t="n"/>
      <c r="E68" s="3" t="n"/>
      <c r="F68" s="3" t="n"/>
      <c r="G68" s="3" t="n"/>
      <c r="H68" s="3" t="n"/>
      <c r="I68" s="3" t="n"/>
      <c r="J68" s="3" t="n"/>
    </row>
    <row r="69">
      <c r="A69" s="8" t="inlineStr">
        <is>
          <t>Original source notes</t>
        </is>
      </c>
      <c r="B69" s="3" t="n"/>
      <c r="C69" s="3" t="n"/>
      <c r="D69" s="3" t="n"/>
      <c r="E69" s="3" t="n"/>
      <c r="F69" s="3" t="n"/>
      <c r="G69" s="3" t="n"/>
      <c r="H69" s="3" t="n"/>
      <c r="I69" s="3" t="n"/>
      <c r="J69" s="3" t="n"/>
    </row>
    <row r="70">
      <c r="A70" s="12" t="inlineStr">
        <is>
          <t>WAB notes</t>
        </is>
      </c>
      <c r="B70" s="4" t="inlineStr">
        <is>
          <t>Your document gave this as "the same attorney-client privilege question transposed to US inspections". This is our wording of it. We had drafted a wider US question instead — how privilege is protected, what separates a criminal search from civil compulsory process, and what keeps privileged material away from the investigating team. Yours is narrower and sharper, so we used yours. Tell us if you want the wider version, or both.</t>
        </is>
      </c>
      <c r="C70" s="4" t="n"/>
      <c r="D70" s="4" t="n"/>
      <c r="E70" s="4" t="n"/>
      <c r="F70" s="4" t="n"/>
      <c r="G70" s="4" t="n"/>
      <c r="H70" s="4" t="n"/>
      <c r="I70" s="3" t="n"/>
      <c r="J70" s="3" t="n"/>
    </row>
    <row r="71" ht="54" customHeight="1">
      <c r="A71" s="12" t="inlineStr">
        <is>
          <t>Reviewer notes from question approval</t>
        </is>
      </c>
      <c r="B71" s="4" t="inlineStr">
        <is>
          <t>I suggest including both versions. Please retain the narrower question, but also add the wider question addressing how attorney-client privilege and work-product protection operate under criminal search warrants and civil compulsory process, including the use of filter teams or special masters. The issue is not limited to whether the document is ultimately used: concerns may arise at the stages of seizure, initial review, disclosure to the investigating team, retention, and derivative use.</t>
        </is>
      </c>
      <c r="C71" s="4" t="n"/>
      <c r="D71" s="4" t="n"/>
      <c r="E71" s="4" t="n"/>
      <c r="F71" s="4" t="n"/>
      <c r="G71" s="4" t="n"/>
      <c r="H71" s="4" t="n"/>
      <c r="I71" s="3" t="n"/>
      <c r="J71" s="3" t="n"/>
    </row>
    <row r="72">
      <c r="A72" s="4" t="n"/>
      <c r="B72" s="4" t="n"/>
      <c r="C72" s="4" t="n"/>
      <c r="D72" s="4" t="n"/>
      <c r="E72" s="4" t="n"/>
      <c r="F72" s="4" t="n"/>
      <c r="G72" s="4" t="n"/>
      <c r="H72" s="4" t="n"/>
      <c r="I72" s="3" t="n"/>
      <c r="J72" s="3" t="n"/>
    </row>
  </sheetData>
  <autoFilter ref="A21:J36"/>
  <mergeCells count="20">
    <mergeCell ref="B65:H65"/>
    <mergeCell ref="B71:H72"/>
    <mergeCell ref="B6:H6"/>
    <mergeCell ref="A20:J20"/>
    <mergeCell ref="A1:H1"/>
    <mergeCell ref="B5:H5"/>
    <mergeCell ref="A61:H61"/>
    <mergeCell ref="A69:H69"/>
    <mergeCell ref="B4:H4"/>
    <mergeCell ref="B62:H62"/>
    <mergeCell ref="B7:H7"/>
    <mergeCell ref="B66:H66"/>
    <mergeCell ref="A3:H3"/>
    <mergeCell ref="A16:H18"/>
    <mergeCell ref="B70:H70"/>
    <mergeCell ref="A14:H14"/>
    <mergeCell ref="B63:H64"/>
    <mergeCell ref="B8:H8"/>
    <mergeCell ref="B10:H12"/>
    <mergeCell ref="A38:H38"/>
  </mergeCells>
  <dataValidations count="9">
    <dataValidation sqref="C22:C36" showDropDown="0" showInputMessage="0" showErrorMessage="0" allowBlank="1" type="list">
      <formula1>=Lists!$F$2:$F$5</formula1>
    </dataValidation>
    <dataValidation sqref="F22:F36" showDropDown="0" showInputMessage="0" showErrorMessage="0" allowBlank="1" type="list">
      <formula1>=Lists!$G$2:$G$4</formula1>
    </dataValidation>
    <dataValidation sqref="G22:G36" showDropDown="0" showInputMessage="0" showErrorMessage="0" allowBlank="1" type="list">
      <formula1>=Lists!$G$2:$G$4</formula1>
    </dataValidation>
    <dataValidation sqref="H22:H36" showDropDown="0" showInputMessage="0" showErrorMessage="0" allowBlank="1" type="list">
      <formula1>=Lists!$G$2:$G$4</formula1>
    </dataValidation>
    <dataValidation sqref="I22:I36" showDropDown="0" showInputMessage="0" showErrorMessage="0" allowBlank="1" type="list">
      <formula1>=Lists!$H$2:$H$6</formula1>
    </dataValidation>
    <dataValidation sqref="D40:D59" showDropDown="0" showInputMessage="0" showErrorMessage="0" allowBlank="1" type="list">
      <formula1>=Lists!$D$2:$D$7</formula1>
    </dataValidation>
    <dataValidation sqref="E40:E59" showDropDown="0" showInputMessage="0" showErrorMessage="0" allowBlank="1" type="list">
      <formula1>=Lists!$E$2:$E$8</formula1>
    </dataValidation>
    <dataValidation sqref="B62" showDropDown="0" showInputMessage="0" showErrorMessage="0" allowBlank="1" type="list">
      <formula1>=Lists!$C$2:$C$4</formula1>
    </dataValidation>
    <dataValidation sqref="B66" showDropDown="0" showInputMessage="0" showErrorMessage="0" allowBlank="1" type="list">
      <formula1>=Lists!$A$2:$A$3</formula1>
    </dataValidation>
  </dataValidations>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J72"/>
  <sheetViews>
    <sheetView showGridLines="0" workbookViewId="0">
      <pane ySplit="21" topLeftCell="A22" activePane="bottomLeft" state="frozen"/>
      <selection pane="bottomLeft" activeCell="A1" sqref="A1"/>
    </sheetView>
  </sheetViews>
  <sheetFormatPr baseColWidth="8" defaultRowHeight="15"/>
  <cols>
    <col width="12" customWidth="1" min="1" max="1"/>
    <col width="34" customWidth="1" min="2" max="2"/>
    <col width="22" customWidth="1" min="3" max="3"/>
    <col width="18" customWidth="1" min="4" max="4"/>
    <col width="20" customWidth="1" min="5" max="5"/>
    <col width="30" customWidth="1" min="6" max="6"/>
    <col width="34" customWidth="1" min="7" max="7"/>
    <col width="18" customWidth="1" min="8" max="8"/>
    <col width="18" customWidth="1" min="9" max="9"/>
    <col width="30" customWidth="1" min="10" max="10"/>
  </cols>
  <sheetData>
    <row r="1" ht="28" customHeight="1">
      <c r="A1" s="6" t="inlineStr">
        <is>
          <t>Q22 — Expert Review</t>
        </is>
      </c>
      <c r="B1" s="3" t="n"/>
      <c r="C1" s="3" t="n"/>
      <c r="D1" s="3" t="n"/>
      <c r="E1" s="3" t="n"/>
      <c r="F1" s="3" t="n"/>
      <c r="G1" s="3" t="n"/>
      <c r="H1" s="3" t="n"/>
      <c r="I1" s="3" t="n"/>
      <c r="J1" s="3" t="n"/>
    </row>
    <row r="2">
      <c r="A2" s="3" t="n"/>
      <c r="B2" s="3" t="n"/>
      <c r="C2" s="3" t="n"/>
      <c r="D2" s="3" t="n"/>
      <c r="E2" s="3" t="n"/>
      <c r="F2" s="3" t="n"/>
      <c r="G2" s="3" t="n"/>
      <c r="H2" s="3" t="n"/>
      <c r="I2" s="3" t="n"/>
      <c r="J2" s="3" t="n"/>
    </row>
    <row r="3">
      <c r="A3" s="8" t="inlineStr">
        <is>
          <t>Question metadata</t>
        </is>
      </c>
      <c r="B3" s="3" t="n"/>
      <c r="C3" s="3" t="n"/>
      <c r="D3" s="3" t="n"/>
      <c r="E3" s="3" t="n"/>
      <c r="F3" s="3" t="n"/>
      <c r="G3" s="3" t="n"/>
      <c r="H3" s="3" t="n"/>
      <c r="I3" s="3" t="n"/>
      <c r="J3" s="3" t="n"/>
    </row>
    <row r="4">
      <c r="A4" s="9" t="inlineStr">
        <is>
          <t>Question ID</t>
        </is>
      </c>
      <c r="B4" s="3" t="n">
        <v>22</v>
      </c>
      <c r="C4" s="3" t="n"/>
      <c r="D4" s="3" t="n"/>
      <c r="E4" s="3" t="n"/>
      <c r="F4" s="3" t="n"/>
      <c r="G4" s="3" t="n"/>
      <c r="H4" s="3" t="n"/>
      <c r="I4" s="3" t="n"/>
      <c r="J4" s="3" t="n"/>
    </row>
    <row r="5">
      <c r="A5" s="9" t="inlineStr">
        <is>
          <t>Topic</t>
        </is>
      </c>
      <c r="B5" s="3" t="inlineStr">
        <is>
          <t>Food delivery — data access</t>
        </is>
      </c>
      <c r="C5" s="3" t="n"/>
      <c r="D5" s="3" t="n"/>
      <c r="E5" s="3" t="n"/>
      <c r="F5" s="3" t="n"/>
      <c r="G5" s="3" t="n"/>
      <c r="H5" s="3" t="n"/>
      <c r="I5" s="3" t="n"/>
      <c r="J5" s="3" t="n"/>
    </row>
    <row r="6">
      <c r="A6" s="9" t="inlineStr">
        <is>
          <t>Scope</t>
        </is>
      </c>
      <c r="B6" s="3" t="inlineStr">
        <is>
          <t>EU + UK</t>
        </is>
      </c>
      <c r="C6" s="3" t="n"/>
      <c r="D6" s="3" t="n"/>
      <c r="E6" s="3" t="n"/>
      <c r="F6" s="3" t="n"/>
      <c r="G6" s="3" t="n"/>
      <c r="H6" s="3" t="n"/>
      <c r="I6" s="3" t="n"/>
      <c r="J6" s="3" t="n"/>
    </row>
    <row r="7">
      <c r="A7" s="9" t="inlineStr">
        <is>
          <t>Original reviewer</t>
        </is>
      </c>
      <c r="B7" s="3" t="inlineStr">
        <is>
          <t>Carolina</t>
        </is>
      </c>
      <c r="C7" s="3" t="n"/>
      <c r="D7" s="3" t="n"/>
      <c r="E7" s="3" t="n"/>
      <c r="F7" s="3" t="n"/>
      <c r="G7" s="3" t="n"/>
      <c r="H7" s="3" t="n"/>
      <c r="I7" s="3" t="n"/>
      <c r="J7" s="3" t="n"/>
    </row>
    <row r="8">
      <c r="A8" s="9" t="inlineStr">
        <is>
          <t>Original status</t>
        </is>
      </c>
      <c r="B8" s="3" t="inlineStr">
        <is>
          <t>Approved</t>
        </is>
      </c>
      <c r="C8" s="3" t="n"/>
      <c r="D8" s="3" t="n"/>
      <c r="E8" s="3" t="n"/>
      <c r="F8" s="3" t="n"/>
      <c r="G8" s="3" t="n"/>
      <c r="H8" s="3" t="n"/>
      <c r="I8" s="3" t="n"/>
      <c r="J8" s="3" t="n"/>
    </row>
    <row r="9">
      <c r="A9" s="3" t="n"/>
      <c r="B9" s="3" t="n"/>
      <c r="C9" s="3" t="n"/>
      <c r="D9" s="3" t="n"/>
      <c r="E9" s="3" t="n"/>
      <c r="F9" s="3" t="n"/>
      <c r="G9" s="3" t="n"/>
      <c r="H9" s="3" t="n"/>
      <c r="I9" s="3" t="n"/>
      <c r="J9" s="3" t="n"/>
    </row>
    <row r="10" ht="45" customHeight="1">
      <c r="A10" s="9" t="inlineStr">
        <is>
          <t>Question</t>
        </is>
      </c>
      <c r="B10" s="3" t="inlineStr">
        <is>
          <t>Where a platform like Uber leverages data collected across its ecosystem to improve and strengthen its food delivery arm, how would such conduct be characterised under EU competition law — as tying/bundling, as an exploitative abuse, as leveraging into an adjacent market, or as a distinct data-driven theory of harm? Which category best fits, and what would be required to establish it under Article 102 TFEU?</t>
        </is>
      </c>
      <c r="C10" s="3" t="n"/>
      <c r="D10" s="3" t="n"/>
      <c r="E10" s="3" t="n"/>
      <c r="F10" s="3" t="n"/>
      <c r="G10" s="3" t="n"/>
      <c r="H10" s="3" t="n"/>
      <c r="I10" s="3" t="n"/>
      <c r="J10" s="3" t="n"/>
    </row>
    <row r="11">
      <c r="A11" s="3" t="n"/>
      <c r="B11" s="3" t="n"/>
      <c r="C11" s="3" t="n"/>
      <c r="D11" s="3" t="n"/>
      <c r="E11" s="3" t="n"/>
      <c r="F11" s="3" t="n"/>
      <c r="G11" s="3" t="n"/>
      <c r="H11" s="3" t="n"/>
      <c r="I11" s="3" t="n"/>
      <c r="J11" s="3" t="n"/>
    </row>
    <row r="12">
      <c r="A12" s="3" t="n"/>
      <c r="B12" s="3" t="n"/>
      <c r="C12" s="3" t="n"/>
      <c r="D12" s="3" t="n"/>
      <c r="E12" s="3" t="n"/>
      <c r="F12" s="3" t="n"/>
      <c r="G12" s="3" t="n"/>
      <c r="H12" s="3" t="n"/>
      <c r="I12" s="3" t="n"/>
      <c r="J12" s="3" t="n"/>
    </row>
    <row r="13">
      <c r="A13" s="3" t="n"/>
      <c r="B13" s="3" t="n"/>
      <c r="C13" s="3" t="n"/>
      <c r="D13" s="3" t="n"/>
      <c r="E13" s="3" t="n"/>
      <c r="F13" s="3" t="n"/>
      <c r="G13" s="3" t="n"/>
      <c r="H13" s="3" t="n"/>
      <c r="I13" s="3" t="n"/>
      <c r="J13" s="3" t="n"/>
    </row>
    <row r="14">
      <c r="A14" s="8" t="inlineStr">
        <is>
          <t>Generated answer</t>
        </is>
      </c>
      <c r="B14" s="3" t="n"/>
      <c r="C14" s="3" t="n"/>
      <c r="D14" s="3" t="n"/>
      <c r="E14" s="3" t="n"/>
      <c r="F14" s="3" t="n"/>
      <c r="G14" s="3" t="n"/>
      <c r="H14" s="3" t="n"/>
      <c r="I14" s="3" t="n"/>
      <c r="J14" s="3" t="n"/>
    </row>
    <row r="15">
      <c r="A15" s="10" t="inlineStr">
        <is>
          <t>Paste the generated answer below.</t>
        </is>
      </c>
      <c r="B15" s="3" t="n"/>
      <c r="C15" s="3" t="n"/>
      <c r="D15" s="3" t="n"/>
      <c r="E15" s="3" t="n"/>
      <c r="F15" s="3" t="n"/>
      <c r="G15" s="3" t="n"/>
      <c r="H15" s="3" t="n"/>
      <c r="I15" s="3" t="n"/>
      <c r="J15" s="3" t="n"/>
    </row>
    <row r="16" ht="90" customHeight="1">
      <c r="A16" s="3" t="inlineStr"/>
      <c r="B16" s="3" t="n"/>
      <c r="C16" s="3" t="n"/>
      <c r="D16" s="3" t="n"/>
      <c r="E16" s="3" t="n"/>
      <c r="F16" s="3" t="n"/>
      <c r="G16" s="3" t="n"/>
      <c r="H16" s="3" t="n"/>
      <c r="I16" s="3" t="n"/>
      <c r="J16" s="3" t="n"/>
    </row>
    <row r="17" ht="30" customHeight="1">
      <c r="A17" s="3" t="n"/>
      <c r="B17" s="3" t="n"/>
      <c r="C17" s="3" t="n"/>
      <c r="D17" s="3" t="n"/>
      <c r="E17" s="3" t="n"/>
      <c r="F17" s="3" t="n"/>
      <c r="G17" s="3" t="n"/>
      <c r="H17" s="3" t="n"/>
      <c r="I17" s="3" t="n"/>
      <c r="J17" s="3" t="n"/>
    </row>
    <row r="18" ht="30" customHeight="1">
      <c r="A18" s="3" t="n"/>
      <c r="B18" s="3" t="n"/>
      <c r="C18" s="3" t="n"/>
      <c r="D18" s="3" t="n"/>
      <c r="E18" s="3" t="n"/>
      <c r="F18" s="3" t="n"/>
      <c r="G18" s="3" t="n"/>
      <c r="H18" s="3" t="n"/>
      <c r="I18" s="3" t="n"/>
      <c r="J18" s="3" t="n"/>
    </row>
    <row r="19">
      <c r="A19" s="9" t="inlineStr">
        <is>
          <t>Run ID</t>
        </is>
      </c>
      <c r="B19" s="3" t="inlineStr"/>
      <c r="C19" s="9" t="inlineStr">
        <is>
          <t>Run date</t>
        </is>
      </c>
      <c r="D19" s="3" t="inlineStr"/>
      <c r="E19" s="9" t="inlineStr">
        <is>
          <t>Model / prompt version</t>
        </is>
      </c>
      <c r="F19" s="3" t="inlineStr"/>
      <c r="G19" s="9" t="inlineStr">
        <is>
          <t>Corpus snapshot</t>
        </is>
      </c>
      <c r="H19" s="3" t="inlineStr"/>
      <c r="I19" s="3" t="n"/>
      <c r="J19" s="3" t="n"/>
    </row>
    <row r="20">
      <c r="A20" s="8" t="inlineStr">
        <is>
          <t>Retrieval set review</t>
        </is>
      </c>
      <c r="B20" s="3" t="n"/>
      <c r="C20" s="3" t="n"/>
      <c r="D20" s="3" t="n"/>
      <c r="E20" s="3" t="n"/>
      <c r="F20" s="3" t="n"/>
      <c r="G20" s="3" t="n"/>
      <c r="H20" s="3" t="n"/>
      <c r="I20" s="3" t="n"/>
      <c r="J20" s="3" t="n"/>
    </row>
    <row r="21">
      <c r="A21" s="11" t="inlineStr">
        <is>
          <t>Rank</t>
        </is>
      </c>
      <c r="B21" s="11" t="inlineStr">
        <is>
          <t>Retrieved source</t>
        </is>
      </c>
      <c r="C21" s="11" t="inlineStr">
        <is>
          <t>Source type</t>
        </is>
      </c>
      <c r="D21" s="11" t="inlineStr">
        <is>
          <t>Jurisdiction</t>
        </is>
      </c>
      <c r="E21" s="11" t="inlineStr">
        <is>
          <t>URL / Document ID</t>
        </is>
      </c>
      <c r="F21" s="11" t="inlineStr">
        <is>
          <t>Returned by engine?</t>
        </is>
      </c>
      <c r="G21" s="11" t="inlineStr">
        <is>
          <t>Required source?</t>
        </is>
      </c>
      <c r="H21" s="11" t="inlineStr">
        <is>
          <t>Trap?</t>
        </is>
      </c>
      <c r="I21" s="11" t="inlineStr">
        <is>
          <t>Expert verdict</t>
        </is>
      </c>
      <c r="J21" s="11" t="inlineStr">
        <is>
          <t>Notes</t>
        </is>
      </c>
    </row>
    <row r="22" ht="44" customHeight="1">
      <c r="A22" s="4" t="n">
        <v>1</v>
      </c>
      <c r="B22" s="4" t="n"/>
      <c r="C22" s="4" t="n"/>
      <c r="D22" s="4" t="n"/>
      <c r="E22" s="4" t="n"/>
      <c r="F22" s="4" t="n"/>
      <c r="G22" s="4" t="n"/>
      <c r="H22" s="4" t="n"/>
      <c r="I22" s="4" t="n"/>
      <c r="J22" s="4" t="n"/>
    </row>
    <row r="23" ht="44" customHeight="1">
      <c r="A23" s="4" t="n">
        <v>2</v>
      </c>
      <c r="B23" s="4" t="n"/>
      <c r="C23" s="4" t="n"/>
      <c r="D23" s="4" t="n"/>
      <c r="E23" s="4" t="n"/>
      <c r="F23" s="4" t="n"/>
      <c r="G23" s="4" t="n"/>
      <c r="H23" s="4" t="n"/>
      <c r="I23" s="4" t="n"/>
      <c r="J23" s="4" t="n"/>
    </row>
    <row r="24" ht="44" customHeight="1">
      <c r="A24" s="4" t="n">
        <v>3</v>
      </c>
      <c r="B24" s="4" t="n"/>
      <c r="C24" s="4" t="n"/>
      <c r="D24" s="4" t="n"/>
      <c r="E24" s="4" t="n"/>
      <c r="F24" s="4" t="n"/>
      <c r="G24" s="4" t="n"/>
      <c r="H24" s="4" t="n"/>
      <c r="I24" s="4" t="n"/>
      <c r="J24" s="4" t="n"/>
    </row>
    <row r="25" ht="44" customHeight="1">
      <c r="A25" s="4" t="n">
        <v>4</v>
      </c>
      <c r="B25" s="4" t="n"/>
      <c r="C25" s="4" t="n"/>
      <c r="D25" s="4" t="n"/>
      <c r="E25" s="4" t="n"/>
      <c r="F25" s="4" t="n"/>
      <c r="G25" s="4" t="n"/>
      <c r="H25" s="4" t="n"/>
      <c r="I25" s="4" t="n"/>
      <c r="J25" s="4" t="n"/>
    </row>
    <row r="26" ht="44" customHeight="1">
      <c r="A26" s="4" t="n">
        <v>5</v>
      </c>
      <c r="B26" s="4" t="n"/>
      <c r="C26" s="4" t="n"/>
      <c r="D26" s="4" t="n"/>
      <c r="E26" s="4" t="n"/>
      <c r="F26" s="4" t="n"/>
      <c r="G26" s="4" t="n"/>
      <c r="H26" s="4" t="n"/>
      <c r="I26" s="4" t="n"/>
      <c r="J26" s="4" t="n"/>
    </row>
    <row r="27" ht="44" customHeight="1">
      <c r="A27" s="4" t="n">
        <v>6</v>
      </c>
      <c r="B27" s="4" t="n"/>
      <c r="C27" s="4" t="n"/>
      <c r="D27" s="4" t="n"/>
      <c r="E27" s="4" t="n"/>
      <c r="F27" s="4" t="n"/>
      <c r="G27" s="4" t="n"/>
      <c r="H27" s="4" t="n"/>
      <c r="I27" s="4" t="n"/>
      <c r="J27" s="4" t="n"/>
    </row>
    <row r="28" ht="44" customHeight="1">
      <c r="A28" s="4" t="n">
        <v>7</v>
      </c>
      <c r="B28" s="4" t="n"/>
      <c r="C28" s="4" t="n"/>
      <c r="D28" s="4" t="n"/>
      <c r="E28" s="4" t="n"/>
      <c r="F28" s="4" t="n"/>
      <c r="G28" s="4" t="n"/>
      <c r="H28" s="4" t="n"/>
      <c r="I28" s="4" t="n"/>
      <c r="J28" s="4" t="n"/>
    </row>
    <row r="29" ht="44" customHeight="1">
      <c r="A29" s="4" t="n">
        <v>8</v>
      </c>
      <c r="B29" s="4" t="n"/>
      <c r="C29" s="4" t="n"/>
      <c r="D29" s="4" t="n"/>
      <c r="E29" s="4" t="n"/>
      <c r="F29" s="4" t="n"/>
      <c r="G29" s="4" t="n"/>
      <c r="H29" s="4" t="n"/>
      <c r="I29" s="4" t="n"/>
      <c r="J29" s="4" t="n"/>
    </row>
    <row r="30" ht="44" customHeight="1">
      <c r="A30" s="4" t="n">
        <v>9</v>
      </c>
      <c r="B30" s="4" t="n"/>
      <c r="C30" s="4" t="n"/>
      <c r="D30" s="4" t="n"/>
      <c r="E30" s="4" t="n"/>
      <c r="F30" s="4" t="n"/>
      <c r="G30" s="4" t="n"/>
      <c r="H30" s="4" t="n"/>
      <c r="I30" s="4" t="n"/>
      <c r="J30" s="4" t="n"/>
    </row>
    <row r="31" ht="44" customHeight="1">
      <c r="A31" s="4" t="n">
        <v>10</v>
      </c>
      <c r="B31" s="4" t="n"/>
      <c r="C31" s="4" t="n"/>
      <c r="D31" s="4" t="n"/>
      <c r="E31" s="4" t="n"/>
      <c r="F31" s="4" t="n"/>
      <c r="G31" s="4" t="n"/>
      <c r="H31" s="4" t="n"/>
      <c r="I31" s="4" t="n"/>
      <c r="J31" s="4" t="n"/>
    </row>
    <row r="32" ht="44" customHeight="1">
      <c r="A32" s="4" t="n">
        <v>11</v>
      </c>
      <c r="B32" s="4" t="n"/>
      <c r="C32" s="4" t="n"/>
      <c r="D32" s="4" t="n"/>
      <c r="E32" s="4" t="n"/>
      <c r="F32" s="4" t="n"/>
      <c r="G32" s="4" t="n"/>
      <c r="H32" s="4" t="n"/>
      <c r="I32" s="4" t="n"/>
      <c r="J32" s="4" t="n"/>
    </row>
    <row r="33" ht="44" customHeight="1">
      <c r="A33" s="4" t="n">
        <v>12</v>
      </c>
      <c r="B33" s="4" t="n"/>
      <c r="C33" s="4" t="n"/>
      <c r="D33" s="4" t="n"/>
      <c r="E33" s="4" t="n"/>
      <c r="F33" s="4" t="n"/>
      <c r="G33" s="4" t="n"/>
      <c r="H33" s="4" t="n"/>
      <c r="I33" s="4" t="n"/>
      <c r="J33" s="4" t="n"/>
    </row>
    <row r="34" ht="44" customHeight="1">
      <c r="A34" s="4" t="n">
        <v>13</v>
      </c>
      <c r="B34" s="4" t="n"/>
      <c r="C34" s="4" t="n"/>
      <c r="D34" s="4" t="n"/>
      <c r="E34" s="4" t="n"/>
      <c r="F34" s="4" t="n"/>
      <c r="G34" s="4" t="n"/>
      <c r="H34" s="4" t="n"/>
      <c r="I34" s="4" t="n"/>
      <c r="J34" s="4" t="n"/>
    </row>
    <row r="35" ht="44" customHeight="1">
      <c r="A35" s="4" t="n">
        <v>14</v>
      </c>
      <c r="B35" s="4" t="n"/>
      <c r="C35" s="4" t="n"/>
      <c r="D35" s="4" t="n"/>
      <c r="E35" s="4" t="n"/>
      <c r="F35" s="4" t="n"/>
      <c r="G35" s="4" t="n"/>
      <c r="H35" s="4" t="n"/>
      <c r="I35" s="4" t="n"/>
      <c r="J35" s="4" t="n"/>
    </row>
    <row r="36" ht="44" customHeight="1">
      <c r="A36" s="4" t="n">
        <v>15</v>
      </c>
      <c r="B36" s="4" t="n"/>
      <c r="C36" s="4" t="n"/>
      <c r="D36" s="4" t="n"/>
      <c r="E36" s="4" t="n"/>
      <c r="F36" s="4" t="n"/>
      <c r="G36" s="4" t="n"/>
      <c r="H36" s="4" t="n"/>
      <c r="I36" s="4" t="n"/>
      <c r="J36" s="4" t="n"/>
    </row>
    <row r="37">
      <c r="A37" s="3" t="n"/>
      <c r="B37" s="3" t="n"/>
      <c r="C37" s="3" t="n"/>
      <c r="D37" s="3" t="n"/>
      <c r="E37" s="3" t="n"/>
      <c r="F37" s="3" t="n"/>
      <c r="G37" s="3" t="n"/>
      <c r="H37" s="3" t="n"/>
      <c r="I37" s="3" t="n"/>
      <c r="J37" s="3" t="n"/>
    </row>
    <row r="38">
      <c r="A38" s="8" t="inlineStr">
        <is>
          <t>Claim-by-claim review</t>
        </is>
      </c>
      <c r="B38" s="3" t="n"/>
      <c r="C38" s="3" t="n"/>
      <c r="D38" s="3" t="n"/>
      <c r="E38" s="3" t="n"/>
      <c r="F38" s="3" t="n"/>
      <c r="G38" s="3" t="n"/>
      <c r="H38" s="3" t="n"/>
      <c r="I38" s="3" t="n"/>
      <c r="J38" s="3" t="n"/>
    </row>
    <row r="39">
      <c r="A39" s="11" t="inlineStr">
        <is>
          <t>Claim ID</t>
        </is>
      </c>
      <c r="B39" s="11" t="inlineStr">
        <is>
          <t>Claim from answer</t>
        </is>
      </c>
      <c r="C39" s="11" t="inlineStr">
        <is>
          <t>Citation used</t>
        </is>
      </c>
      <c r="D39" s="11" t="inlineStr">
        <is>
          <t>Expert verdict</t>
        </is>
      </c>
      <c r="E39" s="11" t="inlineStr">
        <is>
          <t>Issue type</t>
        </is>
      </c>
      <c r="F39" s="11" t="inlineStr">
        <is>
          <t>Cited passage / source note</t>
        </is>
      </c>
      <c r="G39" s="11" t="inlineStr">
        <is>
          <t>Required fix / comment</t>
        </is>
      </c>
      <c r="H39" s="11" t="inlineStr">
        <is>
          <t>Reviewer</t>
        </is>
      </c>
      <c r="I39" s="11" t="n"/>
      <c r="J39" s="11" t="n"/>
    </row>
    <row r="40" ht="54" customHeight="1">
      <c r="A40" s="4" t="n">
        <v>1</v>
      </c>
      <c r="B40" s="4" t="n"/>
      <c r="C40" s="4" t="n"/>
      <c r="D40" s="4" t="n"/>
      <c r="E40" s="4" t="n"/>
      <c r="F40" s="4" t="n"/>
      <c r="G40" s="4" t="n"/>
      <c r="H40" s="4" t="n"/>
      <c r="I40" s="3" t="n"/>
      <c r="J40" s="3" t="n"/>
    </row>
    <row r="41" ht="54" customHeight="1">
      <c r="A41" s="4" t="n">
        <v>2</v>
      </c>
      <c r="B41" s="4" t="n"/>
      <c r="C41" s="4" t="n"/>
      <c r="D41" s="4" t="n"/>
      <c r="E41" s="4" t="n"/>
      <c r="F41" s="4" t="n"/>
      <c r="G41" s="4" t="n"/>
      <c r="H41" s="4" t="n"/>
      <c r="I41" s="3" t="n"/>
      <c r="J41" s="3" t="n"/>
    </row>
    <row r="42" ht="54" customHeight="1">
      <c r="A42" s="4" t="n">
        <v>3</v>
      </c>
      <c r="B42" s="4" t="n"/>
      <c r="C42" s="4" t="n"/>
      <c r="D42" s="4" t="n"/>
      <c r="E42" s="4" t="n"/>
      <c r="F42" s="4" t="n"/>
      <c r="G42" s="4" t="n"/>
      <c r="H42" s="4" t="n"/>
      <c r="I42" s="3" t="n"/>
      <c r="J42" s="3" t="n"/>
    </row>
    <row r="43" ht="54" customHeight="1">
      <c r="A43" s="4" t="n">
        <v>4</v>
      </c>
      <c r="B43" s="4" t="n"/>
      <c r="C43" s="4" t="n"/>
      <c r="D43" s="4" t="n"/>
      <c r="E43" s="4" t="n"/>
      <c r="F43" s="4" t="n"/>
      <c r="G43" s="4" t="n"/>
      <c r="H43" s="4" t="n"/>
      <c r="I43" s="3" t="n"/>
      <c r="J43" s="3" t="n"/>
    </row>
    <row r="44" ht="54" customHeight="1">
      <c r="A44" s="4" t="n">
        <v>5</v>
      </c>
      <c r="B44" s="4" t="n"/>
      <c r="C44" s="4" t="n"/>
      <c r="D44" s="4" t="n"/>
      <c r="E44" s="4" t="n"/>
      <c r="F44" s="4" t="n"/>
      <c r="G44" s="4" t="n"/>
      <c r="H44" s="4" t="n"/>
      <c r="I44" s="3" t="n"/>
      <c r="J44" s="3" t="n"/>
    </row>
    <row r="45" ht="54" customHeight="1">
      <c r="A45" s="4" t="n">
        <v>6</v>
      </c>
      <c r="B45" s="4" t="n"/>
      <c r="C45" s="4" t="n"/>
      <c r="D45" s="4" t="n"/>
      <c r="E45" s="4" t="n"/>
      <c r="F45" s="4" t="n"/>
      <c r="G45" s="4" t="n"/>
      <c r="H45" s="4" t="n"/>
      <c r="I45" s="3" t="n"/>
      <c r="J45" s="3" t="n"/>
    </row>
    <row r="46" ht="54" customHeight="1">
      <c r="A46" s="4" t="n">
        <v>7</v>
      </c>
      <c r="B46" s="4" t="n"/>
      <c r="C46" s="4" t="n"/>
      <c r="D46" s="4" t="n"/>
      <c r="E46" s="4" t="n"/>
      <c r="F46" s="4" t="n"/>
      <c r="G46" s="4" t="n"/>
      <c r="H46" s="4" t="n"/>
      <c r="I46" s="3" t="n"/>
      <c r="J46" s="3" t="n"/>
    </row>
    <row r="47" ht="54" customHeight="1">
      <c r="A47" s="4" t="n">
        <v>8</v>
      </c>
      <c r="B47" s="4" t="n"/>
      <c r="C47" s="4" t="n"/>
      <c r="D47" s="4" t="n"/>
      <c r="E47" s="4" t="n"/>
      <c r="F47" s="4" t="n"/>
      <c r="G47" s="4" t="n"/>
      <c r="H47" s="4" t="n"/>
      <c r="I47" s="3" t="n"/>
      <c r="J47" s="3" t="n"/>
    </row>
    <row r="48" ht="54" customHeight="1">
      <c r="A48" s="4" t="n">
        <v>9</v>
      </c>
      <c r="B48" s="4" t="n"/>
      <c r="C48" s="4" t="n"/>
      <c r="D48" s="4" t="n"/>
      <c r="E48" s="4" t="n"/>
      <c r="F48" s="4" t="n"/>
      <c r="G48" s="4" t="n"/>
      <c r="H48" s="4" t="n"/>
      <c r="I48" s="3" t="n"/>
      <c r="J48" s="3" t="n"/>
    </row>
    <row r="49" ht="54" customHeight="1">
      <c r="A49" s="4" t="n">
        <v>10</v>
      </c>
      <c r="B49" s="4" t="n"/>
      <c r="C49" s="4" t="n"/>
      <c r="D49" s="4" t="n"/>
      <c r="E49" s="4" t="n"/>
      <c r="F49" s="4" t="n"/>
      <c r="G49" s="4" t="n"/>
      <c r="H49" s="4" t="n"/>
      <c r="I49" s="3" t="n"/>
      <c r="J49" s="3" t="n"/>
    </row>
    <row r="50" ht="54" customHeight="1">
      <c r="A50" s="4" t="n">
        <v>11</v>
      </c>
      <c r="B50" s="4" t="n"/>
      <c r="C50" s="4" t="n"/>
      <c r="D50" s="4" t="n"/>
      <c r="E50" s="4" t="n"/>
      <c r="F50" s="4" t="n"/>
      <c r="G50" s="4" t="n"/>
      <c r="H50" s="4" t="n"/>
      <c r="I50" s="3" t="n"/>
      <c r="J50" s="3" t="n"/>
    </row>
    <row r="51" ht="54" customHeight="1">
      <c r="A51" s="4" t="n">
        <v>12</v>
      </c>
      <c r="B51" s="4" t="n"/>
      <c r="C51" s="4" t="n"/>
      <c r="D51" s="4" t="n"/>
      <c r="E51" s="4" t="n"/>
      <c r="F51" s="4" t="n"/>
      <c r="G51" s="4" t="n"/>
      <c r="H51" s="4" t="n"/>
      <c r="I51" s="3" t="n"/>
      <c r="J51" s="3" t="n"/>
    </row>
    <row r="52" ht="54" customHeight="1">
      <c r="A52" s="4" t="n">
        <v>13</v>
      </c>
      <c r="B52" s="4" t="n"/>
      <c r="C52" s="4" t="n"/>
      <c r="D52" s="4" t="n"/>
      <c r="E52" s="4" t="n"/>
      <c r="F52" s="4" t="n"/>
      <c r="G52" s="4" t="n"/>
      <c r="H52" s="4" t="n"/>
      <c r="I52" s="3" t="n"/>
      <c r="J52" s="3" t="n"/>
    </row>
    <row r="53" ht="54" customHeight="1">
      <c r="A53" s="4" t="n">
        <v>14</v>
      </c>
      <c r="B53" s="4" t="n"/>
      <c r="C53" s="4" t="n"/>
      <c r="D53" s="4" t="n"/>
      <c r="E53" s="4" t="n"/>
      <c r="F53" s="4" t="n"/>
      <c r="G53" s="4" t="n"/>
      <c r="H53" s="4" t="n"/>
      <c r="I53" s="3" t="n"/>
      <c r="J53" s="3" t="n"/>
    </row>
    <row r="54" ht="54" customHeight="1">
      <c r="A54" s="4" t="n">
        <v>15</v>
      </c>
      <c r="B54" s="4" t="n"/>
      <c r="C54" s="4" t="n"/>
      <c r="D54" s="4" t="n"/>
      <c r="E54" s="4" t="n"/>
      <c r="F54" s="4" t="n"/>
      <c r="G54" s="4" t="n"/>
      <c r="H54" s="4" t="n"/>
      <c r="I54" s="3" t="n"/>
      <c r="J54" s="3" t="n"/>
    </row>
    <row r="55" ht="54" customHeight="1">
      <c r="A55" s="4" t="n">
        <v>16</v>
      </c>
      <c r="B55" s="4" t="n"/>
      <c r="C55" s="4" t="n"/>
      <c r="D55" s="4" t="n"/>
      <c r="E55" s="4" t="n"/>
      <c r="F55" s="4" t="n"/>
      <c r="G55" s="4" t="n"/>
      <c r="H55" s="4" t="n"/>
      <c r="I55" s="3" t="n"/>
      <c r="J55" s="3" t="n"/>
    </row>
    <row r="56" ht="54" customHeight="1">
      <c r="A56" s="4" t="n">
        <v>17</v>
      </c>
      <c r="B56" s="4" t="n"/>
      <c r="C56" s="4" t="n"/>
      <c r="D56" s="4" t="n"/>
      <c r="E56" s="4" t="n"/>
      <c r="F56" s="4" t="n"/>
      <c r="G56" s="4" t="n"/>
      <c r="H56" s="4" t="n"/>
      <c r="I56" s="3" t="n"/>
      <c r="J56" s="3" t="n"/>
    </row>
    <row r="57" ht="54" customHeight="1">
      <c r="A57" s="4" t="n">
        <v>18</v>
      </c>
      <c r="B57" s="4" t="n"/>
      <c r="C57" s="4" t="n"/>
      <c r="D57" s="4" t="n"/>
      <c r="E57" s="4" t="n"/>
      <c r="F57" s="4" t="n"/>
      <c r="G57" s="4" t="n"/>
      <c r="H57" s="4" t="n"/>
      <c r="I57" s="3" t="n"/>
      <c r="J57" s="3" t="n"/>
    </row>
    <row r="58" ht="54" customHeight="1">
      <c r="A58" s="4" t="n">
        <v>19</v>
      </c>
      <c r="B58" s="4" t="n"/>
      <c r="C58" s="4" t="n"/>
      <c r="D58" s="4" t="n"/>
      <c r="E58" s="4" t="n"/>
      <c r="F58" s="4" t="n"/>
      <c r="G58" s="4" t="n"/>
      <c r="H58" s="4" t="n"/>
      <c r="I58" s="3" t="n"/>
      <c r="J58" s="3" t="n"/>
    </row>
    <row r="59" ht="54" customHeight="1">
      <c r="A59" s="4" t="n">
        <v>20</v>
      </c>
      <c r="B59" s="4" t="n"/>
      <c r="C59" s="4" t="n"/>
      <c r="D59" s="4" t="n"/>
      <c r="E59" s="4" t="n"/>
      <c r="F59" s="4" t="n"/>
      <c r="G59" s="4" t="n"/>
      <c r="H59" s="4" t="n"/>
      <c r="I59" s="3" t="n"/>
      <c r="J59" s="3" t="n"/>
    </row>
    <row r="60">
      <c r="A60" s="3" t="n"/>
      <c r="B60" s="3" t="n"/>
      <c r="C60" s="3" t="n"/>
      <c r="D60" s="3" t="n"/>
      <c r="E60" s="3" t="n"/>
      <c r="F60" s="3" t="n"/>
      <c r="G60" s="3" t="n"/>
      <c r="H60" s="3" t="n"/>
      <c r="I60" s="3" t="n"/>
      <c r="J60" s="3" t="n"/>
    </row>
    <row r="61">
      <c r="A61" s="8" t="inlineStr">
        <is>
          <t>Final expert verdict</t>
        </is>
      </c>
      <c r="B61" s="3" t="n"/>
      <c r="C61" s="3" t="n"/>
      <c r="D61" s="3" t="n"/>
      <c r="E61" s="3" t="n"/>
      <c r="F61" s="3" t="n"/>
      <c r="G61" s="3" t="n"/>
      <c r="H61" s="3" t="n"/>
      <c r="I61" s="3" t="n"/>
      <c r="J61" s="3" t="n"/>
    </row>
    <row r="62">
      <c r="A62" s="12" t="inlineStr">
        <is>
          <t>Is the answer acceptable?</t>
        </is>
      </c>
      <c r="B62" s="4" t="inlineStr"/>
      <c r="C62" s="4" t="n"/>
      <c r="D62" s="4" t="n"/>
      <c r="E62" s="4" t="n"/>
      <c r="F62" s="4" t="n"/>
      <c r="G62" s="4" t="n"/>
      <c r="H62" s="4" t="n"/>
      <c r="I62" s="3" t="n"/>
      <c r="J62" s="3" t="n"/>
    </row>
    <row r="63" ht="54" customHeight="1">
      <c r="A63" s="12" t="inlineStr">
        <is>
          <t>Overall comment / required fixes</t>
        </is>
      </c>
      <c r="B63" s="4" t="n"/>
      <c r="C63" s="4" t="n"/>
      <c r="D63" s="4" t="n"/>
      <c r="E63" s="4" t="n"/>
      <c r="F63" s="4" t="n"/>
      <c r="G63" s="4" t="n"/>
      <c r="H63" s="4" t="n"/>
      <c r="I63" s="3" t="n"/>
      <c r="J63" s="3" t="n"/>
    </row>
    <row r="64">
      <c r="A64" s="4" t="n"/>
      <c r="B64" s="4" t="n"/>
      <c r="C64" s="4" t="n"/>
      <c r="D64" s="4" t="n"/>
      <c r="E64" s="4" t="n"/>
      <c r="F64" s="4" t="n"/>
      <c r="G64" s="4" t="n"/>
      <c r="H64" s="4" t="n"/>
      <c r="I64" s="3" t="n"/>
      <c r="J64" s="3" t="n"/>
    </row>
    <row r="65">
      <c r="A65" s="12" t="inlineStr">
        <is>
          <t>Missing key sources?</t>
        </is>
      </c>
      <c r="B65" s="4" t="n"/>
      <c r="C65" s="4" t="n"/>
      <c r="D65" s="4" t="n"/>
      <c r="E65" s="4" t="n"/>
      <c r="F65" s="4" t="n"/>
      <c r="G65" s="4" t="n"/>
      <c r="H65" s="4" t="n"/>
      <c r="I65" s="3" t="n"/>
      <c r="J65" s="3" t="n"/>
    </row>
    <row r="66">
      <c r="A66" s="12" t="inlineStr">
        <is>
          <t>Review completed?</t>
        </is>
      </c>
      <c r="B66" s="4" t="inlineStr"/>
      <c r="C66" s="4" t="n"/>
      <c r="D66" s="4" t="n"/>
      <c r="E66" s="4" t="n"/>
      <c r="F66" s="4" t="n"/>
      <c r="G66" s="4" t="n"/>
      <c r="H66" s="4" t="n"/>
      <c r="I66" s="3" t="n"/>
      <c r="J66" s="3" t="n"/>
    </row>
    <row r="67">
      <c r="A67" s="12" t="inlineStr">
        <is>
          <t>Reviewer</t>
        </is>
      </c>
      <c r="B67" s="4" t="n"/>
      <c r="C67" s="12" t="inlineStr">
        <is>
          <t>Review date</t>
        </is>
      </c>
      <c r="D67" s="5" t="inlineStr"/>
      <c r="E67" s="4" t="n"/>
      <c r="F67" s="4" t="n"/>
      <c r="G67" s="4" t="n"/>
      <c r="H67" s="4" t="n"/>
      <c r="I67" s="3" t="n"/>
      <c r="J67" s="3" t="n"/>
    </row>
    <row r="68">
      <c r="A68" s="3" t="n"/>
      <c r="B68" s="3" t="n"/>
      <c r="C68" s="3" t="n"/>
      <c r="D68" s="3" t="n"/>
      <c r="E68" s="3" t="n"/>
      <c r="F68" s="3" t="n"/>
      <c r="G68" s="3" t="n"/>
      <c r="H68" s="3" t="n"/>
      <c r="I68" s="3" t="n"/>
      <c r="J68" s="3" t="n"/>
    </row>
    <row r="69">
      <c r="A69" s="8" t="inlineStr">
        <is>
          <t>Original source notes</t>
        </is>
      </c>
      <c r="B69" s="3" t="n"/>
      <c r="C69" s="3" t="n"/>
      <c r="D69" s="3" t="n"/>
      <c r="E69" s="3" t="n"/>
      <c r="F69" s="3" t="n"/>
      <c r="G69" s="3" t="n"/>
      <c r="H69" s="3" t="n"/>
      <c r="I69" s="3" t="n"/>
      <c r="J69" s="3" t="n"/>
    </row>
    <row r="70">
      <c r="A70" s="12" t="inlineStr">
        <is>
          <t>WAB notes</t>
        </is>
      </c>
      <c r="B70" s="4" t="inlineStr">
        <is>
          <t>Deliberately open to the answer "considered and set aside". If in your view none of the food-delivery decisions engaged with data access at all, tell us — a question with no answer in the case law is one we should drop.</t>
        </is>
      </c>
      <c r="C70" s="4" t="n"/>
      <c r="D70" s="4" t="n"/>
      <c r="E70" s="4" t="n"/>
      <c r="F70" s="4" t="n"/>
      <c r="G70" s="4" t="n"/>
      <c r="H70" s="4" t="n"/>
      <c r="I70" s="3" t="n"/>
      <c r="J70" s="3" t="n"/>
    </row>
    <row r="71" ht="54" customHeight="1">
      <c r="A71" s="12" t="inlineStr">
        <is>
          <t>Reviewer notes from question approval</t>
        </is>
      </c>
      <c r="B71" s="4" t="inlineStr">
        <is>
          <t>question to be replaced with that one "Where a platform like Uber leverages data collected across its ecosystem to improve and strengthen its food delivery arm, how would such conduct be characterised under EU competition law — as tying/bundling, as an exploitative abuse, as leveraging into an adjacent market, or as a distinct data-driven theory of harm? Which category best fits, and what would be required to establish it under Article 102 TFEU?"</t>
        </is>
      </c>
      <c r="C71" s="4" t="n"/>
      <c r="D71" s="4" t="n"/>
      <c r="E71" s="4" t="n"/>
      <c r="F71" s="4" t="n"/>
      <c r="G71" s="4" t="n"/>
      <c r="H71" s="4" t="n"/>
      <c r="I71" s="3" t="n"/>
      <c r="J71" s="3" t="n"/>
    </row>
    <row r="72">
      <c r="A72" s="4" t="n"/>
      <c r="B72" s="4" t="n"/>
      <c r="C72" s="4" t="n"/>
      <c r="D72" s="4" t="n"/>
      <c r="E72" s="4" t="n"/>
      <c r="F72" s="4" t="n"/>
      <c r="G72" s="4" t="n"/>
      <c r="H72" s="4" t="n"/>
      <c r="I72" s="3" t="n"/>
      <c r="J72" s="3" t="n"/>
    </row>
  </sheetData>
  <autoFilter ref="A21:J36"/>
  <mergeCells count="20">
    <mergeCell ref="B65:H65"/>
    <mergeCell ref="B71:H72"/>
    <mergeCell ref="B6:H6"/>
    <mergeCell ref="A20:J20"/>
    <mergeCell ref="A1:H1"/>
    <mergeCell ref="B5:H5"/>
    <mergeCell ref="A61:H61"/>
    <mergeCell ref="A69:H69"/>
    <mergeCell ref="B4:H4"/>
    <mergeCell ref="B62:H62"/>
    <mergeCell ref="B7:H7"/>
    <mergeCell ref="B66:H66"/>
    <mergeCell ref="A3:H3"/>
    <mergeCell ref="A16:H18"/>
    <mergeCell ref="B70:H70"/>
    <mergeCell ref="A14:H14"/>
    <mergeCell ref="B63:H64"/>
    <mergeCell ref="B8:H8"/>
    <mergeCell ref="B10:H12"/>
    <mergeCell ref="A38:H38"/>
  </mergeCells>
  <dataValidations count="9">
    <dataValidation sqref="C22:C36" showDropDown="0" showInputMessage="0" showErrorMessage="0" allowBlank="1" type="list">
      <formula1>=Lists!$F$2:$F$5</formula1>
    </dataValidation>
    <dataValidation sqref="F22:F36" showDropDown="0" showInputMessage="0" showErrorMessage="0" allowBlank="1" type="list">
      <formula1>=Lists!$G$2:$G$4</formula1>
    </dataValidation>
    <dataValidation sqref="G22:G36" showDropDown="0" showInputMessage="0" showErrorMessage="0" allowBlank="1" type="list">
      <formula1>=Lists!$G$2:$G$4</formula1>
    </dataValidation>
    <dataValidation sqref="H22:H36" showDropDown="0" showInputMessage="0" showErrorMessage="0" allowBlank="1" type="list">
      <formula1>=Lists!$G$2:$G$4</formula1>
    </dataValidation>
    <dataValidation sqref="I22:I36" showDropDown="0" showInputMessage="0" showErrorMessage="0" allowBlank="1" type="list">
      <formula1>=Lists!$H$2:$H$6</formula1>
    </dataValidation>
    <dataValidation sqref="D40:D59" showDropDown="0" showInputMessage="0" showErrorMessage="0" allowBlank="1" type="list">
      <formula1>=Lists!$D$2:$D$7</formula1>
    </dataValidation>
    <dataValidation sqref="E40:E59" showDropDown="0" showInputMessage="0" showErrorMessage="0" allowBlank="1" type="list">
      <formula1>=Lists!$E$2:$E$8</formula1>
    </dataValidation>
    <dataValidation sqref="B62" showDropDown="0" showInputMessage="0" showErrorMessage="0" allowBlank="1" type="list">
      <formula1>=Lists!$C$2:$C$4</formula1>
    </dataValidation>
    <dataValidation sqref="B66" showDropDown="0" showInputMessage="0" showErrorMessage="0" allowBlank="1" type="list">
      <formula1>=Lists!$A$2:$A$3</formula1>
    </dataValidation>
  </dataValidations>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J72"/>
  <sheetViews>
    <sheetView showGridLines="0" workbookViewId="0">
      <pane ySplit="21" topLeftCell="A22" activePane="bottomLeft" state="frozen"/>
      <selection pane="bottomLeft" activeCell="A1" sqref="A1"/>
    </sheetView>
  </sheetViews>
  <sheetFormatPr baseColWidth="8" defaultRowHeight="15"/>
  <cols>
    <col width="12" customWidth="1" min="1" max="1"/>
    <col width="34" customWidth="1" min="2" max="2"/>
    <col width="22" customWidth="1" min="3" max="3"/>
    <col width="18" customWidth="1" min="4" max="4"/>
    <col width="20" customWidth="1" min="5" max="5"/>
    <col width="30" customWidth="1" min="6" max="6"/>
    <col width="34" customWidth="1" min="7" max="7"/>
    <col width="18" customWidth="1" min="8" max="8"/>
    <col width="18" customWidth="1" min="9" max="9"/>
    <col width="30" customWidth="1" min="10" max="10"/>
  </cols>
  <sheetData>
    <row r="1" ht="28" customHeight="1">
      <c r="A1" s="6" t="inlineStr">
        <is>
          <t>Q23 — Expert Review</t>
        </is>
      </c>
      <c r="B1" s="3" t="n"/>
      <c r="C1" s="3" t="n"/>
      <c r="D1" s="3" t="n"/>
      <c r="E1" s="3" t="n"/>
      <c r="F1" s="3" t="n"/>
      <c r="G1" s="3" t="n"/>
      <c r="H1" s="3" t="n"/>
      <c r="I1" s="3" t="n"/>
      <c r="J1" s="3" t="n"/>
    </row>
    <row r="2">
      <c r="A2" s="3" t="n"/>
      <c r="B2" s="3" t="n"/>
      <c r="C2" s="3" t="n"/>
      <c r="D2" s="3" t="n"/>
      <c r="E2" s="3" t="n"/>
      <c r="F2" s="3" t="n"/>
      <c r="G2" s="3" t="n"/>
      <c r="H2" s="3" t="n"/>
      <c r="I2" s="3" t="n"/>
      <c r="J2" s="3" t="n"/>
    </row>
    <row r="3">
      <c r="A3" s="8" t="inlineStr">
        <is>
          <t>Question metadata</t>
        </is>
      </c>
      <c r="B3" s="3" t="n"/>
      <c r="C3" s="3" t="n"/>
      <c r="D3" s="3" t="n"/>
      <c r="E3" s="3" t="n"/>
      <c r="F3" s="3" t="n"/>
      <c r="G3" s="3" t="n"/>
      <c r="H3" s="3" t="n"/>
      <c r="I3" s="3" t="n"/>
      <c r="J3" s="3" t="n"/>
    </row>
    <row r="4">
      <c r="A4" s="9" t="inlineStr">
        <is>
          <t>Question ID</t>
        </is>
      </c>
      <c r="B4" s="3" t="n">
        <v>23</v>
      </c>
      <c r="C4" s="3" t="n"/>
      <c r="D4" s="3" t="n"/>
      <c r="E4" s="3" t="n"/>
      <c r="F4" s="3" t="n"/>
      <c r="G4" s="3" t="n"/>
      <c r="H4" s="3" t="n"/>
      <c r="I4" s="3" t="n"/>
      <c r="J4" s="3" t="n"/>
    </row>
    <row r="5">
      <c r="A5" s="9" t="inlineStr">
        <is>
          <t>Topic</t>
        </is>
      </c>
      <c r="B5" s="3" t="inlineStr">
        <is>
          <t>Food delivery — own fleet vs marketplace</t>
        </is>
      </c>
      <c r="C5" s="3" t="n"/>
      <c r="D5" s="3" t="n"/>
      <c r="E5" s="3" t="n"/>
      <c r="F5" s="3" t="n"/>
      <c r="G5" s="3" t="n"/>
      <c r="H5" s="3" t="n"/>
      <c r="I5" s="3" t="n"/>
      <c r="J5" s="3" t="n"/>
    </row>
    <row r="6">
      <c r="A6" s="9" t="inlineStr">
        <is>
          <t>Scope</t>
        </is>
      </c>
      <c r="B6" s="3" t="inlineStr">
        <is>
          <t>EU + UK + ES</t>
        </is>
      </c>
      <c r="C6" s="3" t="n"/>
      <c r="D6" s="3" t="n"/>
      <c r="E6" s="3" t="n"/>
      <c r="F6" s="3" t="n"/>
      <c r="G6" s="3" t="n"/>
      <c r="H6" s="3" t="n"/>
      <c r="I6" s="3" t="n"/>
      <c r="J6" s="3" t="n"/>
    </row>
    <row r="7">
      <c r="A7" s="9" t="inlineStr">
        <is>
          <t>Original reviewer</t>
        </is>
      </c>
      <c r="B7" s="3" t="inlineStr">
        <is>
          <t>Carolina</t>
        </is>
      </c>
      <c r="C7" s="3" t="n"/>
      <c r="D7" s="3" t="n"/>
      <c r="E7" s="3" t="n"/>
      <c r="F7" s="3" t="n"/>
      <c r="G7" s="3" t="n"/>
      <c r="H7" s="3" t="n"/>
      <c r="I7" s="3" t="n"/>
      <c r="J7" s="3" t="n"/>
    </row>
    <row r="8">
      <c r="A8" s="9" t="inlineStr">
        <is>
          <t>Original status</t>
        </is>
      </c>
      <c r="B8" s="3" t="inlineStr">
        <is>
          <t>Approved</t>
        </is>
      </c>
      <c r="C8" s="3" t="n"/>
      <c r="D8" s="3" t="n"/>
      <c r="E8" s="3" t="n"/>
      <c r="F8" s="3" t="n"/>
      <c r="G8" s="3" t="n"/>
      <c r="H8" s="3" t="n"/>
      <c r="I8" s="3" t="n"/>
      <c r="J8" s="3" t="n"/>
    </row>
    <row r="9">
      <c r="A9" s="3" t="n"/>
      <c r="B9" s="3" t="n"/>
      <c r="C9" s="3" t="n"/>
      <c r="D9" s="3" t="n"/>
      <c r="E9" s="3" t="n"/>
      <c r="F9" s="3" t="n"/>
      <c r="G9" s="3" t="n"/>
      <c r="H9" s="3" t="n"/>
      <c r="I9" s="3" t="n"/>
      <c r="J9" s="3" t="n"/>
    </row>
    <row r="10" ht="45" customHeight="1">
      <c r="A10" s="9" t="inlineStr">
        <is>
          <t>Question</t>
        </is>
      </c>
      <c r="B10" s="3" t="inlineStr">
        <is>
          <t>Can a food-delivery platform qualify as a provider of online intermediation services within the meaning of the P2B Regulation (EU) 2019/1150 — and if so, which obligations would it additionally have to comply with should it be designated as a gatekeeper under the DMA?</t>
        </is>
      </c>
      <c r="C10" s="3" t="n"/>
      <c r="D10" s="3" t="n"/>
      <c r="E10" s="3" t="n"/>
      <c r="F10" s="3" t="n"/>
      <c r="G10" s="3" t="n"/>
      <c r="H10" s="3" t="n"/>
      <c r="I10" s="3" t="n"/>
      <c r="J10" s="3" t="n"/>
    </row>
    <row r="11">
      <c r="A11" s="3" t="n"/>
      <c r="B11" s="3" t="n"/>
      <c r="C11" s="3" t="n"/>
      <c r="D11" s="3" t="n"/>
      <c r="E11" s="3" t="n"/>
      <c r="F11" s="3" t="n"/>
      <c r="G11" s="3" t="n"/>
      <c r="H11" s="3" t="n"/>
      <c r="I11" s="3" t="n"/>
      <c r="J11" s="3" t="n"/>
    </row>
    <row r="12">
      <c r="A12" s="3" t="n"/>
      <c r="B12" s="3" t="n"/>
      <c r="C12" s="3" t="n"/>
      <c r="D12" s="3" t="n"/>
      <c r="E12" s="3" t="n"/>
      <c r="F12" s="3" t="n"/>
      <c r="G12" s="3" t="n"/>
      <c r="H12" s="3" t="n"/>
      <c r="I12" s="3" t="n"/>
      <c r="J12" s="3" t="n"/>
    </row>
    <row r="13">
      <c r="A13" s="3" t="n"/>
      <c r="B13" s="3" t="n"/>
      <c r="C13" s="3" t="n"/>
      <c r="D13" s="3" t="n"/>
      <c r="E13" s="3" t="n"/>
      <c r="F13" s="3" t="n"/>
      <c r="G13" s="3" t="n"/>
      <c r="H13" s="3" t="n"/>
      <c r="I13" s="3" t="n"/>
      <c r="J13" s="3" t="n"/>
    </row>
    <row r="14">
      <c r="A14" s="8" t="inlineStr">
        <is>
          <t>Generated answer</t>
        </is>
      </c>
      <c r="B14" s="3" t="n"/>
      <c r="C14" s="3" t="n"/>
      <c r="D14" s="3" t="n"/>
      <c r="E14" s="3" t="n"/>
      <c r="F14" s="3" t="n"/>
      <c r="G14" s="3" t="n"/>
      <c r="H14" s="3" t="n"/>
      <c r="I14" s="3" t="n"/>
      <c r="J14" s="3" t="n"/>
    </row>
    <row r="15">
      <c r="A15" s="10" t="inlineStr">
        <is>
          <t>Paste the generated answer below.</t>
        </is>
      </c>
      <c r="B15" s="3" t="n"/>
      <c r="C15" s="3" t="n"/>
      <c r="D15" s="3" t="n"/>
      <c r="E15" s="3" t="n"/>
      <c r="F15" s="3" t="n"/>
      <c r="G15" s="3" t="n"/>
      <c r="H15" s="3" t="n"/>
      <c r="I15" s="3" t="n"/>
      <c r="J15" s="3" t="n"/>
    </row>
    <row r="16" ht="90" customHeight="1">
      <c r="A16" s="3" t="inlineStr"/>
      <c r="B16" s="3" t="n"/>
      <c r="C16" s="3" t="n"/>
      <c r="D16" s="3" t="n"/>
      <c r="E16" s="3" t="n"/>
      <c r="F16" s="3" t="n"/>
      <c r="G16" s="3" t="n"/>
      <c r="H16" s="3" t="n"/>
      <c r="I16" s="3" t="n"/>
      <c r="J16" s="3" t="n"/>
    </row>
    <row r="17" ht="30" customHeight="1">
      <c r="A17" s="3" t="n"/>
      <c r="B17" s="3" t="n"/>
      <c r="C17" s="3" t="n"/>
      <c r="D17" s="3" t="n"/>
      <c r="E17" s="3" t="n"/>
      <c r="F17" s="3" t="n"/>
      <c r="G17" s="3" t="n"/>
      <c r="H17" s="3" t="n"/>
      <c r="I17" s="3" t="n"/>
      <c r="J17" s="3" t="n"/>
    </row>
    <row r="18" ht="30" customHeight="1">
      <c r="A18" s="3" t="n"/>
      <c r="B18" s="3" t="n"/>
      <c r="C18" s="3" t="n"/>
      <c r="D18" s="3" t="n"/>
      <c r="E18" s="3" t="n"/>
      <c r="F18" s="3" t="n"/>
      <c r="G18" s="3" t="n"/>
      <c r="H18" s="3" t="n"/>
      <c r="I18" s="3" t="n"/>
      <c r="J18" s="3" t="n"/>
    </row>
    <row r="19">
      <c r="A19" s="9" t="inlineStr">
        <is>
          <t>Run ID</t>
        </is>
      </c>
      <c r="B19" s="3" t="inlineStr"/>
      <c r="C19" s="9" t="inlineStr">
        <is>
          <t>Run date</t>
        </is>
      </c>
      <c r="D19" s="3" t="inlineStr"/>
      <c r="E19" s="9" t="inlineStr">
        <is>
          <t>Model / prompt version</t>
        </is>
      </c>
      <c r="F19" s="3" t="inlineStr"/>
      <c r="G19" s="9" t="inlineStr">
        <is>
          <t>Corpus snapshot</t>
        </is>
      </c>
      <c r="H19" s="3" t="inlineStr"/>
      <c r="I19" s="3" t="n"/>
      <c r="J19" s="3" t="n"/>
    </row>
    <row r="20">
      <c r="A20" s="8" t="inlineStr">
        <is>
          <t>Retrieval set review</t>
        </is>
      </c>
      <c r="B20" s="3" t="n"/>
      <c r="C20" s="3" t="n"/>
      <c r="D20" s="3" t="n"/>
      <c r="E20" s="3" t="n"/>
      <c r="F20" s="3" t="n"/>
      <c r="G20" s="3" t="n"/>
      <c r="H20" s="3" t="n"/>
      <c r="I20" s="3" t="n"/>
      <c r="J20" s="3" t="n"/>
    </row>
    <row r="21">
      <c r="A21" s="11" t="inlineStr">
        <is>
          <t>Rank</t>
        </is>
      </c>
      <c r="B21" s="11" t="inlineStr">
        <is>
          <t>Retrieved source</t>
        </is>
      </c>
      <c r="C21" s="11" t="inlineStr">
        <is>
          <t>Source type</t>
        </is>
      </c>
      <c r="D21" s="11" t="inlineStr">
        <is>
          <t>Jurisdiction</t>
        </is>
      </c>
      <c r="E21" s="11" t="inlineStr">
        <is>
          <t>URL / Document ID</t>
        </is>
      </c>
      <c r="F21" s="11" t="inlineStr">
        <is>
          <t>Returned by engine?</t>
        </is>
      </c>
      <c r="G21" s="11" t="inlineStr">
        <is>
          <t>Required source?</t>
        </is>
      </c>
      <c r="H21" s="11" t="inlineStr">
        <is>
          <t>Trap?</t>
        </is>
      </c>
      <c r="I21" s="11" t="inlineStr">
        <is>
          <t>Expert verdict</t>
        </is>
      </c>
      <c r="J21" s="11" t="inlineStr">
        <is>
          <t>Notes</t>
        </is>
      </c>
    </row>
    <row r="22" ht="44" customHeight="1">
      <c r="A22" s="4" t="n">
        <v>1</v>
      </c>
      <c r="B22" s="4" t="n"/>
      <c r="C22" s="4" t="n"/>
      <c r="D22" s="4" t="n"/>
      <c r="E22" s="4" t="n"/>
      <c r="F22" s="4" t="n"/>
      <c r="G22" s="4" t="n"/>
      <c r="H22" s="4" t="n"/>
      <c r="I22" s="4" t="n"/>
      <c r="J22" s="4" t="n"/>
    </row>
    <row r="23" ht="44" customHeight="1">
      <c r="A23" s="4" t="n">
        <v>2</v>
      </c>
      <c r="B23" s="4" t="n"/>
      <c r="C23" s="4" t="n"/>
      <c r="D23" s="4" t="n"/>
      <c r="E23" s="4" t="n"/>
      <c r="F23" s="4" t="n"/>
      <c r="G23" s="4" t="n"/>
      <c r="H23" s="4" t="n"/>
      <c r="I23" s="4" t="n"/>
      <c r="J23" s="4" t="n"/>
    </row>
    <row r="24" ht="44" customHeight="1">
      <c r="A24" s="4" t="n">
        <v>3</v>
      </c>
      <c r="B24" s="4" t="n"/>
      <c r="C24" s="4" t="n"/>
      <c r="D24" s="4" t="n"/>
      <c r="E24" s="4" t="n"/>
      <c r="F24" s="4" t="n"/>
      <c r="G24" s="4" t="n"/>
      <c r="H24" s="4" t="n"/>
      <c r="I24" s="4" t="n"/>
      <c r="J24" s="4" t="n"/>
    </row>
    <row r="25" ht="44" customHeight="1">
      <c r="A25" s="4" t="n">
        <v>4</v>
      </c>
      <c r="B25" s="4" t="n"/>
      <c r="C25" s="4" t="n"/>
      <c r="D25" s="4" t="n"/>
      <c r="E25" s="4" t="n"/>
      <c r="F25" s="4" t="n"/>
      <c r="G25" s="4" t="n"/>
      <c r="H25" s="4" t="n"/>
      <c r="I25" s="4" t="n"/>
      <c r="J25" s="4" t="n"/>
    </row>
    <row r="26" ht="44" customHeight="1">
      <c r="A26" s="4" t="n">
        <v>5</v>
      </c>
      <c r="B26" s="4" t="n"/>
      <c r="C26" s="4" t="n"/>
      <c r="D26" s="4" t="n"/>
      <c r="E26" s="4" t="n"/>
      <c r="F26" s="4" t="n"/>
      <c r="G26" s="4" t="n"/>
      <c r="H26" s="4" t="n"/>
      <c r="I26" s="4" t="n"/>
      <c r="J26" s="4" t="n"/>
    </row>
    <row r="27" ht="44" customHeight="1">
      <c r="A27" s="4" t="n">
        <v>6</v>
      </c>
      <c r="B27" s="4" t="n"/>
      <c r="C27" s="4" t="n"/>
      <c r="D27" s="4" t="n"/>
      <c r="E27" s="4" t="n"/>
      <c r="F27" s="4" t="n"/>
      <c r="G27" s="4" t="n"/>
      <c r="H27" s="4" t="n"/>
      <c r="I27" s="4" t="n"/>
      <c r="J27" s="4" t="n"/>
    </row>
    <row r="28" ht="44" customHeight="1">
      <c r="A28" s="4" t="n">
        <v>7</v>
      </c>
      <c r="B28" s="4" t="n"/>
      <c r="C28" s="4" t="n"/>
      <c r="D28" s="4" t="n"/>
      <c r="E28" s="4" t="n"/>
      <c r="F28" s="4" t="n"/>
      <c r="G28" s="4" t="n"/>
      <c r="H28" s="4" t="n"/>
      <c r="I28" s="4" t="n"/>
      <c r="J28" s="4" t="n"/>
    </row>
    <row r="29" ht="44" customHeight="1">
      <c r="A29" s="4" t="n">
        <v>8</v>
      </c>
      <c r="B29" s="4" t="n"/>
      <c r="C29" s="4" t="n"/>
      <c r="D29" s="4" t="n"/>
      <c r="E29" s="4" t="n"/>
      <c r="F29" s="4" t="n"/>
      <c r="G29" s="4" t="n"/>
      <c r="H29" s="4" t="n"/>
      <c r="I29" s="4" t="n"/>
      <c r="J29" s="4" t="n"/>
    </row>
    <row r="30" ht="44" customHeight="1">
      <c r="A30" s="4" t="n">
        <v>9</v>
      </c>
      <c r="B30" s="4" t="n"/>
      <c r="C30" s="4" t="n"/>
      <c r="D30" s="4" t="n"/>
      <c r="E30" s="4" t="n"/>
      <c r="F30" s="4" t="n"/>
      <c r="G30" s="4" t="n"/>
      <c r="H30" s="4" t="n"/>
      <c r="I30" s="4" t="n"/>
      <c r="J30" s="4" t="n"/>
    </row>
    <row r="31" ht="44" customHeight="1">
      <c r="A31" s="4" t="n">
        <v>10</v>
      </c>
      <c r="B31" s="4" t="n"/>
      <c r="C31" s="4" t="n"/>
      <c r="D31" s="4" t="n"/>
      <c r="E31" s="4" t="n"/>
      <c r="F31" s="4" t="n"/>
      <c r="G31" s="4" t="n"/>
      <c r="H31" s="4" t="n"/>
      <c r="I31" s="4" t="n"/>
      <c r="J31" s="4" t="n"/>
    </row>
    <row r="32" ht="44" customHeight="1">
      <c r="A32" s="4" t="n">
        <v>11</v>
      </c>
      <c r="B32" s="4" t="n"/>
      <c r="C32" s="4" t="n"/>
      <c r="D32" s="4" t="n"/>
      <c r="E32" s="4" t="n"/>
      <c r="F32" s="4" t="n"/>
      <c r="G32" s="4" t="n"/>
      <c r="H32" s="4" t="n"/>
      <c r="I32" s="4" t="n"/>
      <c r="J32" s="4" t="n"/>
    </row>
    <row r="33" ht="44" customHeight="1">
      <c r="A33" s="4" t="n">
        <v>12</v>
      </c>
      <c r="B33" s="4" t="n"/>
      <c r="C33" s="4" t="n"/>
      <c r="D33" s="4" t="n"/>
      <c r="E33" s="4" t="n"/>
      <c r="F33" s="4" t="n"/>
      <c r="G33" s="4" t="n"/>
      <c r="H33" s="4" t="n"/>
      <c r="I33" s="4" t="n"/>
      <c r="J33" s="4" t="n"/>
    </row>
    <row r="34" ht="44" customHeight="1">
      <c r="A34" s="4" t="n">
        <v>13</v>
      </c>
      <c r="B34" s="4" t="n"/>
      <c r="C34" s="4" t="n"/>
      <c r="D34" s="4" t="n"/>
      <c r="E34" s="4" t="n"/>
      <c r="F34" s="4" t="n"/>
      <c r="G34" s="4" t="n"/>
      <c r="H34" s="4" t="n"/>
      <c r="I34" s="4" t="n"/>
      <c r="J34" s="4" t="n"/>
    </row>
    <row r="35" ht="44" customHeight="1">
      <c r="A35" s="4" t="n">
        <v>14</v>
      </c>
      <c r="B35" s="4" t="n"/>
      <c r="C35" s="4" t="n"/>
      <c r="D35" s="4" t="n"/>
      <c r="E35" s="4" t="n"/>
      <c r="F35" s="4" t="n"/>
      <c r="G35" s="4" t="n"/>
      <c r="H35" s="4" t="n"/>
      <c r="I35" s="4" t="n"/>
      <c r="J35" s="4" t="n"/>
    </row>
    <row r="36" ht="44" customHeight="1">
      <c r="A36" s="4" t="n">
        <v>15</v>
      </c>
      <c r="B36" s="4" t="n"/>
      <c r="C36" s="4" t="n"/>
      <c r="D36" s="4" t="n"/>
      <c r="E36" s="4" t="n"/>
      <c r="F36" s="4" t="n"/>
      <c r="G36" s="4" t="n"/>
      <c r="H36" s="4" t="n"/>
      <c r="I36" s="4" t="n"/>
      <c r="J36" s="4" t="n"/>
    </row>
    <row r="37">
      <c r="A37" s="3" t="n"/>
      <c r="B37" s="3" t="n"/>
      <c r="C37" s="3" t="n"/>
      <c r="D37" s="3" t="n"/>
      <c r="E37" s="3" t="n"/>
      <c r="F37" s="3" t="n"/>
      <c r="G37" s="3" t="n"/>
      <c r="H37" s="3" t="n"/>
      <c r="I37" s="3" t="n"/>
      <c r="J37" s="3" t="n"/>
    </row>
    <row r="38">
      <c r="A38" s="8" t="inlineStr">
        <is>
          <t>Claim-by-claim review</t>
        </is>
      </c>
      <c r="B38" s="3" t="n"/>
      <c r="C38" s="3" t="n"/>
      <c r="D38" s="3" t="n"/>
      <c r="E38" s="3" t="n"/>
      <c r="F38" s="3" t="n"/>
      <c r="G38" s="3" t="n"/>
      <c r="H38" s="3" t="n"/>
      <c r="I38" s="3" t="n"/>
      <c r="J38" s="3" t="n"/>
    </row>
    <row r="39">
      <c r="A39" s="11" t="inlineStr">
        <is>
          <t>Claim ID</t>
        </is>
      </c>
      <c r="B39" s="11" t="inlineStr">
        <is>
          <t>Claim from answer</t>
        </is>
      </c>
      <c r="C39" s="11" t="inlineStr">
        <is>
          <t>Citation used</t>
        </is>
      </c>
      <c r="D39" s="11" t="inlineStr">
        <is>
          <t>Expert verdict</t>
        </is>
      </c>
      <c r="E39" s="11" t="inlineStr">
        <is>
          <t>Issue type</t>
        </is>
      </c>
      <c r="F39" s="11" t="inlineStr">
        <is>
          <t>Cited passage / source note</t>
        </is>
      </c>
      <c r="G39" s="11" t="inlineStr">
        <is>
          <t>Required fix / comment</t>
        </is>
      </c>
      <c r="H39" s="11" t="inlineStr">
        <is>
          <t>Reviewer</t>
        </is>
      </c>
      <c r="I39" s="11" t="n"/>
      <c r="J39" s="11" t="n"/>
    </row>
    <row r="40" ht="54" customHeight="1">
      <c r="A40" s="4" t="n">
        <v>1</v>
      </c>
      <c r="B40" s="4" t="n"/>
      <c r="C40" s="4" t="n"/>
      <c r="D40" s="4" t="n"/>
      <c r="E40" s="4" t="n"/>
      <c r="F40" s="4" t="n"/>
      <c r="G40" s="4" t="n"/>
      <c r="H40" s="4" t="n"/>
      <c r="I40" s="3" t="n"/>
      <c r="J40" s="3" t="n"/>
    </row>
    <row r="41" ht="54" customHeight="1">
      <c r="A41" s="4" t="n">
        <v>2</v>
      </c>
      <c r="B41" s="4" t="n"/>
      <c r="C41" s="4" t="n"/>
      <c r="D41" s="4" t="n"/>
      <c r="E41" s="4" t="n"/>
      <c r="F41" s="4" t="n"/>
      <c r="G41" s="4" t="n"/>
      <c r="H41" s="4" t="n"/>
      <c r="I41" s="3" t="n"/>
      <c r="J41" s="3" t="n"/>
    </row>
    <row r="42" ht="54" customHeight="1">
      <c r="A42" s="4" t="n">
        <v>3</v>
      </c>
      <c r="B42" s="4" t="n"/>
      <c r="C42" s="4" t="n"/>
      <c r="D42" s="4" t="n"/>
      <c r="E42" s="4" t="n"/>
      <c r="F42" s="4" t="n"/>
      <c r="G42" s="4" t="n"/>
      <c r="H42" s="4" t="n"/>
      <c r="I42" s="3" t="n"/>
      <c r="J42" s="3" t="n"/>
    </row>
    <row r="43" ht="54" customHeight="1">
      <c r="A43" s="4" t="n">
        <v>4</v>
      </c>
      <c r="B43" s="4" t="n"/>
      <c r="C43" s="4" t="n"/>
      <c r="D43" s="4" t="n"/>
      <c r="E43" s="4" t="n"/>
      <c r="F43" s="4" t="n"/>
      <c r="G43" s="4" t="n"/>
      <c r="H43" s="4" t="n"/>
      <c r="I43" s="3" t="n"/>
      <c r="J43" s="3" t="n"/>
    </row>
    <row r="44" ht="54" customHeight="1">
      <c r="A44" s="4" t="n">
        <v>5</v>
      </c>
      <c r="B44" s="4" t="n"/>
      <c r="C44" s="4" t="n"/>
      <c r="D44" s="4" t="n"/>
      <c r="E44" s="4" t="n"/>
      <c r="F44" s="4" t="n"/>
      <c r="G44" s="4" t="n"/>
      <c r="H44" s="4" t="n"/>
      <c r="I44" s="3" t="n"/>
      <c r="J44" s="3" t="n"/>
    </row>
    <row r="45" ht="54" customHeight="1">
      <c r="A45" s="4" t="n">
        <v>6</v>
      </c>
      <c r="B45" s="4" t="n"/>
      <c r="C45" s="4" t="n"/>
      <c r="D45" s="4" t="n"/>
      <c r="E45" s="4" t="n"/>
      <c r="F45" s="4" t="n"/>
      <c r="G45" s="4" t="n"/>
      <c r="H45" s="4" t="n"/>
      <c r="I45" s="3" t="n"/>
      <c r="J45" s="3" t="n"/>
    </row>
    <row r="46" ht="54" customHeight="1">
      <c r="A46" s="4" t="n">
        <v>7</v>
      </c>
      <c r="B46" s="4" t="n"/>
      <c r="C46" s="4" t="n"/>
      <c r="D46" s="4" t="n"/>
      <c r="E46" s="4" t="n"/>
      <c r="F46" s="4" t="n"/>
      <c r="G46" s="4" t="n"/>
      <c r="H46" s="4" t="n"/>
      <c r="I46" s="3" t="n"/>
      <c r="J46" s="3" t="n"/>
    </row>
    <row r="47" ht="54" customHeight="1">
      <c r="A47" s="4" t="n">
        <v>8</v>
      </c>
      <c r="B47" s="4" t="n"/>
      <c r="C47" s="4" t="n"/>
      <c r="D47" s="4" t="n"/>
      <c r="E47" s="4" t="n"/>
      <c r="F47" s="4" t="n"/>
      <c r="G47" s="4" t="n"/>
      <c r="H47" s="4" t="n"/>
      <c r="I47" s="3" t="n"/>
      <c r="J47" s="3" t="n"/>
    </row>
    <row r="48" ht="54" customHeight="1">
      <c r="A48" s="4" t="n">
        <v>9</v>
      </c>
      <c r="B48" s="4" t="n"/>
      <c r="C48" s="4" t="n"/>
      <c r="D48" s="4" t="n"/>
      <c r="E48" s="4" t="n"/>
      <c r="F48" s="4" t="n"/>
      <c r="G48" s="4" t="n"/>
      <c r="H48" s="4" t="n"/>
      <c r="I48" s="3" t="n"/>
      <c r="J48" s="3" t="n"/>
    </row>
    <row r="49" ht="54" customHeight="1">
      <c r="A49" s="4" t="n">
        <v>10</v>
      </c>
      <c r="B49" s="4" t="n"/>
      <c r="C49" s="4" t="n"/>
      <c r="D49" s="4" t="n"/>
      <c r="E49" s="4" t="n"/>
      <c r="F49" s="4" t="n"/>
      <c r="G49" s="4" t="n"/>
      <c r="H49" s="4" t="n"/>
      <c r="I49" s="3" t="n"/>
      <c r="J49" s="3" t="n"/>
    </row>
    <row r="50" ht="54" customHeight="1">
      <c r="A50" s="4" t="n">
        <v>11</v>
      </c>
      <c r="B50" s="4" t="n"/>
      <c r="C50" s="4" t="n"/>
      <c r="D50" s="4" t="n"/>
      <c r="E50" s="4" t="n"/>
      <c r="F50" s="4" t="n"/>
      <c r="G50" s="4" t="n"/>
      <c r="H50" s="4" t="n"/>
      <c r="I50" s="3" t="n"/>
      <c r="J50" s="3" t="n"/>
    </row>
    <row r="51" ht="54" customHeight="1">
      <c r="A51" s="4" t="n">
        <v>12</v>
      </c>
      <c r="B51" s="4" t="n"/>
      <c r="C51" s="4" t="n"/>
      <c r="D51" s="4" t="n"/>
      <c r="E51" s="4" t="n"/>
      <c r="F51" s="4" t="n"/>
      <c r="G51" s="4" t="n"/>
      <c r="H51" s="4" t="n"/>
      <c r="I51" s="3" t="n"/>
      <c r="J51" s="3" t="n"/>
    </row>
    <row r="52" ht="54" customHeight="1">
      <c r="A52" s="4" t="n">
        <v>13</v>
      </c>
      <c r="B52" s="4" t="n"/>
      <c r="C52" s="4" t="n"/>
      <c r="D52" s="4" t="n"/>
      <c r="E52" s="4" t="n"/>
      <c r="F52" s="4" t="n"/>
      <c r="G52" s="4" t="n"/>
      <c r="H52" s="4" t="n"/>
      <c r="I52" s="3" t="n"/>
      <c r="J52" s="3" t="n"/>
    </row>
    <row r="53" ht="54" customHeight="1">
      <c r="A53" s="4" t="n">
        <v>14</v>
      </c>
      <c r="B53" s="4" t="n"/>
      <c r="C53" s="4" t="n"/>
      <c r="D53" s="4" t="n"/>
      <c r="E53" s="4" t="n"/>
      <c r="F53" s="4" t="n"/>
      <c r="G53" s="4" t="n"/>
      <c r="H53" s="4" t="n"/>
      <c r="I53" s="3" t="n"/>
      <c r="J53" s="3" t="n"/>
    </row>
    <row r="54" ht="54" customHeight="1">
      <c r="A54" s="4" t="n">
        <v>15</v>
      </c>
      <c r="B54" s="4" t="n"/>
      <c r="C54" s="4" t="n"/>
      <c r="D54" s="4" t="n"/>
      <c r="E54" s="4" t="n"/>
      <c r="F54" s="4" t="n"/>
      <c r="G54" s="4" t="n"/>
      <c r="H54" s="4" t="n"/>
      <c r="I54" s="3" t="n"/>
      <c r="J54" s="3" t="n"/>
    </row>
    <row r="55" ht="54" customHeight="1">
      <c r="A55" s="4" t="n">
        <v>16</v>
      </c>
      <c r="B55" s="4" t="n"/>
      <c r="C55" s="4" t="n"/>
      <c r="D55" s="4" t="n"/>
      <c r="E55" s="4" t="n"/>
      <c r="F55" s="4" t="n"/>
      <c r="G55" s="4" t="n"/>
      <c r="H55" s="4" t="n"/>
      <c r="I55" s="3" t="n"/>
      <c r="J55" s="3" t="n"/>
    </row>
    <row r="56" ht="54" customHeight="1">
      <c r="A56" s="4" t="n">
        <v>17</v>
      </c>
      <c r="B56" s="4" t="n"/>
      <c r="C56" s="4" t="n"/>
      <c r="D56" s="4" t="n"/>
      <c r="E56" s="4" t="n"/>
      <c r="F56" s="4" t="n"/>
      <c r="G56" s="4" t="n"/>
      <c r="H56" s="4" t="n"/>
      <c r="I56" s="3" t="n"/>
      <c r="J56" s="3" t="n"/>
    </row>
    <row r="57" ht="54" customHeight="1">
      <c r="A57" s="4" t="n">
        <v>18</v>
      </c>
      <c r="B57" s="4" t="n"/>
      <c r="C57" s="4" t="n"/>
      <c r="D57" s="4" t="n"/>
      <c r="E57" s="4" t="n"/>
      <c r="F57" s="4" t="n"/>
      <c r="G57" s="4" t="n"/>
      <c r="H57" s="4" t="n"/>
      <c r="I57" s="3" t="n"/>
      <c r="J57" s="3" t="n"/>
    </row>
    <row r="58" ht="54" customHeight="1">
      <c r="A58" s="4" t="n">
        <v>19</v>
      </c>
      <c r="B58" s="4" t="n"/>
      <c r="C58" s="4" t="n"/>
      <c r="D58" s="4" t="n"/>
      <c r="E58" s="4" t="n"/>
      <c r="F58" s="4" t="n"/>
      <c r="G58" s="4" t="n"/>
      <c r="H58" s="4" t="n"/>
      <c r="I58" s="3" t="n"/>
      <c r="J58" s="3" t="n"/>
    </row>
    <row r="59" ht="54" customHeight="1">
      <c r="A59" s="4" t="n">
        <v>20</v>
      </c>
      <c r="B59" s="4" t="n"/>
      <c r="C59" s="4" t="n"/>
      <c r="D59" s="4" t="n"/>
      <c r="E59" s="4" t="n"/>
      <c r="F59" s="4" t="n"/>
      <c r="G59" s="4" t="n"/>
      <c r="H59" s="4" t="n"/>
      <c r="I59" s="3" t="n"/>
      <c r="J59" s="3" t="n"/>
    </row>
    <row r="60">
      <c r="A60" s="3" t="n"/>
      <c r="B60" s="3" t="n"/>
      <c r="C60" s="3" t="n"/>
      <c r="D60" s="3" t="n"/>
      <c r="E60" s="3" t="n"/>
      <c r="F60" s="3" t="n"/>
      <c r="G60" s="3" t="n"/>
      <c r="H60" s="3" t="n"/>
      <c r="I60" s="3" t="n"/>
      <c r="J60" s="3" t="n"/>
    </row>
    <row r="61">
      <c r="A61" s="8" t="inlineStr">
        <is>
          <t>Final expert verdict</t>
        </is>
      </c>
      <c r="B61" s="3" t="n"/>
      <c r="C61" s="3" t="n"/>
      <c r="D61" s="3" t="n"/>
      <c r="E61" s="3" t="n"/>
      <c r="F61" s="3" t="n"/>
      <c r="G61" s="3" t="n"/>
      <c r="H61" s="3" t="n"/>
      <c r="I61" s="3" t="n"/>
      <c r="J61" s="3" t="n"/>
    </row>
    <row r="62">
      <c r="A62" s="12" t="inlineStr">
        <is>
          <t>Is the answer acceptable?</t>
        </is>
      </c>
      <c r="B62" s="4" t="inlineStr"/>
      <c r="C62" s="4" t="n"/>
      <c r="D62" s="4" t="n"/>
      <c r="E62" s="4" t="n"/>
      <c r="F62" s="4" t="n"/>
      <c r="G62" s="4" t="n"/>
      <c r="H62" s="4" t="n"/>
      <c r="I62" s="3" t="n"/>
      <c r="J62" s="3" t="n"/>
    </row>
    <row r="63" ht="54" customHeight="1">
      <c r="A63" s="12" t="inlineStr">
        <is>
          <t>Overall comment / required fixes</t>
        </is>
      </c>
      <c r="B63" s="4" t="n"/>
      <c r="C63" s="4" t="n"/>
      <c r="D63" s="4" t="n"/>
      <c r="E63" s="4" t="n"/>
      <c r="F63" s="4" t="n"/>
      <c r="G63" s="4" t="n"/>
      <c r="H63" s="4" t="n"/>
      <c r="I63" s="3" t="n"/>
      <c r="J63" s="3" t="n"/>
    </row>
    <row r="64">
      <c r="A64" s="4" t="n"/>
      <c r="B64" s="4" t="n"/>
      <c r="C64" s="4" t="n"/>
      <c r="D64" s="4" t="n"/>
      <c r="E64" s="4" t="n"/>
      <c r="F64" s="4" t="n"/>
      <c r="G64" s="4" t="n"/>
      <c r="H64" s="4" t="n"/>
      <c r="I64" s="3" t="n"/>
      <c r="J64" s="3" t="n"/>
    </row>
    <row r="65">
      <c r="A65" s="12" t="inlineStr">
        <is>
          <t>Missing key sources?</t>
        </is>
      </c>
      <c r="B65" s="4" t="n"/>
      <c r="C65" s="4" t="n"/>
      <c r="D65" s="4" t="n"/>
      <c r="E65" s="4" t="n"/>
      <c r="F65" s="4" t="n"/>
      <c r="G65" s="4" t="n"/>
      <c r="H65" s="4" t="n"/>
      <c r="I65" s="3" t="n"/>
      <c r="J65" s="3" t="n"/>
    </row>
    <row r="66">
      <c r="A66" s="12" t="inlineStr">
        <is>
          <t>Review completed?</t>
        </is>
      </c>
      <c r="B66" s="4" t="inlineStr"/>
      <c r="C66" s="4" t="n"/>
      <c r="D66" s="4" t="n"/>
      <c r="E66" s="4" t="n"/>
      <c r="F66" s="4" t="n"/>
      <c r="G66" s="4" t="n"/>
      <c r="H66" s="4" t="n"/>
      <c r="I66" s="3" t="n"/>
      <c r="J66" s="3" t="n"/>
    </row>
    <row r="67">
      <c r="A67" s="12" t="inlineStr">
        <is>
          <t>Reviewer</t>
        </is>
      </c>
      <c r="B67" s="4" t="n"/>
      <c r="C67" s="12" t="inlineStr">
        <is>
          <t>Review date</t>
        </is>
      </c>
      <c r="D67" s="5" t="inlineStr"/>
      <c r="E67" s="4" t="n"/>
      <c r="F67" s="4" t="n"/>
      <c r="G67" s="4" t="n"/>
      <c r="H67" s="4" t="n"/>
      <c r="I67" s="3" t="n"/>
      <c r="J67" s="3" t="n"/>
    </row>
    <row r="68">
      <c r="A68" s="3" t="n"/>
      <c r="B68" s="3" t="n"/>
      <c r="C68" s="3" t="n"/>
      <c r="D68" s="3" t="n"/>
      <c r="E68" s="3" t="n"/>
      <c r="F68" s="3" t="n"/>
      <c r="G68" s="3" t="n"/>
      <c r="H68" s="3" t="n"/>
      <c r="I68" s="3" t="n"/>
      <c r="J68" s="3" t="n"/>
    </row>
    <row r="69">
      <c r="A69" s="8" t="inlineStr">
        <is>
          <t>Original source notes</t>
        </is>
      </c>
      <c r="B69" s="3" t="n"/>
      <c r="C69" s="3" t="n"/>
      <c r="D69" s="3" t="n"/>
      <c r="E69" s="3" t="n"/>
      <c r="F69" s="3" t="n"/>
      <c r="G69" s="3" t="n"/>
      <c r="H69" s="3" t="n"/>
      <c r="I69" s="3" t="n"/>
      <c r="J69" s="3" t="n"/>
    </row>
    <row r="70">
      <c r="A70" s="12" t="inlineStr">
        <is>
          <t>WAB notes</t>
        </is>
      </c>
      <c r="B70" s="4" t="inlineStr"/>
      <c r="C70" s="4" t="n"/>
      <c r="D70" s="4" t="n"/>
      <c r="E70" s="4" t="n"/>
      <c r="F70" s="4" t="n"/>
      <c r="G70" s="4" t="n"/>
      <c r="H70" s="4" t="n"/>
      <c r="I70" s="3" t="n"/>
      <c r="J70" s="3" t="n"/>
    </row>
    <row r="71" ht="54" customHeight="1">
      <c r="A71" s="12" t="inlineStr">
        <is>
          <t>Reviewer notes from question approval</t>
        </is>
      </c>
      <c r="B71" s="4" t="inlineStr">
        <is>
          <t>question to be replaced with that one "Can a food-delivery platform qualify as a provider of online intermediation services within the meaning of the P2B Regulation (EU) 2019/1150 — and if so, which obligations would it additionally have to comply with should it be designated as a gatekeeper under the DMA?'</t>
        </is>
      </c>
      <c r="C71" s="4" t="n"/>
      <c r="D71" s="4" t="n"/>
      <c r="E71" s="4" t="n"/>
      <c r="F71" s="4" t="n"/>
      <c r="G71" s="4" t="n"/>
      <c r="H71" s="4" t="n"/>
      <c r="I71" s="3" t="n"/>
      <c r="J71" s="3" t="n"/>
    </row>
    <row r="72">
      <c r="A72" s="4" t="n"/>
      <c r="B72" s="4" t="n"/>
      <c r="C72" s="4" t="n"/>
      <c r="D72" s="4" t="n"/>
      <c r="E72" s="4" t="n"/>
      <c r="F72" s="4" t="n"/>
      <c r="G72" s="4" t="n"/>
      <c r="H72" s="4" t="n"/>
      <c r="I72" s="3" t="n"/>
      <c r="J72" s="3" t="n"/>
    </row>
  </sheetData>
  <autoFilter ref="A21:J36"/>
  <mergeCells count="20">
    <mergeCell ref="B65:H65"/>
    <mergeCell ref="B71:H72"/>
    <mergeCell ref="B6:H6"/>
    <mergeCell ref="A20:J20"/>
    <mergeCell ref="A1:H1"/>
    <mergeCell ref="B5:H5"/>
    <mergeCell ref="A61:H61"/>
    <mergeCell ref="A69:H69"/>
    <mergeCell ref="B4:H4"/>
    <mergeCell ref="B62:H62"/>
    <mergeCell ref="B7:H7"/>
    <mergeCell ref="B66:H66"/>
    <mergeCell ref="A3:H3"/>
    <mergeCell ref="A16:H18"/>
    <mergeCell ref="B70:H70"/>
    <mergeCell ref="A14:H14"/>
    <mergeCell ref="B63:H64"/>
    <mergeCell ref="B8:H8"/>
    <mergeCell ref="B10:H12"/>
    <mergeCell ref="A38:H38"/>
  </mergeCells>
  <dataValidations count="9">
    <dataValidation sqref="C22:C36" showDropDown="0" showInputMessage="0" showErrorMessage="0" allowBlank="1" type="list">
      <formula1>=Lists!$F$2:$F$5</formula1>
    </dataValidation>
    <dataValidation sqref="F22:F36" showDropDown="0" showInputMessage="0" showErrorMessage="0" allowBlank="1" type="list">
      <formula1>=Lists!$G$2:$G$4</formula1>
    </dataValidation>
    <dataValidation sqref="G22:G36" showDropDown="0" showInputMessage="0" showErrorMessage="0" allowBlank="1" type="list">
      <formula1>=Lists!$G$2:$G$4</formula1>
    </dataValidation>
    <dataValidation sqref="H22:H36" showDropDown="0" showInputMessage="0" showErrorMessage="0" allowBlank="1" type="list">
      <formula1>=Lists!$G$2:$G$4</formula1>
    </dataValidation>
    <dataValidation sqref="I22:I36" showDropDown="0" showInputMessage="0" showErrorMessage="0" allowBlank="1" type="list">
      <formula1>=Lists!$H$2:$H$6</formula1>
    </dataValidation>
    <dataValidation sqref="D40:D59" showDropDown="0" showInputMessage="0" showErrorMessage="0" allowBlank="1" type="list">
      <formula1>=Lists!$D$2:$D$7</formula1>
    </dataValidation>
    <dataValidation sqref="E40:E59" showDropDown="0" showInputMessage="0" showErrorMessage="0" allowBlank="1" type="list">
      <formula1>=Lists!$E$2:$E$8</formula1>
    </dataValidation>
    <dataValidation sqref="B62" showDropDown="0" showInputMessage="0" showErrorMessage="0" allowBlank="1" type="list">
      <formula1>=Lists!$C$2:$C$4</formula1>
    </dataValidation>
    <dataValidation sqref="B66" showDropDown="0" showInputMessage="0" showErrorMessage="0" allowBlank="1" type="list">
      <formula1>=Lists!$A$2:$A$3</formula1>
    </dataValidation>
  </dataValidations>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J72"/>
  <sheetViews>
    <sheetView showGridLines="0" workbookViewId="0">
      <pane ySplit="21" topLeftCell="A22" activePane="bottomLeft" state="frozen"/>
      <selection pane="bottomLeft" activeCell="A1" sqref="A1"/>
    </sheetView>
  </sheetViews>
  <sheetFormatPr baseColWidth="8" defaultRowHeight="15"/>
  <cols>
    <col width="12" customWidth="1" min="1" max="1"/>
    <col width="34" customWidth="1" min="2" max="2"/>
    <col width="22" customWidth="1" min="3" max="3"/>
    <col width="18" customWidth="1" min="4" max="4"/>
    <col width="20" customWidth="1" min="5" max="5"/>
    <col width="30" customWidth="1" min="6" max="6"/>
    <col width="34" customWidth="1" min="7" max="7"/>
    <col width="18" customWidth="1" min="8" max="8"/>
    <col width="18" customWidth="1" min="9" max="9"/>
    <col width="30" customWidth="1" min="10" max="10"/>
  </cols>
  <sheetData>
    <row r="1" ht="28" customHeight="1">
      <c r="A1" s="6" t="inlineStr">
        <is>
          <t>Q24 — Expert Review</t>
        </is>
      </c>
      <c r="B1" s="3" t="n"/>
      <c r="C1" s="3" t="n"/>
      <c r="D1" s="3" t="n"/>
      <c r="E1" s="3" t="n"/>
      <c r="F1" s="3" t="n"/>
      <c r="G1" s="3" t="n"/>
      <c r="H1" s="3" t="n"/>
      <c r="I1" s="3" t="n"/>
      <c r="J1" s="3" t="n"/>
    </row>
    <row r="2">
      <c r="A2" s="3" t="n"/>
      <c r="B2" s="3" t="n"/>
      <c r="C2" s="3" t="n"/>
      <c r="D2" s="3" t="n"/>
      <c r="E2" s="3" t="n"/>
      <c r="F2" s="3" t="n"/>
      <c r="G2" s="3" t="n"/>
      <c r="H2" s="3" t="n"/>
      <c r="I2" s="3" t="n"/>
      <c r="J2" s="3" t="n"/>
    </row>
    <row r="3">
      <c r="A3" s="8" t="inlineStr">
        <is>
          <t>Question metadata</t>
        </is>
      </c>
      <c r="B3" s="3" t="n"/>
      <c r="C3" s="3" t="n"/>
      <c r="D3" s="3" t="n"/>
      <c r="E3" s="3" t="n"/>
      <c r="F3" s="3" t="n"/>
      <c r="G3" s="3" t="n"/>
      <c r="H3" s="3" t="n"/>
      <c r="I3" s="3" t="n"/>
      <c r="J3" s="3" t="n"/>
    </row>
    <row r="4">
      <c r="A4" s="9" t="inlineStr">
        <is>
          <t>Question ID</t>
        </is>
      </c>
      <c r="B4" s="3" t="n">
        <v>24</v>
      </c>
      <c r="C4" s="3" t="n"/>
      <c r="D4" s="3" t="n"/>
      <c r="E4" s="3" t="n"/>
      <c r="F4" s="3" t="n"/>
      <c r="G4" s="3" t="n"/>
      <c r="H4" s="3" t="n"/>
      <c r="I4" s="3" t="n"/>
      <c r="J4" s="3" t="n"/>
    </row>
    <row r="5">
      <c r="A5" s="9" t="inlineStr">
        <is>
          <t>Topic</t>
        </is>
      </c>
      <c r="B5" s="3" t="inlineStr">
        <is>
          <t>Food delivery — which authority reviews</t>
        </is>
      </c>
      <c r="C5" s="3" t="n"/>
      <c r="D5" s="3" t="n"/>
      <c r="E5" s="3" t="n"/>
      <c r="F5" s="3" t="n"/>
      <c r="G5" s="3" t="n"/>
      <c r="H5" s="3" t="n"/>
      <c r="I5" s="3" t="n"/>
      <c r="J5" s="3" t="n"/>
    </row>
    <row r="6">
      <c r="A6" s="9" t="inlineStr">
        <is>
          <t>Scope</t>
        </is>
      </c>
      <c r="B6" s="3" t="inlineStr">
        <is>
          <t>EU + UK + ES</t>
        </is>
      </c>
      <c r="C6" s="3" t="n"/>
      <c r="D6" s="3" t="n"/>
      <c r="E6" s="3" t="n"/>
      <c r="F6" s="3" t="n"/>
      <c r="G6" s="3" t="n"/>
      <c r="H6" s="3" t="n"/>
      <c r="I6" s="3" t="n"/>
      <c r="J6" s="3" t="n"/>
    </row>
    <row r="7">
      <c r="A7" s="9" t="inlineStr">
        <is>
          <t>Original reviewer</t>
        </is>
      </c>
      <c r="B7" s="3" t="inlineStr">
        <is>
          <t>Carolina</t>
        </is>
      </c>
      <c r="C7" s="3" t="n"/>
      <c r="D7" s="3" t="n"/>
      <c r="E7" s="3" t="n"/>
      <c r="F7" s="3" t="n"/>
      <c r="G7" s="3" t="n"/>
      <c r="H7" s="3" t="n"/>
      <c r="I7" s="3" t="n"/>
      <c r="J7" s="3" t="n"/>
    </row>
    <row r="8">
      <c r="A8" s="9" t="inlineStr">
        <is>
          <t>Original status</t>
        </is>
      </c>
      <c r="B8" s="3" t="inlineStr">
        <is>
          <t>Approved</t>
        </is>
      </c>
      <c r="C8" s="3" t="n"/>
      <c r="D8" s="3" t="n"/>
      <c r="E8" s="3" t="n"/>
      <c r="F8" s="3" t="n"/>
      <c r="G8" s="3" t="n"/>
      <c r="H8" s="3" t="n"/>
      <c r="I8" s="3" t="n"/>
      <c r="J8" s="3" t="n"/>
    </row>
    <row r="9">
      <c r="A9" s="3" t="n"/>
      <c r="B9" s="3" t="n"/>
      <c r="C9" s="3" t="n"/>
      <c r="D9" s="3" t="n"/>
      <c r="E9" s="3" t="n"/>
      <c r="F9" s="3" t="n"/>
      <c r="G9" s="3" t="n"/>
      <c r="H9" s="3" t="n"/>
      <c r="I9" s="3" t="n"/>
      <c r="J9" s="3" t="n"/>
    </row>
    <row r="10" ht="45" customHeight="1">
      <c r="A10" s="9" t="inlineStr">
        <is>
          <t>Question</t>
        </is>
      </c>
      <c r="B10" s="3" t="inlineStr">
        <is>
          <t>Food-delivery transactions frequently fall below the EU Merger Regulation turnover thresholds yet raise cross-border concerns. In light of the CJEU's Illumina/Grail judgment restricting Article 22 upward referrals for deals that do not meet any national threshold, what mechanisms remain for the Commission to capture a below-threshold food-delivery 'killer acquisition'?</t>
        </is>
      </c>
      <c r="C10" s="3" t="n"/>
      <c r="D10" s="3" t="n"/>
      <c r="E10" s="3" t="n"/>
      <c r="F10" s="3" t="n"/>
      <c r="G10" s="3" t="n"/>
      <c r="H10" s="3" t="n"/>
      <c r="I10" s="3" t="n"/>
      <c r="J10" s="3" t="n"/>
    </row>
    <row r="11">
      <c r="A11" s="3" t="n"/>
      <c r="B11" s="3" t="n"/>
      <c r="C11" s="3" t="n"/>
      <c r="D11" s="3" t="n"/>
      <c r="E11" s="3" t="n"/>
      <c r="F11" s="3" t="n"/>
      <c r="G11" s="3" t="n"/>
      <c r="H11" s="3" t="n"/>
      <c r="I11" s="3" t="n"/>
      <c r="J11" s="3" t="n"/>
    </row>
    <row r="12">
      <c r="A12" s="3" t="n"/>
      <c r="B12" s="3" t="n"/>
      <c r="C12" s="3" t="n"/>
      <c r="D12" s="3" t="n"/>
      <c r="E12" s="3" t="n"/>
      <c r="F12" s="3" t="n"/>
      <c r="G12" s="3" t="n"/>
      <c r="H12" s="3" t="n"/>
      <c r="I12" s="3" t="n"/>
      <c r="J12" s="3" t="n"/>
    </row>
    <row r="13">
      <c r="A13" s="3" t="n"/>
      <c r="B13" s="3" t="n"/>
      <c r="C13" s="3" t="n"/>
      <c r="D13" s="3" t="n"/>
      <c r="E13" s="3" t="n"/>
      <c r="F13" s="3" t="n"/>
      <c r="G13" s="3" t="n"/>
      <c r="H13" s="3" t="n"/>
      <c r="I13" s="3" t="n"/>
      <c r="J13" s="3" t="n"/>
    </row>
    <row r="14">
      <c r="A14" s="8" t="inlineStr">
        <is>
          <t>Generated answer</t>
        </is>
      </c>
      <c r="B14" s="3" t="n"/>
      <c r="C14" s="3" t="n"/>
      <c r="D14" s="3" t="n"/>
      <c r="E14" s="3" t="n"/>
      <c r="F14" s="3" t="n"/>
      <c r="G14" s="3" t="n"/>
      <c r="H14" s="3" t="n"/>
      <c r="I14" s="3" t="n"/>
      <c r="J14" s="3" t="n"/>
    </row>
    <row r="15">
      <c r="A15" s="10" t="inlineStr">
        <is>
          <t>Paste the generated answer below.</t>
        </is>
      </c>
      <c r="B15" s="3" t="n"/>
      <c r="C15" s="3" t="n"/>
      <c r="D15" s="3" t="n"/>
      <c r="E15" s="3" t="n"/>
      <c r="F15" s="3" t="n"/>
      <c r="G15" s="3" t="n"/>
      <c r="H15" s="3" t="n"/>
      <c r="I15" s="3" t="n"/>
      <c r="J15" s="3" t="n"/>
    </row>
    <row r="16" ht="90" customHeight="1">
      <c r="A16" s="3" t="inlineStr"/>
      <c r="B16" s="3" t="n"/>
      <c r="C16" s="3" t="n"/>
      <c r="D16" s="3" t="n"/>
      <c r="E16" s="3" t="n"/>
      <c r="F16" s="3" t="n"/>
      <c r="G16" s="3" t="n"/>
      <c r="H16" s="3" t="n"/>
      <c r="I16" s="3" t="n"/>
      <c r="J16" s="3" t="n"/>
    </row>
    <row r="17" ht="30" customHeight="1">
      <c r="A17" s="3" t="n"/>
      <c r="B17" s="3" t="n"/>
      <c r="C17" s="3" t="n"/>
      <c r="D17" s="3" t="n"/>
      <c r="E17" s="3" t="n"/>
      <c r="F17" s="3" t="n"/>
      <c r="G17" s="3" t="n"/>
      <c r="H17" s="3" t="n"/>
      <c r="I17" s="3" t="n"/>
      <c r="J17" s="3" t="n"/>
    </row>
    <row r="18" ht="30" customHeight="1">
      <c r="A18" s="3" t="n"/>
      <c r="B18" s="3" t="n"/>
      <c r="C18" s="3" t="n"/>
      <c r="D18" s="3" t="n"/>
      <c r="E18" s="3" t="n"/>
      <c r="F18" s="3" t="n"/>
      <c r="G18" s="3" t="n"/>
      <c r="H18" s="3" t="n"/>
      <c r="I18" s="3" t="n"/>
      <c r="J18" s="3" t="n"/>
    </row>
    <row r="19">
      <c r="A19" s="9" t="inlineStr">
        <is>
          <t>Run ID</t>
        </is>
      </c>
      <c r="B19" s="3" t="inlineStr"/>
      <c r="C19" s="9" t="inlineStr">
        <is>
          <t>Run date</t>
        </is>
      </c>
      <c r="D19" s="3" t="inlineStr"/>
      <c r="E19" s="9" t="inlineStr">
        <is>
          <t>Model / prompt version</t>
        </is>
      </c>
      <c r="F19" s="3" t="inlineStr"/>
      <c r="G19" s="9" t="inlineStr">
        <is>
          <t>Corpus snapshot</t>
        </is>
      </c>
      <c r="H19" s="3" t="inlineStr"/>
      <c r="I19" s="3" t="n"/>
      <c r="J19" s="3" t="n"/>
    </row>
    <row r="20">
      <c r="A20" s="8" t="inlineStr">
        <is>
          <t>Retrieval set review</t>
        </is>
      </c>
      <c r="B20" s="3" t="n"/>
      <c r="C20" s="3" t="n"/>
      <c r="D20" s="3" t="n"/>
      <c r="E20" s="3" t="n"/>
      <c r="F20" s="3" t="n"/>
      <c r="G20" s="3" t="n"/>
      <c r="H20" s="3" t="n"/>
      <c r="I20" s="3" t="n"/>
      <c r="J20" s="3" t="n"/>
    </row>
    <row r="21">
      <c r="A21" s="11" t="inlineStr">
        <is>
          <t>Rank</t>
        </is>
      </c>
      <c r="B21" s="11" t="inlineStr">
        <is>
          <t>Retrieved source</t>
        </is>
      </c>
      <c r="C21" s="11" t="inlineStr">
        <is>
          <t>Source type</t>
        </is>
      </c>
      <c r="D21" s="11" t="inlineStr">
        <is>
          <t>Jurisdiction</t>
        </is>
      </c>
      <c r="E21" s="11" t="inlineStr">
        <is>
          <t>URL / Document ID</t>
        </is>
      </c>
      <c r="F21" s="11" t="inlineStr">
        <is>
          <t>Returned by engine?</t>
        </is>
      </c>
      <c r="G21" s="11" t="inlineStr">
        <is>
          <t>Required source?</t>
        </is>
      </c>
      <c r="H21" s="11" t="inlineStr">
        <is>
          <t>Trap?</t>
        </is>
      </c>
      <c r="I21" s="11" t="inlineStr">
        <is>
          <t>Expert verdict</t>
        </is>
      </c>
      <c r="J21" s="11" t="inlineStr">
        <is>
          <t>Notes</t>
        </is>
      </c>
    </row>
    <row r="22" ht="44" customHeight="1">
      <c r="A22" s="4" t="n">
        <v>1</v>
      </c>
      <c r="B22" s="4" t="n"/>
      <c r="C22" s="4" t="n"/>
      <c r="D22" s="4" t="n"/>
      <c r="E22" s="4" t="n"/>
      <c r="F22" s="4" t="n"/>
      <c r="G22" s="4" t="n"/>
      <c r="H22" s="4" t="n"/>
      <c r="I22" s="4" t="n"/>
      <c r="J22" s="4" t="n"/>
    </row>
    <row r="23" ht="44" customHeight="1">
      <c r="A23" s="4" t="n">
        <v>2</v>
      </c>
      <c r="B23" s="4" t="n"/>
      <c r="C23" s="4" t="n"/>
      <c r="D23" s="4" t="n"/>
      <c r="E23" s="4" t="n"/>
      <c r="F23" s="4" t="n"/>
      <c r="G23" s="4" t="n"/>
      <c r="H23" s="4" t="n"/>
      <c r="I23" s="4" t="n"/>
      <c r="J23" s="4" t="n"/>
    </row>
    <row r="24" ht="44" customHeight="1">
      <c r="A24" s="4" t="n">
        <v>3</v>
      </c>
      <c r="B24" s="4" t="n"/>
      <c r="C24" s="4" t="n"/>
      <c r="D24" s="4" t="n"/>
      <c r="E24" s="4" t="n"/>
      <c r="F24" s="4" t="n"/>
      <c r="G24" s="4" t="n"/>
      <c r="H24" s="4" t="n"/>
      <c r="I24" s="4" t="n"/>
      <c r="J24" s="4" t="n"/>
    </row>
    <row r="25" ht="44" customHeight="1">
      <c r="A25" s="4" t="n">
        <v>4</v>
      </c>
      <c r="B25" s="4" t="n"/>
      <c r="C25" s="4" t="n"/>
      <c r="D25" s="4" t="n"/>
      <c r="E25" s="4" t="n"/>
      <c r="F25" s="4" t="n"/>
      <c r="G25" s="4" t="n"/>
      <c r="H25" s="4" t="n"/>
      <c r="I25" s="4" t="n"/>
      <c r="J25" s="4" t="n"/>
    </row>
    <row r="26" ht="44" customHeight="1">
      <c r="A26" s="4" t="n">
        <v>5</v>
      </c>
      <c r="B26" s="4" t="n"/>
      <c r="C26" s="4" t="n"/>
      <c r="D26" s="4" t="n"/>
      <c r="E26" s="4" t="n"/>
      <c r="F26" s="4" t="n"/>
      <c r="G26" s="4" t="n"/>
      <c r="H26" s="4" t="n"/>
      <c r="I26" s="4" t="n"/>
      <c r="J26" s="4" t="n"/>
    </row>
    <row r="27" ht="44" customHeight="1">
      <c r="A27" s="4" t="n">
        <v>6</v>
      </c>
      <c r="B27" s="4" t="n"/>
      <c r="C27" s="4" t="n"/>
      <c r="D27" s="4" t="n"/>
      <c r="E27" s="4" t="n"/>
      <c r="F27" s="4" t="n"/>
      <c r="G27" s="4" t="n"/>
      <c r="H27" s="4" t="n"/>
      <c r="I27" s="4" t="n"/>
      <c r="J27" s="4" t="n"/>
    </row>
    <row r="28" ht="44" customHeight="1">
      <c r="A28" s="4" t="n">
        <v>7</v>
      </c>
      <c r="B28" s="4" t="n"/>
      <c r="C28" s="4" t="n"/>
      <c r="D28" s="4" t="n"/>
      <c r="E28" s="4" t="n"/>
      <c r="F28" s="4" t="n"/>
      <c r="G28" s="4" t="n"/>
      <c r="H28" s="4" t="n"/>
      <c r="I28" s="4" t="n"/>
      <c r="J28" s="4" t="n"/>
    </row>
    <row r="29" ht="44" customHeight="1">
      <c r="A29" s="4" t="n">
        <v>8</v>
      </c>
      <c r="B29" s="4" t="n"/>
      <c r="C29" s="4" t="n"/>
      <c r="D29" s="4" t="n"/>
      <c r="E29" s="4" t="n"/>
      <c r="F29" s="4" t="n"/>
      <c r="G29" s="4" t="n"/>
      <c r="H29" s="4" t="n"/>
      <c r="I29" s="4" t="n"/>
      <c r="J29" s="4" t="n"/>
    </row>
    <row r="30" ht="44" customHeight="1">
      <c r="A30" s="4" t="n">
        <v>9</v>
      </c>
      <c r="B30" s="4" t="n"/>
      <c r="C30" s="4" t="n"/>
      <c r="D30" s="4" t="n"/>
      <c r="E30" s="4" t="n"/>
      <c r="F30" s="4" t="n"/>
      <c r="G30" s="4" t="n"/>
      <c r="H30" s="4" t="n"/>
      <c r="I30" s="4" t="n"/>
      <c r="J30" s="4" t="n"/>
    </row>
    <row r="31" ht="44" customHeight="1">
      <c r="A31" s="4" t="n">
        <v>10</v>
      </c>
      <c r="B31" s="4" t="n"/>
      <c r="C31" s="4" t="n"/>
      <c r="D31" s="4" t="n"/>
      <c r="E31" s="4" t="n"/>
      <c r="F31" s="4" t="n"/>
      <c r="G31" s="4" t="n"/>
      <c r="H31" s="4" t="n"/>
      <c r="I31" s="4" t="n"/>
      <c r="J31" s="4" t="n"/>
    </row>
    <row r="32" ht="44" customHeight="1">
      <c r="A32" s="4" t="n">
        <v>11</v>
      </c>
      <c r="B32" s="4" t="n"/>
      <c r="C32" s="4" t="n"/>
      <c r="D32" s="4" t="n"/>
      <c r="E32" s="4" t="n"/>
      <c r="F32" s="4" t="n"/>
      <c r="G32" s="4" t="n"/>
      <c r="H32" s="4" t="n"/>
      <c r="I32" s="4" t="n"/>
      <c r="J32" s="4" t="n"/>
    </row>
    <row r="33" ht="44" customHeight="1">
      <c r="A33" s="4" t="n">
        <v>12</v>
      </c>
      <c r="B33" s="4" t="n"/>
      <c r="C33" s="4" t="n"/>
      <c r="D33" s="4" t="n"/>
      <c r="E33" s="4" t="n"/>
      <c r="F33" s="4" t="n"/>
      <c r="G33" s="4" t="n"/>
      <c r="H33" s="4" t="n"/>
      <c r="I33" s="4" t="n"/>
      <c r="J33" s="4" t="n"/>
    </row>
    <row r="34" ht="44" customHeight="1">
      <c r="A34" s="4" t="n">
        <v>13</v>
      </c>
      <c r="B34" s="4" t="n"/>
      <c r="C34" s="4" t="n"/>
      <c r="D34" s="4" t="n"/>
      <c r="E34" s="4" t="n"/>
      <c r="F34" s="4" t="n"/>
      <c r="G34" s="4" t="n"/>
      <c r="H34" s="4" t="n"/>
      <c r="I34" s="4" t="n"/>
      <c r="J34" s="4" t="n"/>
    </row>
    <row r="35" ht="44" customHeight="1">
      <c r="A35" s="4" t="n">
        <v>14</v>
      </c>
      <c r="B35" s="4" t="n"/>
      <c r="C35" s="4" t="n"/>
      <c r="D35" s="4" t="n"/>
      <c r="E35" s="4" t="n"/>
      <c r="F35" s="4" t="n"/>
      <c r="G35" s="4" t="n"/>
      <c r="H35" s="4" t="n"/>
      <c r="I35" s="4" t="n"/>
      <c r="J35" s="4" t="n"/>
    </row>
    <row r="36" ht="44" customHeight="1">
      <c r="A36" s="4" t="n">
        <v>15</v>
      </c>
      <c r="B36" s="4" t="n"/>
      <c r="C36" s="4" t="n"/>
      <c r="D36" s="4" t="n"/>
      <c r="E36" s="4" t="n"/>
      <c r="F36" s="4" t="n"/>
      <c r="G36" s="4" t="n"/>
      <c r="H36" s="4" t="n"/>
      <c r="I36" s="4" t="n"/>
      <c r="J36" s="4" t="n"/>
    </row>
    <row r="37">
      <c r="A37" s="3" t="n"/>
      <c r="B37" s="3" t="n"/>
      <c r="C37" s="3" t="n"/>
      <c r="D37" s="3" t="n"/>
      <c r="E37" s="3" t="n"/>
      <c r="F37" s="3" t="n"/>
      <c r="G37" s="3" t="n"/>
      <c r="H37" s="3" t="n"/>
      <c r="I37" s="3" t="n"/>
      <c r="J37" s="3" t="n"/>
    </row>
    <row r="38">
      <c r="A38" s="8" t="inlineStr">
        <is>
          <t>Claim-by-claim review</t>
        </is>
      </c>
      <c r="B38" s="3" t="n"/>
      <c r="C38" s="3" t="n"/>
      <c r="D38" s="3" t="n"/>
      <c r="E38" s="3" t="n"/>
      <c r="F38" s="3" t="n"/>
      <c r="G38" s="3" t="n"/>
      <c r="H38" s="3" t="n"/>
      <c r="I38" s="3" t="n"/>
      <c r="J38" s="3" t="n"/>
    </row>
    <row r="39">
      <c r="A39" s="11" t="inlineStr">
        <is>
          <t>Claim ID</t>
        </is>
      </c>
      <c r="B39" s="11" t="inlineStr">
        <is>
          <t>Claim from answer</t>
        </is>
      </c>
      <c r="C39" s="11" t="inlineStr">
        <is>
          <t>Citation used</t>
        </is>
      </c>
      <c r="D39" s="11" t="inlineStr">
        <is>
          <t>Expert verdict</t>
        </is>
      </c>
      <c r="E39" s="11" t="inlineStr">
        <is>
          <t>Issue type</t>
        </is>
      </c>
      <c r="F39" s="11" t="inlineStr">
        <is>
          <t>Cited passage / source note</t>
        </is>
      </c>
      <c r="G39" s="11" t="inlineStr">
        <is>
          <t>Required fix / comment</t>
        </is>
      </c>
      <c r="H39" s="11" t="inlineStr">
        <is>
          <t>Reviewer</t>
        </is>
      </c>
      <c r="I39" s="11" t="n"/>
      <c r="J39" s="11" t="n"/>
    </row>
    <row r="40" ht="54" customHeight="1">
      <c r="A40" s="4" t="n">
        <v>1</v>
      </c>
      <c r="B40" s="4" t="n"/>
      <c r="C40" s="4" t="n"/>
      <c r="D40" s="4" t="n"/>
      <c r="E40" s="4" t="n"/>
      <c r="F40" s="4" t="n"/>
      <c r="G40" s="4" t="n"/>
      <c r="H40" s="4" t="n"/>
      <c r="I40" s="3" t="n"/>
      <c r="J40" s="3" t="n"/>
    </row>
    <row r="41" ht="54" customHeight="1">
      <c r="A41" s="4" t="n">
        <v>2</v>
      </c>
      <c r="B41" s="4" t="n"/>
      <c r="C41" s="4" t="n"/>
      <c r="D41" s="4" t="n"/>
      <c r="E41" s="4" t="n"/>
      <c r="F41" s="4" t="n"/>
      <c r="G41" s="4" t="n"/>
      <c r="H41" s="4" t="n"/>
      <c r="I41" s="3" t="n"/>
      <c r="J41" s="3" t="n"/>
    </row>
    <row r="42" ht="54" customHeight="1">
      <c r="A42" s="4" t="n">
        <v>3</v>
      </c>
      <c r="B42" s="4" t="n"/>
      <c r="C42" s="4" t="n"/>
      <c r="D42" s="4" t="n"/>
      <c r="E42" s="4" t="n"/>
      <c r="F42" s="4" t="n"/>
      <c r="G42" s="4" t="n"/>
      <c r="H42" s="4" t="n"/>
      <c r="I42" s="3" t="n"/>
      <c r="J42" s="3" t="n"/>
    </row>
    <row r="43" ht="54" customHeight="1">
      <c r="A43" s="4" t="n">
        <v>4</v>
      </c>
      <c r="B43" s="4" t="n"/>
      <c r="C43" s="4" t="n"/>
      <c r="D43" s="4" t="n"/>
      <c r="E43" s="4" t="n"/>
      <c r="F43" s="4" t="n"/>
      <c r="G43" s="4" t="n"/>
      <c r="H43" s="4" t="n"/>
      <c r="I43" s="3" t="n"/>
      <c r="J43" s="3" t="n"/>
    </row>
    <row r="44" ht="54" customHeight="1">
      <c r="A44" s="4" t="n">
        <v>5</v>
      </c>
      <c r="B44" s="4" t="n"/>
      <c r="C44" s="4" t="n"/>
      <c r="D44" s="4" t="n"/>
      <c r="E44" s="4" t="n"/>
      <c r="F44" s="4" t="n"/>
      <c r="G44" s="4" t="n"/>
      <c r="H44" s="4" t="n"/>
      <c r="I44" s="3" t="n"/>
      <c r="J44" s="3" t="n"/>
    </row>
    <row r="45" ht="54" customHeight="1">
      <c r="A45" s="4" t="n">
        <v>6</v>
      </c>
      <c r="B45" s="4" t="n"/>
      <c r="C45" s="4" t="n"/>
      <c r="D45" s="4" t="n"/>
      <c r="E45" s="4" t="n"/>
      <c r="F45" s="4" t="n"/>
      <c r="G45" s="4" t="n"/>
      <c r="H45" s="4" t="n"/>
      <c r="I45" s="3" t="n"/>
      <c r="J45" s="3" t="n"/>
    </row>
    <row r="46" ht="54" customHeight="1">
      <c r="A46" s="4" t="n">
        <v>7</v>
      </c>
      <c r="B46" s="4" t="n"/>
      <c r="C46" s="4" t="n"/>
      <c r="D46" s="4" t="n"/>
      <c r="E46" s="4" t="n"/>
      <c r="F46" s="4" t="n"/>
      <c r="G46" s="4" t="n"/>
      <c r="H46" s="4" t="n"/>
      <c r="I46" s="3" t="n"/>
      <c r="J46" s="3" t="n"/>
    </row>
    <row r="47" ht="54" customHeight="1">
      <c r="A47" s="4" t="n">
        <v>8</v>
      </c>
      <c r="B47" s="4" t="n"/>
      <c r="C47" s="4" t="n"/>
      <c r="D47" s="4" t="n"/>
      <c r="E47" s="4" t="n"/>
      <c r="F47" s="4" t="n"/>
      <c r="G47" s="4" t="n"/>
      <c r="H47" s="4" t="n"/>
      <c r="I47" s="3" t="n"/>
      <c r="J47" s="3" t="n"/>
    </row>
    <row r="48" ht="54" customHeight="1">
      <c r="A48" s="4" t="n">
        <v>9</v>
      </c>
      <c r="B48" s="4" t="n"/>
      <c r="C48" s="4" t="n"/>
      <c r="D48" s="4" t="n"/>
      <c r="E48" s="4" t="n"/>
      <c r="F48" s="4" t="n"/>
      <c r="G48" s="4" t="n"/>
      <c r="H48" s="4" t="n"/>
      <c r="I48" s="3" t="n"/>
      <c r="J48" s="3" t="n"/>
    </row>
    <row r="49" ht="54" customHeight="1">
      <c r="A49" s="4" t="n">
        <v>10</v>
      </c>
      <c r="B49" s="4" t="n"/>
      <c r="C49" s="4" t="n"/>
      <c r="D49" s="4" t="n"/>
      <c r="E49" s="4" t="n"/>
      <c r="F49" s="4" t="n"/>
      <c r="G49" s="4" t="n"/>
      <c r="H49" s="4" t="n"/>
      <c r="I49" s="3" t="n"/>
      <c r="J49" s="3" t="n"/>
    </row>
    <row r="50" ht="54" customHeight="1">
      <c r="A50" s="4" t="n">
        <v>11</v>
      </c>
      <c r="B50" s="4" t="n"/>
      <c r="C50" s="4" t="n"/>
      <c r="D50" s="4" t="n"/>
      <c r="E50" s="4" t="n"/>
      <c r="F50" s="4" t="n"/>
      <c r="G50" s="4" t="n"/>
      <c r="H50" s="4" t="n"/>
      <c r="I50" s="3" t="n"/>
      <c r="J50" s="3" t="n"/>
    </row>
    <row r="51" ht="54" customHeight="1">
      <c r="A51" s="4" t="n">
        <v>12</v>
      </c>
      <c r="B51" s="4" t="n"/>
      <c r="C51" s="4" t="n"/>
      <c r="D51" s="4" t="n"/>
      <c r="E51" s="4" t="n"/>
      <c r="F51" s="4" t="n"/>
      <c r="G51" s="4" t="n"/>
      <c r="H51" s="4" t="n"/>
      <c r="I51" s="3" t="n"/>
      <c r="J51" s="3" t="n"/>
    </row>
    <row r="52" ht="54" customHeight="1">
      <c r="A52" s="4" t="n">
        <v>13</v>
      </c>
      <c r="B52" s="4" t="n"/>
      <c r="C52" s="4" t="n"/>
      <c r="D52" s="4" t="n"/>
      <c r="E52" s="4" t="n"/>
      <c r="F52" s="4" t="n"/>
      <c r="G52" s="4" t="n"/>
      <c r="H52" s="4" t="n"/>
      <c r="I52" s="3" t="n"/>
      <c r="J52" s="3" t="n"/>
    </row>
    <row r="53" ht="54" customHeight="1">
      <c r="A53" s="4" t="n">
        <v>14</v>
      </c>
      <c r="B53" s="4" t="n"/>
      <c r="C53" s="4" t="n"/>
      <c r="D53" s="4" t="n"/>
      <c r="E53" s="4" t="n"/>
      <c r="F53" s="4" t="n"/>
      <c r="G53" s="4" t="n"/>
      <c r="H53" s="4" t="n"/>
      <c r="I53" s="3" t="n"/>
      <c r="J53" s="3" t="n"/>
    </row>
    <row r="54" ht="54" customHeight="1">
      <c r="A54" s="4" t="n">
        <v>15</v>
      </c>
      <c r="B54" s="4" t="n"/>
      <c r="C54" s="4" t="n"/>
      <c r="D54" s="4" t="n"/>
      <c r="E54" s="4" t="n"/>
      <c r="F54" s="4" t="n"/>
      <c r="G54" s="4" t="n"/>
      <c r="H54" s="4" t="n"/>
      <c r="I54" s="3" t="n"/>
      <c r="J54" s="3" t="n"/>
    </row>
    <row r="55" ht="54" customHeight="1">
      <c r="A55" s="4" t="n">
        <v>16</v>
      </c>
      <c r="B55" s="4" t="n"/>
      <c r="C55" s="4" t="n"/>
      <c r="D55" s="4" t="n"/>
      <c r="E55" s="4" t="n"/>
      <c r="F55" s="4" t="n"/>
      <c r="G55" s="4" t="n"/>
      <c r="H55" s="4" t="n"/>
      <c r="I55" s="3" t="n"/>
      <c r="J55" s="3" t="n"/>
    </row>
    <row r="56" ht="54" customHeight="1">
      <c r="A56" s="4" t="n">
        <v>17</v>
      </c>
      <c r="B56" s="4" t="n"/>
      <c r="C56" s="4" t="n"/>
      <c r="D56" s="4" t="n"/>
      <c r="E56" s="4" t="n"/>
      <c r="F56" s="4" t="n"/>
      <c r="G56" s="4" t="n"/>
      <c r="H56" s="4" t="n"/>
      <c r="I56" s="3" t="n"/>
      <c r="J56" s="3" t="n"/>
    </row>
    <row r="57" ht="54" customHeight="1">
      <c r="A57" s="4" t="n">
        <v>18</v>
      </c>
      <c r="B57" s="4" t="n"/>
      <c r="C57" s="4" t="n"/>
      <c r="D57" s="4" t="n"/>
      <c r="E57" s="4" t="n"/>
      <c r="F57" s="4" t="n"/>
      <c r="G57" s="4" t="n"/>
      <c r="H57" s="4" t="n"/>
      <c r="I57" s="3" t="n"/>
      <c r="J57" s="3" t="n"/>
    </row>
    <row r="58" ht="54" customHeight="1">
      <c r="A58" s="4" t="n">
        <v>19</v>
      </c>
      <c r="B58" s="4" t="n"/>
      <c r="C58" s="4" t="n"/>
      <c r="D58" s="4" t="n"/>
      <c r="E58" s="4" t="n"/>
      <c r="F58" s="4" t="n"/>
      <c r="G58" s="4" t="n"/>
      <c r="H58" s="4" t="n"/>
      <c r="I58" s="3" t="n"/>
      <c r="J58" s="3" t="n"/>
    </row>
    <row r="59" ht="54" customHeight="1">
      <c r="A59" s="4" t="n">
        <v>20</v>
      </c>
      <c r="B59" s="4" t="n"/>
      <c r="C59" s="4" t="n"/>
      <c r="D59" s="4" t="n"/>
      <c r="E59" s="4" t="n"/>
      <c r="F59" s="4" t="n"/>
      <c r="G59" s="4" t="n"/>
      <c r="H59" s="4" t="n"/>
      <c r="I59" s="3" t="n"/>
      <c r="J59" s="3" t="n"/>
    </row>
    <row r="60">
      <c r="A60" s="3" t="n"/>
      <c r="B60" s="3" t="n"/>
      <c r="C60" s="3" t="n"/>
      <c r="D60" s="3" t="n"/>
      <c r="E60" s="3" t="n"/>
      <c r="F60" s="3" t="n"/>
      <c r="G60" s="3" t="n"/>
      <c r="H60" s="3" t="n"/>
      <c r="I60" s="3" t="n"/>
      <c r="J60" s="3" t="n"/>
    </row>
    <row r="61">
      <c r="A61" s="8" t="inlineStr">
        <is>
          <t>Final expert verdict</t>
        </is>
      </c>
      <c r="B61" s="3" t="n"/>
      <c r="C61" s="3" t="n"/>
      <c r="D61" s="3" t="n"/>
      <c r="E61" s="3" t="n"/>
      <c r="F61" s="3" t="n"/>
      <c r="G61" s="3" t="n"/>
      <c r="H61" s="3" t="n"/>
      <c r="I61" s="3" t="n"/>
      <c r="J61" s="3" t="n"/>
    </row>
    <row r="62">
      <c r="A62" s="12" t="inlineStr">
        <is>
          <t>Is the answer acceptable?</t>
        </is>
      </c>
      <c r="B62" s="4" t="inlineStr"/>
      <c r="C62" s="4" t="n"/>
      <c r="D62" s="4" t="n"/>
      <c r="E62" s="4" t="n"/>
      <c r="F62" s="4" t="n"/>
      <c r="G62" s="4" t="n"/>
      <c r="H62" s="4" t="n"/>
      <c r="I62" s="3" t="n"/>
      <c r="J62" s="3" t="n"/>
    </row>
    <row r="63" ht="54" customHeight="1">
      <c r="A63" s="12" t="inlineStr">
        <is>
          <t>Overall comment / required fixes</t>
        </is>
      </c>
      <c r="B63" s="4" t="n"/>
      <c r="C63" s="4" t="n"/>
      <c r="D63" s="4" t="n"/>
      <c r="E63" s="4" t="n"/>
      <c r="F63" s="4" t="n"/>
      <c r="G63" s="4" t="n"/>
      <c r="H63" s="4" t="n"/>
      <c r="I63" s="3" t="n"/>
      <c r="J63" s="3" t="n"/>
    </row>
    <row r="64">
      <c r="A64" s="4" t="n"/>
      <c r="B64" s="4" t="n"/>
      <c r="C64" s="4" t="n"/>
      <c r="D64" s="4" t="n"/>
      <c r="E64" s="4" t="n"/>
      <c r="F64" s="4" t="n"/>
      <c r="G64" s="4" t="n"/>
      <c r="H64" s="4" t="n"/>
      <c r="I64" s="3" t="n"/>
      <c r="J64" s="3" t="n"/>
    </row>
    <row r="65">
      <c r="A65" s="12" t="inlineStr">
        <is>
          <t>Missing key sources?</t>
        </is>
      </c>
      <c r="B65" s="4" t="n"/>
      <c r="C65" s="4" t="n"/>
      <c r="D65" s="4" t="n"/>
      <c r="E65" s="4" t="n"/>
      <c r="F65" s="4" t="n"/>
      <c r="G65" s="4" t="n"/>
      <c r="H65" s="4" t="n"/>
      <c r="I65" s="3" t="n"/>
      <c r="J65" s="3" t="n"/>
    </row>
    <row r="66">
      <c r="A66" s="12" t="inlineStr">
        <is>
          <t>Review completed?</t>
        </is>
      </c>
      <c r="B66" s="4" t="inlineStr"/>
      <c r="C66" s="4" t="n"/>
      <c r="D66" s="4" t="n"/>
      <c r="E66" s="4" t="n"/>
      <c r="F66" s="4" t="n"/>
      <c r="G66" s="4" t="n"/>
      <c r="H66" s="4" t="n"/>
      <c r="I66" s="3" t="n"/>
      <c r="J66" s="3" t="n"/>
    </row>
    <row r="67">
      <c r="A67" s="12" t="inlineStr">
        <is>
          <t>Reviewer</t>
        </is>
      </c>
      <c r="B67" s="4" t="n"/>
      <c r="C67" s="12" t="inlineStr">
        <is>
          <t>Review date</t>
        </is>
      </c>
      <c r="D67" s="5" t="inlineStr"/>
      <c r="E67" s="4" t="n"/>
      <c r="F67" s="4" t="n"/>
      <c r="G67" s="4" t="n"/>
      <c r="H67" s="4" t="n"/>
      <c r="I67" s="3" t="n"/>
      <c r="J67" s="3" t="n"/>
    </row>
    <row r="68">
      <c r="A68" s="3" t="n"/>
      <c r="B68" s="3" t="n"/>
      <c r="C68" s="3" t="n"/>
      <c r="D68" s="3" t="n"/>
      <c r="E68" s="3" t="n"/>
      <c r="F68" s="3" t="n"/>
      <c r="G68" s="3" t="n"/>
      <c r="H68" s="3" t="n"/>
      <c r="I68" s="3" t="n"/>
      <c r="J68" s="3" t="n"/>
    </row>
    <row r="69">
      <c r="A69" s="8" t="inlineStr">
        <is>
          <t>Original source notes</t>
        </is>
      </c>
      <c r="B69" s="3" t="n"/>
      <c r="C69" s="3" t="n"/>
      <c r="D69" s="3" t="n"/>
      <c r="E69" s="3" t="n"/>
      <c r="F69" s="3" t="n"/>
      <c r="G69" s="3" t="n"/>
      <c r="H69" s="3" t="n"/>
      <c r="I69" s="3" t="n"/>
      <c r="J69" s="3" t="n"/>
    </row>
    <row r="70">
      <c r="A70" s="12" t="inlineStr">
        <is>
          <t>WAB notes</t>
        </is>
      </c>
      <c r="B70" s="4" t="inlineStr"/>
      <c r="C70" s="4" t="n"/>
      <c r="D70" s="4" t="n"/>
      <c r="E70" s="4" t="n"/>
      <c r="F70" s="4" t="n"/>
      <c r="G70" s="4" t="n"/>
      <c r="H70" s="4" t="n"/>
      <c r="I70" s="3" t="n"/>
      <c r="J70" s="3" t="n"/>
    </row>
    <row r="71" ht="54" customHeight="1">
      <c r="A71" s="12" t="inlineStr">
        <is>
          <t>Reviewer notes from question approval</t>
        </is>
      </c>
      <c r="B71" s="4" t="inlineStr">
        <is>
          <t>questions to be replaced with that one: "Food-delivery transactions frequently fall below the EU Merger Regulation turnover thresholds yet raise cross-border concerns. In light of the CJEU's Illumina/Grail judgment restricting Article 22 upward referrals for deals that do not meet any national threshold, what mechanisms remain for the Commission to capture a below-threshold food-delivery 'killer acquisition'?"</t>
        </is>
      </c>
      <c r="C71" s="4" t="n"/>
      <c r="D71" s="4" t="n"/>
      <c r="E71" s="4" t="n"/>
      <c r="F71" s="4" t="n"/>
      <c r="G71" s="4" t="n"/>
      <c r="H71" s="4" t="n"/>
      <c r="I71" s="3" t="n"/>
      <c r="J71" s="3" t="n"/>
    </row>
    <row r="72">
      <c r="A72" s="4" t="n"/>
      <c r="B72" s="4" t="n"/>
      <c r="C72" s="4" t="n"/>
      <c r="D72" s="4" t="n"/>
      <c r="E72" s="4" t="n"/>
      <c r="F72" s="4" t="n"/>
      <c r="G72" s="4" t="n"/>
      <c r="H72" s="4" t="n"/>
      <c r="I72" s="3" t="n"/>
      <c r="J72" s="3" t="n"/>
    </row>
  </sheetData>
  <autoFilter ref="A21:J36"/>
  <mergeCells count="20">
    <mergeCell ref="B65:H65"/>
    <mergeCell ref="B71:H72"/>
    <mergeCell ref="B6:H6"/>
    <mergeCell ref="A20:J20"/>
    <mergeCell ref="A1:H1"/>
    <mergeCell ref="B5:H5"/>
    <mergeCell ref="A61:H61"/>
    <mergeCell ref="A69:H69"/>
    <mergeCell ref="B4:H4"/>
    <mergeCell ref="B62:H62"/>
    <mergeCell ref="B7:H7"/>
    <mergeCell ref="B66:H66"/>
    <mergeCell ref="A3:H3"/>
    <mergeCell ref="A16:H18"/>
    <mergeCell ref="B70:H70"/>
    <mergeCell ref="A14:H14"/>
    <mergeCell ref="B63:H64"/>
    <mergeCell ref="B8:H8"/>
    <mergeCell ref="B10:H12"/>
    <mergeCell ref="A38:H38"/>
  </mergeCells>
  <dataValidations count="9">
    <dataValidation sqref="C22:C36" showDropDown="0" showInputMessage="0" showErrorMessage="0" allowBlank="1" type="list">
      <formula1>=Lists!$F$2:$F$5</formula1>
    </dataValidation>
    <dataValidation sqref="F22:F36" showDropDown="0" showInputMessage="0" showErrorMessage="0" allowBlank="1" type="list">
      <formula1>=Lists!$G$2:$G$4</formula1>
    </dataValidation>
    <dataValidation sqref="G22:G36" showDropDown="0" showInputMessage="0" showErrorMessage="0" allowBlank="1" type="list">
      <formula1>=Lists!$G$2:$G$4</formula1>
    </dataValidation>
    <dataValidation sqref="H22:H36" showDropDown="0" showInputMessage="0" showErrorMessage="0" allowBlank="1" type="list">
      <formula1>=Lists!$G$2:$G$4</formula1>
    </dataValidation>
    <dataValidation sqref="I22:I36" showDropDown="0" showInputMessage="0" showErrorMessage="0" allowBlank="1" type="list">
      <formula1>=Lists!$H$2:$H$6</formula1>
    </dataValidation>
    <dataValidation sqref="D40:D59" showDropDown="0" showInputMessage="0" showErrorMessage="0" allowBlank="1" type="list">
      <formula1>=Lists!$D$2:$D$7</formula1>
    </dataValidation>
    <dataValidation sqref="E40:E59" showDropDown="0" showInputMessage="0" showErrorMessage="0" allowBlank="1" type="list">
      <formula1>=Lists!$E$2:$E$8</formula1>
    </dataValidation>
    <dataValidation sqref="B62" showDropDown="0" showInputMessage="0" showErrorMessage="0" allowBlank="1" type="list">
      <formula1>=Lists!$C$2:$C$4</formula1>
    </dataValidation>
    <dataValidation sqref="B66" showDropDown="0" showInputMessage="0" showErrorMessage="0" allowBlank="1" type="list">
      <formula1>=Lists!$A$2:$A$3</formula1>
    </dataValidation>
  </dataValidations>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J72"/>
  <sheetViews>
    <sheetView showGridLines="0" workbookViewId="0">
      <pane ySplit="21" topLeftCell="A22" activePane="bottomLeft" state="frozen"/>
      <selection pane="bottomLeft" activeCell="A1" sqref="A1"/>
    </sheetView>
  </sheetViews>
  <sheetFormatPr baseColWidth="8" defaultRowHeight="15"/>
  <cols>
    <col width="12" customWidth="1" min="1" max="1"/>
    <col width="34" customWidth="1" min="2" max="2"/>
    <col width="22" customWidth="1" min="3" max="3"/>
    <col width="18" customWidth="1" min="4" max="4"/>
    <col width="20" customWidth="1" min="5" max="5"/>
    <col width="30" customWidth="1" min="6" max="6"/>
    <col width="34" customWidth="1" min="7" max="7"/>
    <col width="18" customWidth="1" min="8" max="8"/>
    <col width="18" customWidth="1" min="9" max="9"/>
    <col width="30" customWidth="1" min="10" max="10"/>
  </cols>
  <sheetData>
    <row r="1" ht="28" customHeight="1">
      <c r="A1" s="6" t="inlineStr">
        <is>
          <t>Q25 — Expert Review</t>
        </is>
      </c>
      <c r="B1" s="3" t="n"/>
      <c r="C1" s="3" t="n"/>
      <c r="D1" s="3" t="n"/>
      <c r="E1" s="3" t="n"/>
      <c r="F1" s="3" t="n"/>
      <c r="G1" s="3" t="n"/>
      <c r="H1" s="3" t="n"/>
      <c r="I1" s="3" t="n"/>
      <c r="J1" s="3" t="n"/>
    </row>
    <row r="2">
      <c r="A2" s="3" t="n"/>
      <c r="B2" s="3" t="n"/>
      <c r="C2" s="3" t="n"/>
      <c r="D2" s="3" t="n"/>
      <c r="E2" s="3" t="n"/>
      <c r="F2" s="3" t="n"/>
      <c r="G2" s="3" t="n"/>
      <c r="H2" s="3" t="n"/>
      <c r="I2" s="3" t="n"/>
      <c r="J2" s="3" t="n"/>
    </row>
    <row r="3">
      <c r="A3" s="8" t="inlineStr">
        <is>
          <t>Question metadata</t>
        </is>
      </c>
      <c r="B3" s="3" t="n"/>
      <c r="C3" s="3" t="n"/>
      <c r="D3" s="3" t="n"/>
      <c r="E3" s="3" t="n"/>
      <c r="F3" s="3" t="n"/>
      <c r="G3" s="3" t="n"/>
      <c r="H3" s="3" t="n"/>
      <c r="I3" s="3" t="n"/>
      <c r="J3" s="3" t="n"/>
    </row>
    <row r="4">
      <c r="A4" s="9" t="inlineStr">
        <is>
          <t>Question ID</t>
        </is>
      </c>
      <c r="B4" s="3" t="n">
        <v>25</v>
      </c>
      <c r="C4" s="3" t="n"/>
      <c r="D4" s="3" t="n"/>
      <c r="E4" s="3" t="n"/>
      <c r="F4" s="3" t="n"/>
      <c r="G4" s="3" t="n"/>
      <c r="H4" s="3" t="n"/>
      <c r="I4" s="3" t="n"/>
      <c r="J4" s="3" t="n"/>
    </row>
    <row r="5">
      <c r="A5" s="9" t="inlineStr">
        <is>
          <t>Topic</t>
        </is>
      </c>
      <c r="B5" s="3" t="inlineStr">
        <is>
          <t>Dawn raids — legal professional privilege</t>
        </is>
      </c>
      <c r="C5" s="3" t="n"/>
      <c r="D5" s="3" t="n"/>
      <c r="E5" s="3" t="n"/>
      <c r="F5" s="3" t="n"/>
      <c r="G5" s="3" t="n"/>
      <c r="H5" s="3" t="n"/>
      <c r="I5" s="3" t="n"/>
      <c r="J5" s="3" t="n"/>
    </row>
    <row r="6">
      <c r="A6" s="9" t="inlineStr">
        <is>
          <t>Scope</t>
        </is>
      </c>
      <c r="B6" s="3" t="inlineStr">
        <is>
          <t>EU</t>
        </is>
      </c>
      <c r="C6" s="3" t="n"/>
      <c r="D6" s="3" t="n"/>
      <c r="E6" s="3" t="n"/>
      <c r="F6" s="3" t="n"/>
      <c r="G6" s="3" t="n"/>
      <c r="H6" s="3" t="n"/>
      <c r="I6" s="3" t="n"/>
      <c r="J6" s="3" t="n"/>
    </row>
    <row r="7">
      <c r="A7" s="9" t="inlineStr">
        <is>
          <t>Original reviewer</t>
        </is>
      </c>
      <c r="B7" s="3" t="inlineStr">
        <is>
          <t>Carolina</t>
        </is>
      </c>
      <c r="C7" s="3" t="n"/>
      <c r="D7" s="3" t="n"/>
      <c r="E7" s="3" t="n"/>
      <c r="F7" s="3" t="n"/>
      <c r="G7" s="3" t="n"/>
      <c r="H7" s="3" t="n"/>
      <c r="I7" s="3" t="n"/>
      <c r="J7" s="3" t="n"/>
    </row>
    <row r="8">
      <c r="A8" s="9" t="inlineStr">
        <is>
          <t>Original status</t>
        </is>
      </c>
      <c r="B8" s="3" t="inlineStr">
        <is>
          <t>Approved</t>
        </is>
      </c>
      <c r="C8" s="3" t="n"/>
      <c r="D8" s="3" t="n"/>
      <c r="E8" s="3" t="n"/>
      <c r="F8" s="3" t="n"/>
      <c r="G8" s="3" t="n"/>
      <c r="H8" s="3" t="n"/>
      <c r="I8" s="3" t="n"/>
      <c r="J8" s="3" t="n"/>
    </row>
    <row r="9">
      <c r="A9" s="3" t="n"/>
      <c r="B9" s="3" t="n"/>
      <c r="C9" s="3" t="n"/>
      <c r="D9" s="3" t="n"/>
      <c r="E9" s="3" t="n"/>
      <c r="F9" s="3" t="n"/>
      <c r="G9" s="3" t="n"/>
      <c r="H9" s="3" t="n"/>
      <c r="I9" s="3" t="n"/>
      <c r="J9" s="3" t="n"/>
    </row>
    <row r="10" ht="45" customHeight="1">
      <c r="A10" s="9" t="inlineStr">
        <is>
          <t>Question</t>
        </is>
      </c>
      <c r="B10" s="3" t="inlineStr">
        <is>
          <t>Does legal professional privilege in EU competition law cover advice from a company's own in-house lawyers? How have the courts justified where the line falls, and what does that mean in practice during an inspection?</t>
        </is>
      </c>
      <c r="C10" s="3" t="n"/>
      <c r="D10" s="3" t="n"/>
      <c r="E10" s="3" t="n"/>
      <c r="F10" s="3" t="n"/>
      <c r="G10" s="3" t="n"/>
      <c r="H10" s="3" t="n"/>
      <c r="I10" s="3" t="n"/>
      <c r="J10" s="3" t="n"/>
    </row>
    <row r="11">
      <c r="A11" s="3" t="n"/>
      <c r="B11" s="3" t="n"/>
      <c r="C11" s="3" t="n"/>
      <c r="D11" s="3" t="n"/>
      <c r="E11" s="3" t="n"/>
      <c r="F11" s="3" t="n"/>
      <c r="G11" s="3" t="n"/>
      <c r="H11" s="3" t="n"/>
      <c r="I11" s="3" t="n"/>
      <c r="J11" s="3" t="n"/>
    </row>
    <row r="12">
      <c r="A12" s="3" t="n"/>
      <c r="B12" s="3" t="n"/>
      <c r="C12" s="3" t="n"/>
      <c r="D12" s="3" t="n"/>
      <c r="E12" s="3" t="n"/>
      <c r="F12" s="3" t="n"/>
      <c r="G12" s="3" t="n"/>
      <c r="H12" s="3" t="n"/>
      <c r="I12" s="3" t="n"/>
      <c r="J12" s="3" t="n"/>
    </row>
    <row r="13">
      <c r="A13" s="3" t="n"/>
      <c r="B13" s="3" t="n"/>
      <c r="C13" s="3" t="n"/>
      <c r="D13" s="3" t="n"/>
      <c r="E13" s="3" t="n"/>
      <c r="F13" s="3" t="n"/>
      <c r="G13" s="3" t="n"/>
      <c r="H13" s="3" t="n"/>
      <c r="I13" s="3" t="n"/>
      <c r="J13" s="3" t="n"/>
    </row>
    <row r="14">
      <c r="A14" s="8" t="inlineStr">
        <is>
          <t>Generated answer</t>
        </is>
      </c>
      <c r="B14" s="3" t="n"/>
      <c r="C14" s="3" t="n"/>
      <c r="D14" s="3" t="n"/>
      <c r="E14" s="3" t="n"/>
      <c r="F14" s="3" t="n"/>
      <c r="G14" s="3" t="n"/>
      <c r="H14" s="3" t="n"/>
      <c r="I14" s="3" t="n"/>
      <c r="J14" s="3" t="n"/>
    </row>
    <row r="15">
      <c r="A15" s="10" t="inlineStr">
        <is>
          <t>Paste the generated answer below.</t>
        </is>
      </c>
      <c r="B15" s="3" t="n"/>
      <c r="C15" s="3" t="n"/>
      <c r="D15" s="3" t="n"/>
      <c r="E15" s="3" t="n"/>
      <c r="F15" s="3" t="n"/>
      <c r="G15" s="3" t="n"/>
      <c r="H15" s="3" t="n"/>
      <c r="I15" s="3" t="n"/>
      <c r="J15" s="3" t="n"/>
    </row>
    <row r="16" ht="90" customHeight="1">
      <c r="A16" s="3" t="inlineStr"/>
      <c r="B16" s="3" t="n"/>
      <c r="C16" s="3" t="n"/>
      <c r="D16" s="3" t="n"/>
      <c r="E16" s="3" t="n"/>
      <c r="F16" s="3" t="n"/>
      <c r="G16" s="3" t="n"/>
      <c r="H16" s="3" t="n"/>
      <c r="I16" s="3" t="n"/>
      <c r="J16" s="3" t="n"/>
    </row>
    <row r="17" ht="30" customHeight="1">
      <c r="A17" s="3" t="n"/>
      <c r="B17" s="3" t="n"/>
      <c r="C17" s="3" t="n"/>
      <c r="D17" s="3" t="n"/>
      <c r="E17" s="3" t="n"/>
      <c r="F17" s="3" t="n"/>
      <c r="G17" s="3" t="n"/>
      <c r="H17" s="3" t="n"/>
      <c r="I17" s="3" t="n"/>
      <c r="J17" s="3" t="n"/>
    </row>
    <row r="18" ht="30" customHeight="1">
      <c r="A18" s="3" t="n"/>
      <c r="B18" s="3" t="n"/>
      <c r="C18" s="3" t="n"/>
      <c r="D18" s="3" t="n"/>
      <c r="E18" s="3" t="n"/>
      <c r="F18" s="3" t="n"/>
      <c r="G18" s="3" t="n"/>
      <c r="H18" s="3" t="n"/>
      <c r="I18" s="3" t="n"/>
      <c r="J18" s="3" t="n"/>
    </row>
    <row r="19">
      <c r="A19" s="9" t="inlineStr">
        <is>
          <t>Run ID</t>
        </is>
      </c>
      <c r="B19" s="3" t="inlineStr"/>
      <c r="C19" s="9" t="inlineStr">
        <is>
          <t>Run date</t>
        </is>
      </c>
      <c r="D19" s="3" t="inlineStr"/>
      <c r="E19" s="9" t="inlineStr">
        <is>
          <t>Model / prompt version</t>
        </is>
      </c>
      <c r="F19" s="3" t="inlineStr"/>
      <c r="G19" s="9" t="inlineStr">
        <is>
          <t>Corpus snapshot</t>
        </is>
      </c>
      <c r="H19" s="3" t="inlineStr"/>
      <c r="I19" s="3" t="n"/>
      <c r="J19" s="3" t="n"/>
    </row>
    <row r="20">
      <c r="A20" s="8" t="inlineStr">
        <is>
          <t>Retrieval set review</t>
        </is>
      </c>
      <c r="B20" s="3" t="n"/>
      <c r="C20" s="3" t="n"/>
      <c r="D20" s="3" t="n"/>
      <c r="E20" s="3" t="n"/>
      <c r="F20" s="3" t="n"/>
      <c r="G20" s="3" t="n"/>
      <c r="H20" s="3" t="n"/>
      <c r="I20" s="3" t="n"/>
      <c r="J20" s="3" t="n"/>
    </row>
    <row r="21">
      <c r="A21" s="11" t="inlineStr">
        <is>
          <t>Rank</t>
        </is>
      </c>
      <c r="B21" s="11" t="inlineStr">
        <is>
          <t>Retrieved source</t>
        </is>
      </c>
      <c r="C21" s="11" t="inlineStr">
        <is>
          <t>Source type</t>
        </is>
      </c>
      <c r="D21" s="11" t="inlineStr">
        <is>
          <t>Jurisdiction</t>
        </is>
      </c>
      <c r="E21" s="11" t="inlineStr">
        <is>
          <t>URL / Document ID</t>
        </is>
      </c>
      <c r="F21" s="11" t="inlineStr">
        <is>
          <t>Returned by engine?</t>
        </is>
      </c>
      <c r="G21" s="11" t="inlineStr">
        <is>
          <t>Required source?</t>
        </is>
      </c>
      <c r="H21" s="11" t="inlineStr">
        <is>
          <t>Trap?</t>
        </is>
      </c>
      <c r="I21" s="11" t="inlineStr">
        <is>
          <t>Expert verdict</t>
        </is>
      </c>
      <c r="J21" s="11" t="inlineStr">
        <is>
          <t>Notes</t>
        </is>
      </c>
    </row>
    <row r="22" ht="44" customHeight="1">
      <c r="A22" s="4" t="n">
        <v>1</v>
      </c>
      <c r="B22" s="4" t="n"/>
      <c r="C22" s="4" t="n"/>
      <c r="D22" s="4" t="n"/>
      <c r="E22" s="4" t="n"/>
      <c r="F22" s="4" t="n"/>
      <c r="G22" s="4" t="n"/>
      <c r="H22" s="4" t="n"/>
      <c r="I22" s="4" t="n"/>
      <c r="J22" s="4" t="n"/>
    </row>
    <row r="23" ht="44" customHeight="1">
      <c r="A23" s="4" t="n">
        <v>2</v>
      </c>
      <c r="B23" s="4" t="n"/>
      <c r="C23" s="4" t="n"/>
      <c r="D23" s="4" t="n"/>
      <c r="E23" s="4" t="n"/>
      <c r="F23" s="4" t="n"/>
      <c r="G23" s="4" t="n"/>
      <c r="H23" s="4" t="n"/>
      <c r="I23" s="4" t="n"/>
      <c r="J23" s="4" t="n"/>
    </row>
    <row r="24" ht="44" customHeight="1">
      <c r="A24" s="4" t="n">
        <v>3</v>
      </c>
      <c r="B24" s="4" t="n"/>
      <c r="C24" s="4" t="n"/>
      <c r="D24" s="4" t="n"/>
      <c r="E24" s="4" t="n"/>
      <c r="F24" s="4" t="n"/>
      <c r="G24" s="4" t="n"/>
      <c r="H24" s="4" t="n"/>
      <c r="I24" s="4" t="n"/>
      <c r="J24" s="4" t="n"/>
    </row>
    <row r="25" ht="44" customHeight="1">
      <c r="A25" s="4" t="n">
        <v>4</v>
      </c>
      <c r="B25" s="4" t="n"/>
      <c r="C25" s="4" t="n"/>
      <c r="D25" s="4" t="n"/>
      <c r="E25" s="4" t="n"/>
      <c r="F25" s="4" t="n"/>
      <c r="G25" s="4" t="n"/>
      <c r="H25" s="4" t="n"/>
      <c r="I25" s="4" t="n"/>
      <c r="J25" s="4" t="n"/>
    </row>
    <row r="26" ht="44" customHeight="1">
      <c r="A26" s="4" t="n">
        <v>5</v>
      </c>
      <c r="B26" s="4" t="n"/>
      <c r="C26" s="4" t="n"/>
      <c r="D26" s="4" t="n"/>
      <c r="E26" s="4" t="n"/>
      <c r="F26" s="4" t="n"/>
      <c r="G26" s="4" t="n"/>
      <c r="H26" s="4" t="n"/>
      <c r="I26" s="4" t="n"/>
      <c r="J26" s="4" t="n"/>
    </row>
    <row r="27" ht="44" customHeight="1">
      <c r="A27" s="4" t="n">
        <v>6</v>
      </c>
      <c r="B27" s="4" t="n"/>
      <c r="C27" s="4" t="n"/>
      <c r="D27" s="4" t="n"/>
      <c r="E27" s="4" t="n"/>
      <c r="F27" s="4" t="n"/>
      <c r="G27" s="4" t="n"/>
      <c r="H27" s="4" t="n"/>
      <c r="I27" s="4" t="n"/>
      <c r="J27" s="4" t="n"/>
    </row>
    <row r="28" ht="44" customHeight="1">
      <c r="A28" s="4" t="n">
        <v>7</v>
      </c>
      <c r="B28" s="4" t="n"/>
      <c r="C28" s="4" t="n"/>
      <c r="D28" s="4" t="n"/>
      <c r="E28" s="4" t="n"/>
      <c r="F28" s="4" t="n"/>
      <c r="G28" s="4" t="n"/>
      <c r="H28" s="4" t="n"/>
      <c r="I28" s="4" t="n"/>
      <c r="J28" s="4" t="n"/>
    </row>
    <row r="29" ht="44" customHeight="1">
      <c r="A29" s="4" t="n">
        <v>8</v>
      </c>
      <c r="B29" s="4" t="n"/>
      <c r="C29" s="4" t="n"/>
      <c r="D29" s="4" t="n"/>
      <c r="E29" s="4" t="n"/>
      <c r="F29" s="4" t="n"/>
      <c r="G29" s="4" t="n"/>
      <c r="H29" s="4" t="n"/>
      <c r="I29" s="4" t="n"/>
      <c r="J29" s="4" t="n"/>
    </row>
    <row r="30" ht="44" customHeight="1">
      <c r="A30" s="4" t="n">
        <v>9</v>
      </c>
      <c r="B30" s="4" t="n"/>
      <c r="C30" s="4" t="n"/>
      <c r="D30" s="4" t="n"/>
      <c r="E30" s="4" t="n"/>
      <c r="F30" s="4" t="n"/>
      <c r="G30" s="4" t="n"/>
      <c r="H30" s="4" t="n"/>
      <c r="I30" s="4" t="n"/>
      <c r="J30" s="4" t="n"/>
    </row>
    <row r="31" ht="44" customHeight="1">
      <c r="A31" s="4" t="n">
        <v>10</v>
      </c>
      <c r="B31" s="4" t="n"/>
      <c r="C31" s="4" t="n"/>
      <c r="D31" s="4" t="n"/>
      <c r="E31" s="4" t="n"/>
      <c r="F31" s="4" t="n"/>
      <c r="G31" s="4" t="n"/>
      <c r="H31" s="4" t="n"/>
      <c r="I31" s="4" t="n"/>
      <c r="J31" s="4" t="n"/>
    </row>
    <row r="32" ht="44" customHeight="1">
      <c r="A32" s="4" t="n">
        <v>11</v>
      </c>
      <c r="B32" s="4" t="n"/>
      <c r="C32" s="4" t="n"/>
      <c r="D32" s="4" t="n"/>
      <c r="E32" s="4" t="n"/>
      <c r="F32" s="4" t="n"/>
      <c r="G32" s="4" t="n"/>
      <c r="H32" s="4" t="n"/>
      <c r="I32" s="4" t="n"/>
      <c r="J32" s="4" t="n"/>
    </row>
    <row r="33" ht="44" customHeight="1">
      <c r="A33" s="4" t="n">
        <v>12</v>
      </c>
      <c r="B33" s="4" t="n"/>
      <c r="C33" s="4" t="n"/>
      <c r="D33" s="4" t="n"/>
      <c r="E33" s="4" t="n"/>
      <c r="F33" s="4" t="n"/>
      <c r="G33" s="4" t="n"/>
      <c r="H33" s="4" t="n"/>
      <c r="I33" s="4" t="n"/>
      <c r="J33" s="4" t="n"/>
    </row>
    <row r="34" ht="44" customHeight="1">
      <c r="A34" s="4" t="n">
        <v>13</v>
      </c>
      <c r="B34" s="4" t="n"/>
      <c r="C34" s="4" t="n"/>
      <c r="D34" s="4" t="n"/>
      <c r="E34" s="4" t="n"/>
      <c r="F34" s="4" t="n"/>
      <c r="G34" s="4" t="n"/>
      <c r="H34" s="4" t="n"/>
      <c r="I34" s="4" t="n"/>
      <c r="J34" s="4" t="n"/>
    </row>
    <row r="35" ht="44" customHeight="1">
      <c r="A35" s="4" t="n">
        <v>14</v>
      </c>
      <c r="B35" s="4" t="n"/>
      <c r="C35" s="4" t="n"/>
      <c r="D35" s="4" t="n"/>
      <c r="E35" s="4" t="n"/>
      <c r="F35" s="4" t="n"/>
      <c r="G35" s="4" t="n"/>
      <c r="H35" s="4" t="n"/>
      <c r="I35" s="4" t="n"/>
      <c r="J35" s="4" t="n"/>
    </row>
    <row r="36" ht="44" customHeight="1">
      <c r="A36" s="4" t="n">
        <v>15</v>
      </c>
      <c r="B36" s="4" t="n"/>
      <c r="C36" s="4" t="n"/>
      <c r="D36" s="4" t="n"/>
      <c r="E36" s="4" t="n"/>
      <c r="F36" s="4" t="n"/>
      <c r="G36" s="4" t="n"/>
      <c r="H36" s="4" t="n"/>
      <c r="I36" s="4" t="n"/>
      <c r="J36" s="4" t="n"/>
    </row>
    <row r="37">
      <c r="A37" s="3" t="n"/>
      <c r="B37" s="3" t="n"/>
      <c r="C37" s="3" t="n"/>
      <c r="D37" s="3" t="n"/>
      <c r="E37" s="3" t="n"/>
      <c r="F37" s="3" t="n"/>
      <c r="G37" s="3" t="n"/>
      <c r="H37" s="3" t="n"/>
      <c r="I37" s="3" t="n"/>
      <c r="J37" s="3" t="n"/>
    </row>
    <row r="38">
      <c r="A38" s="8" t="inlineStr">
        <is>
          <t>Claim-by-claim review</t>
        </is>
      </c>
      <c r="B38" s="3" t="n"/>
      <c r="C38" s="3" t="n"/>
      <c r="D38" s="3" t="n"/>
      <c r="E38" s="3" t="n"/>
      <c r="F38" s="3" t="n"/>
      <c r="G38" s="3" t="n"/>
      <c r="H38" s="3" t="n"/>
      <c r="I38" s="3" t="n"/>
      <c r="J38" s="3" t="n"/>
    </row>
    <row r="39">
      <c r="A39" s="11" t="inlineStr">
        <is>
          <t>Claim ID</t>
        </is>
      </c>
      <c r="B39" s="11" t="inlineStr">
        <is>
          <t>Claim from answer</t>
        </is>
      </c>
      <c r="C39" s="11" t="inlineStr">
        <is>
          <t>Citation used</t>
        </is>
      </c>
      <c r="D39" s="11" t="inlineStr">
        <is>
          <t>Expert verdict</t>
        </is>
      </c>
      <c r="E39" s="11" t="inlineStr">
        <is>
          <t>Issue type</t>
        </is>
      </c>
      <c r="F39" s="11" t="inlineStr">
        <is>
          <t>Cited passage / source note</t>
        </is>
      </c>
      <c r="G39" s="11" t="inlineStr">
        <is>
          <t>Required fix / comment</t>
        </is>
      </c>
      <c r="H39" s="11" t="inlineStr">
        <is>
          <t>Reviewer</t>
        </is>
      </c>
      <c r="I39" s="11" t="n"/>
      <c r="J39" s="11" t="n"/>
    </row>
    <row r="40" ht="54" customHeight="1">
      <c r="A40" s="4" t="n">
        <v>1</v>
      </c>
      <c r="B40" s="4" t="n"/>
      <c r="C40" s="4" t="n"/>
      <c r="D40" s="4" t="n"/>
      <c r="E40" s="4" t="n"/>
      <c r="F40" s="4" t="n"/>
      <c r="G40" s="4" t="n"/>
      <c r="H40" s="4" t="n"/>
      <c r="I40" s="3" t="n"/>
      <c r="J40" s="3" t="n"/>
    </row>
    <row r="41" ht="54" customHeight="1">
      <c r="A41" s="4" t="n">
        <v>2</v>
      </c>
      <c r="B41" s="4" t="n"/>
      <c r="C41" s="4" t="n"/>
      <c r="D41" s="4" t="n"/>
      <c r="E41" s="4" t="n"/>
      <c r="F41" s="4" t="n"/>
      <c r="G41" s="4" t="n"/>
      <c r="H41" s="4" t="n"/>
      <c r="I41" s="3" t="n"/>
      <c r="J41" s="3" t="n"/>
    </row>
    <row r="42" ht="54" customHeight="1">
      <c r="A42" s="4" t="n">
        <v>3</v>
      </c>
      <c r="B42" s="4" t="n"/>
      <c r="C42" s="4" t="n"/>
      <c r="D42" s="4" t="n"/>
      <c r="E42" s="4" t="n"/>
      <c r="F42" s="4" t="n"/>
      <c r="G42" s="4" t="n"/>
      <c r="H42" s="4" t="n"/>
      <c r="I42" s="3" t="n"/>
      <c r="J42" s="3" t="n"/>
    </row>
    <row r="43" ht="54" customHeight="1">
      <c r="A43" s="4" t="n">
        <v>4</v>
      </c>
      <c r="B43" s="4" t="n"/>
      <c r="C43" s="4" t="n"/>
      <c r="D43" s="4" t="n"/>
      <c r="E43" s="4" t="n"/>
      <c r="F43" s="4" t="n"/>
      <c r="G43" s="4" t="n"/>
      <c r="H43" s="4" t="n"/>
      <c r="I43" s="3" t="n"/>
      <c r="J43" s="3" t="n"/>
    </row>
    <row r="44" ht="54" customHeight="1">
      <c r="A44" s="4" t="n">
        <v>5</v>
      </c>
      <c r="B44" s="4" t="n"/>
      <c r="C44" s="4" t="n"/>
      <c r="D44" s="4" t="n"/>
      <c r="E44" s="4" t="n"/>
      <c r="F44" s="4" t="n"/>
      <c r="G44" s="4" t="n"/>
      <c r="H44" s="4" t="n"/>
      <c r="I44" s="3" t="n"/>
      <c r="J44" s="3" t="n"/>
    </row>
    <row r="45" ht="54" customHeight="1">
      <c r="A45" s="4" t="n">
        <v>6</v>
      </c>
      <c r="B45" s="4" t="n"/>
      <c r="C45" s="4" t="n"/>
      <c r="D45" s="4" t="n"/>
      <c r="E45" s="4" t="n"/>
      <c r="F45" s="4" t="n"/>
      <c r="G45" s="4" t="n"/>
      <c r="H45" s="4" t="n"/>
      <c r="I45" s="3" t="n"/>
      <c r="J45" s="3" t="n"/>
    </row>
    <row r="46" ht="54" customHeight="1">
      <c r="A46" s="4" t="n">
        <v>7</v>
      </c>
      <c r="B46" s="4" t="n"/>
      <c r="C46" s="4" t="n"/>
      <c r="D46" s="4" t="n"/>
      <c r="E46" s="4" t="n"/>
      <c r="F46" s="4" t="n"/>
      <c r="G46" s="4" t="n"/>
      <c r="H46" s="4" t="n"/>
      <c r="I46" s="3" t="n"/>
      <c r="J46" s="3" t="n"/>
    </row>
    <row r="47" ht="54" customHeight="1">
      <c r="A47" s="4" t="n">
        <v>8</v>
      </c>
      <c r="B47" s="4" t="n"/>
      <c r="C47" s="4" t="n"/>
      <c r="D47" s="4" t="n"/>
      <c r="E47" s="4" t="n"/>
      <c r="F47" s="4" t="n"/>
      <c r="G47" s="4" t="n"/>
      <c r="H47" s="4" t="n"/>
      <c r="I47" s="3" t="n"/>
      <c r="J47" s="3" t="n"/>
    </row>
    <row r="48" ht="54" customHeight="1">
      <c r="A48" s="4" t="n">
        <v>9</v>
      </c>
      <c r="B48" s="4" t="n"/>
      <c r="C48" s="4" t="n"/>
      <c r="D48" s="4" t="n"/>
      <c r="E48" s="4" t="n"/>
      <c r="F48" s="4" t="n"/>
      <c r="G48" s="4" t="n"/>
      <c r="H48" s="4" t="n"/>
      <c r="I48" s="3" t="n"/>
      <c r="J48" s="3" t="n"/>
    </row>
    <row r="49" ht="54" customHeight="1">
      <c r="A49" s="4" t="n">
        <v>10</v>
      </c>
      <c r="B49" s="4" t="n"/>
      <c r="C49" s="4" t="n"/>
      <c r="D49" s="4" t="n"/>
      <c r="E49" s="4" t="n"/>
      <c r="F49" s="4" t="n"/>
      <c r="G49" s="4" t="n"/>
      <c r="H49" s="4" t="n"/>
      <c r="I49" s="3" t="n"/>
      <c r="J49" s="3" t="n"/>
    </row>
    <row r="50" ht="54" customHeight="1">
      <c r="A50" s="4" t="n">
        <v>11</v>
      </c>
      <c r="B50" s="4" t="n"/>
      <c r="C50" s="4" t="n"/>
      <c r="D50" s="4" t="n"/>
      <c r="E50" s="4" t="n"/>
      <c r="F50" s="4" t="n"/>
      <c r="G50" s="4" t="n"/>
      <c r="H50" s="4" t="n"/>
      <c r="I50" s="3" t="n"/>
      <c r="J50" s="3" t="n"/>
    </row>
    <row r="51" ht="54" customHeight="1">
      <c r="A51" s="4" t="n">
        <v>12</v>
      </c>
      <c r="B51" s="4" t="n"/>
      <c r="C51" s="4" t="n"/>
      <c r="D51" s="4" t="n"/>
      <c r="E51" s="4" t="n"/>
      <c r="F51" s="4" t="n"/>
      <c r="G51" s="4" t="n"/>
      <c r="H51" s="4" t="n"/>
      <c r="I51" s="3" t="n"/>
      <c r="J51" s="3" t="n"/>
    </row>
    <row r="52" ht="54" customHeight="1">
      <c r="A52" s="4" t="n">
        <v>13</v>
      </c>
      <c r="B52" s="4" t="n"/>
      <c r="C52" s="4" t="n"/>
      <c r="D52" s="4" t="n"/>
      <c r="E52" s="4" t="n"/>
      <c r="F52" s="4" t="n"/>
      <c r="G52" s="4" t="n"/>
      <c r="H52" s="4" t="n"/>
      <c r="I52" s="3" t="n"/>
      <c r="J52" s="3" t="n"/>
    </row>
    <row r="53" ht="54" customHeight="1">
      <c r="A53" s="4" t="n">
        <v>14</v>
      </c>
      <c r="B53" s="4" t="n"/>
      <c r="C53" s="4" t="n"/>
      <c r="D53" s="4" t="n"/>
      <c r="E53" s="4" t="n"/>
      <c r="F53" s="4" t="n"/>
      <c r="G53" s="4" t="n"/>
      <c r="H53" s="4" t="n"/>
      <c r="I53" s="3" t="n"/>
      <c r="J53" s="3" t="n"/>
    </row>
    <row r="54" ht="54" customHeight="1">
      <c r="A54" s="4" t="n">
        <v>15</v>
      </c>
      <c r="B54" s="4" t="n"/>
      <c r="C54" s="4" t="n"/>
      <c r="D54" s="4" t="n"/>
      <c r="E54" s="4" t="n"/>
      <c r="F54" s="4" t="n"/>
      <c r="G54" s="4" t="n"/>
      <c r="H54" s="4" t="n"/>
      <c r="I54" s="3" t="n"/>
      <c r="J54" s="3" t="n"/>
    </row>
    <row r="55" ht="54" customHeight="1">
      <c r="A55" s="4" t="n">
        <v>16</v>
      </c>
      <c r="B55" s="4" t="n"/>
      <c r="C55" s="4" t="n"/>
      <c r="D55" s="4" t="n"/>
      <c r="E55" s="4" t="n"/>
      <c r="F55" s="4" t="n"/>
      <c r="G55" s="4" t="n"/>
      <c r="H55" s="4" t="n"/>
      <c r="I55" s="3" t="n"/>
      <c r="J55" s="3" t="n"/>
    </row>
    <row r="56" ht="54" customHeight="1">
      <c r="A56" s="4" t="n">
        <v>17</v>
      </c>
      <c r="B56" s="4" t="n"/>
      <c r="C56" s="4" t="n"/>
      <c r="D56" s="4" t="n"/>
      <c r="E56" s="4" t="n"/>
      <c r="F56" s="4" t="n"/>
      <c r="G56" s="4" t="n"/>
      <c r="H56" s="4" t="n"/>
      <c r="I56" s="3" t="n"/>
      <c r="J56" s="3" t="n"/>
    </row>
    <row r="57" ht="54" customHeight="1">
      <c r="A57" s="4" t="n">
        <v>18</v>
      </c>
      <c r="B57" s="4" t="n"/>
      <c r="C57" s="4" t="n"/>
      <c r="D57" s="4" t="n"/>
      <c r="E57" s="4" t="n"/>
      <c r="F57" s="4" t="n"/>
      <c r="G57" s="4" t="n"/>
      <c r="H57" s="4" t="n"/>
      <c r="I57" s="3" t="n"/>
      <c r="J57" s="3" t="n"/>
    </row>
    <row r="58" ht="54" customHeight="1">
      <c r="A58" s="4" t="n">
        <v>19</v>
      </c>
      <c r="B58" s="4" t="n"/>
      <c r="C58" s="4" t="n"/>
      <c r="D58" s="4" t="n"/>
      <c r="E58" s="4" t="n"/>
      <c r="F58" s="4" t="n"/>
      <c r="G58" s="4" t="n"/>
      <c r="H58" s="4" t="n"/>
      <c r="I58" s="3" t="n"/>
      <c r="J58" s="3" t="n"/>
    </row>
    <row r="59" ht="54" customHeight="1">
      <c r="A59" s="4" t="n">
        <v>20</v>
      </c>
      <c r="B59" s="4" t="n"/>
      <c r="C59" s="4" t="n"/>
      <c r="D59" s="4" t="n"/>
      <c r="E59" s="4" t="n"/>
      <c r="F59" s="4" t="n"/>
      <c r="G59" s="4" t="n"/>
      <c r="H59" s="4" t="n"/>
      <c r="I59" s="3" t="n"/>
      <c r="J59" s="3" t="n"/>
    </row>
    <row r="60">
      <c r="A60" s="3" t="n"/>
      <c r="B60" s="3" t="n"/>
      <c r="C60" s="3" t="n"/>
      <c r="D60" s="3" t="n"/>
      <c r="E60" s="3" t="n"/>
      <c r="F60" s="3" t="n"/>
      <c r="G60" s="3" t="n"/>
      <c r="H60" s="3" t="n"/>
      <c r="I60" s="3" t="n"/>
      <c r="J60" s="3" t="n"/>
    </row>
    <row r="61">
      <c r="A61" s="8" t="inlineStr">
        <is>
          <t>Final expert verdict</t>
        </is>
      </c>
      <c r="B61" s="3" t="n"/>
      <c r="C61" s="3" t="n"/>
      <c r="D61" s="3" t="n"/>
      <c r="E61" s="3" t="n"/>
      <c r="F61" s="3" t="n"/>
      <c r="G61" s="3" t="n"/>
      <c r="H61" s="3" t="n"/>
      <c r="I61" s="3" t="n"/>
      <c r="J61" s="3" t="n"/>
    </row>
    <row r="62">
      <c r="A62" s="12" t="inlineStr">
        <is>
          <t>Is the answer acceptable?</t>
        </is>
      </c>
      <c r="B62" s="4" t="inlineStr"/>
      <c r="C62" s="4" t="n"/>
      <c r="D62" s="4" t="n"/>
      <c r="E62" s="4" t="n"/>
      <c r="F62" s="4" t="n"/>
      <c r="G62" s="4" t="n"/>
      <c r="H62" s="4" t="n"/>
      <c r="I62" s="3" t="n"/>
      <c r="J62" s="3" t="n"/>
    </row>
    <row r="63" ht="54" customHeight="1">
      <c r="A63" s="12" t="inlineStr">
        <is>
          <t>Overall comment / required fixes</t>
        </is>
      </c>
      <c r="B63" s="4" t="n"/>
      <c r="C63" s="4" t="n"/>
      <c r="D63" s="4" t="n"/>
      <c r="E63" s="4" t="n"/>
      <c r="F63" s="4" t="n"/>
      <c r="G63" s="4" t="n"/>
      <c r="H63" s="4" t="n"/>
      <c r="I63" s="3" t="n"/>
      <c r="J63" s="3" t="n"/>
    </row>
    <row r="64">
      <c r="A64" s="4" t="n"/>
      <c r="B64" s="4" t="n"/>
      <c r="C64" s="4" t="n"/>
      <c r="D64" s="4" t="n"/>
      <c r="E64" s="4" t="n"/>
      <c r="F64" s="4" t="n"/>
      <c r="G64" s="4" t="n"/>
      <c r="H64" s="4" t="n"/>
      <c r="I64" s="3" t="n"/>
      <c r="J64" s="3" t="n"/>
    </row>
    <row r="65">
      <c r="A65" s="12" t="inlineStr">
        <is>
          <t>Missing key sources?</t>
        </is>
      </c>
      <c r="B65" s="4" t="n"/>
      <c r="C65" s="4" t="n"/>
      <c r="D65" s="4" t="n"/>
      <c r="E65" s="4" t="n"/>
      <c r="F65" s="4" t="n"/>
      <c r="G65" s="4" t="n"/>
      <c r="H65" s="4" t="n"/>
      <c r="I65" s="3" t="n"/>
      <c r="J65" s="3" t="n"/>
    </row>
    <row r="66">
      <c r="A66" s="12" t="inlineStr">
        <is>
          <t>Review completed?</t>
        </is>
      </c>
      <c r="B66" s="4" t="inlineStr"/>
      <c r="C66" s="4" t="n"/>
      <c r="D66" s="4" t="n"/>
      <c r="E66" s="4" t="n"/>
      <c r="F66" s="4" t="n"/>
      <c r="G66" s="4" t="n"/>
      <c r="H66" s="4" t="n"/>
      <c r="I66" s="3" t="n"/>
      <c r="J66" s="3" t="n"/>
    </row>
    <row r="67">
      <c r="A67" s="12" t="inlineStr">
        <is>
          <t>Reviewer</t>
        </is>
      </c>
      <c r="B67" s="4" t="n"/>
      <c r="C67" s="12" t="inlineStr">
        <is>
          <t>Review date</t>
        </is>
      </c>
      <c r="D67" s="5" t="inlineStr"/>
      <c r="E67" s="4" t="n"/>
      <c r="F67" s="4" t="n"/>
      <c r="G67" s="4" t="n"/>
      <c r="H67" s="4" t="n"/>
      <c r="I67" s="3" t="n"/>
      <c r="J67" s="3" t="n"/>
    </row>
    <row r="68">
      <c r="A68" s="3" t="n"/>
      <c r="B68" s="3" t="n"/>
      <c r="C68" s="3" t="n"/>
      <c r="D68" s="3" t="n"/>
      <c r="E68" s="3" t="n"/>
      <c r="F68" s="3" t="n"/>
      <c r="G68" s="3" t="n"/>
      <c r="H68" s="3" t="n"/>
      <c r="I68" s="3" t="n"/>
      <c r="J68" s="3" t="n"/>
    </row>
    <row r="69">
      <c r="A69" s="8" t="inlineStr">
        <is>
          <t>Original source notes</t>
        </is>
      </c>
      <c r="B69" s="3" t="n"/>
      <c r="C69" s="3" t="n"/>
      <c r="D69" s="3" t="n"/>
      <c r="E69" s="3" t="n"/>
      <c r="F69" s="3" t="n"/>
      <c r="G69" s="3" t="n"/>
      <c r="H69" s="3" t="n"/>
      <c r="I69" s="3" t="n"/>
      <c r="J69" s="3" t="n"/>
    </row>
    <row r="70">
      <c r="A70" s="12" t="inlineStr">
        <is>
          <t>WAB notes</t>
        </is>
      </c>
      <c r="B70" s="4" t="inlineStr"/>
      <c r="C70" s="4" t="n"/>
      <c r="D70" s="4" t="n"/>
      <c r="E70" s="4" t="n"/>
      <c r="F70" s="4" t="n"/>
      <c r="G70" s="4" t="n"/>
      <c r="H70" s="4" t="n"/>
      <c r="I70" s="3" t="n"/>
      <c r="J70" s="3" t="n"/>
    </row>
    <row r="71" ht="54" customHeight="1">
      <c r="A71" s="12" t="inlineStr">
        <is>
          <t>Reviewer notes from question approval</t>
        </is>
      </c>
      <c r="B71" s="4" t="inlineStr">
        <is>
          <t>agreed, let's keep it.</t>
        </is>
      </c>
      <c r="C71" s="4" t="n"/>
      <c r="D71" s="4" t="n"/>
      <c r="E71" s="4" t="n"/>
      <c r="F71" s="4" t="n"/>
      <c r="G71" s="4" t="n"/>
      <c r="H71" s="4" t="n"/>
      <c r="I71" s="3" t="n"/>
      <c r="J71" s="3" t="n"/>
    </row>
    <row r="72">
      <c r="A72" s="4" t="n"/>
      <c r="B72" s="4" t="n"/>
      <c r="C72" s="4" t="n"/>
      <c r="D72" s="4" t="n"/>
      <c r="E72" s="4" t="n"/>
      <c r="F72" s="4" t="n"/>
      <c r="G72" s="4" t="n"/>
      <c r="H72" s="4" t="n"/>
      <c r="I72" s="3" t="n"/>
      <c r="J72" s="3" t="n"/>
    </row>
  </sheetData>
  <autoFilter ref="A21:J36"/>
  <mergeCells count="20">
    <mergeCell ref="B65:H65"/>
    <mergeCell ref="B71:H72"/>
    <mergeCell ref="B6:H6"/>
    <mergeCell ref="A20:J20"/>
    <mergeCell ref="A1:H1"/>
    <mergeCell ref="B5:H5"/>
    <mergeCell ref="A61:H61"/>
    <mergeCell ref="A69:H69"/>
    <mergeCell ref="B4:H4"/>
    <mergeCell ref="B62:H62"/>
    <mergeCell ref="B7:H7"/>
    <mergeCell ref="B66:H66"/>
    <mergeCell ref="A3:H3"/>
    <mergeCell ref="A16:H18"/>
    <mergeCell ref="B70:H70"/>
    <mergeCell ref="A14:H14"/>
    <mergeCell ref="B63:H64"/>
    <mergeCell ref="B8:H8"/>
    <mergeCell ref="B10:H12"/>
    <mergeCell ref="A38:H38"/>
  </mergeCells>
  <dataValidations count="9">
    <dataValidation sqref="C22:C36" showDropDown="0" showInputMessage="0" showErrorMessage="0" allowBlank="1" type="list">
      <formula1>=Lists!$F$2:$F$5</formula1>
    </dataValidation>
    <dataValidation sqref="F22:F36" showDropDown="0" showInputMessage="0" showErrorMessage="0" allowBlank="1" type="list">
      <formula1>=Lists!$G$2:$G$4</formula1>
    </dataValidation>
    <dataValidation sqref="G22:G36" showDropDown="0" showInputMessage="0" showErrorMessage="0" allowBlank="1" type="list">
      <formula1>=Lists!$G$2:$G$4</formula1>
    </dataValidation>
    <dataValidation sqref="H22:H36" showDropDown="0" showInputMessage="0" showErrorMessage="0" allowBlank="1" type="list">
      <formula1>=Lists!$G$2:$G$4</formula1>
    </dataValidation>
    <dataValidation sqref="I22:I36" showDropDown="0" showInputMessage="0" showErrorMessage="0" allowBlank="1" type="list">
      <formula1>=Lists!$H$2:$H$6</formula1>
    </dataValidation>
    <dataValidation sqref="D40:D59" showDropDown="0" showInputMessage="0" showErrorMessage="0" allowBlank="1" type="list">
      <formula1>=Lists!$D$2:$D$7</formula1>
    </dataValidation>
    <dataValidation sqref="E40:E59" showDropDown="0" showInputMessage="0" showErrorMessage="0" allowBlank="1" type="list">
      <formula1>=Lists!$E$2:$E$8</formula1>
    </dataValidation>
    <dataValidation sqref="B62" showDropDown="0" showInputMessage="0" showErrorMessage="0" allowBlank="1" type="list">
      <formula1>=Lists!$C$2:$C$4</formula1>
    </dataValidation>
    <dataValidation sqref="B66" showDropDown="0" showInputMessage="0" showErrorMessage="0" allowBlank="1" type="list">
      <formula1>=Lists!$A$2:$A$3</formula1>
    </dataValidation>
  </dataValidations>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J72"/>
  <sheetViews>
    <sheetView showGridLines="0" workbookViewId="0">
      <pane ySplit="21" topLeftCell="A22" activePane="bottomLeft" state="frozen"/>
      <selection pane="bottomLeft" activeCell="A1" sqref="A1"/>
    </sheetView>
  </sheetViews>
  <sheetFormatPr baseColWidth="8" defaultRowHeight="15"/>
  <cols>
    <col width="12" customWidth="1" min="1" max="1"/>
    <col width="34" customWidth="1" min="2" max="2"/>
    <col width="22" customWidth="1" min="3" max="3"/>
    <col width="18" customWidth="1" min="4" max="4"/>
    <col width="20" customWidth="1" min="5" max="5"/>
    <col width="30" customWidth="1" min="6" max="6"/>
    <col width="34" customWidth="1" min="7" max="7"/>
    <col width="18" customWidth="1" min="8" max="8"/>
    <col width="18" customWidth="1" min="9" max="9"/>
    <col width="30" customWidth="1" min="10" max="10"/>
  </cols>
  <sheetData>
    <row r="1" ht="28" customHeight="1">
      <c r="A1" s="6" t="inlineStr">
        <is>
          <t>Q26 — Expert Review</t>
        </is>
      </c>
      <c r="B1" s="3" t="n"/>
      <c r="C1" s="3" t="n"/>
      <c r="D1" s="3" t="n"/>
      <c r="E1" s="3" t="n"/>
      <c r="F1" s="3" t="n"/>
      <c r="G1" s="3" t="n"/>
      <c r="H1" s="3" t="n"/>
      <c r="I1" s="3" t="n"/>
      <c r="J1" s="3" t="n"/>
    </row>
    <row r="2">
      <c r="A2" s="3" t="n"/>
      <c r="B2" s="3" t="n"/>
      <c r="C2" s="3" t="n"/>
      <c r="D2" s="3" t="n"/>
      <c r="E2" s="3" t="n"/>
      <c r="F2" s="3" t="n"/>
      <c r="G2" s="3" t="n"/>
      <c r="H2" s="3" t="n"/>
      <c r="I2" s="3" t="n"/>
      <c r="J2" s="3" t="n"/>
    </row>
    <row r="3">
      <c r="A3" s="8" t="inlineStr">
        <is>
          <t>Question metadata</t>
        </is>
      </c>
      <c r="B3" s="3" t="n"/>
      <c r="C3" s="3" t="n"/>
      <c r="D3" s="3" t="n"/>
      <c r="E3" s="3" t="n"/>
      <c r="F3" s="3" t="n"/>
      <c r="G3" s="3" t="n"/>
      <c r="H3" s="3" t="n"/>
      <c r="I3" s="3" t="n"/>
      <c r="J3" s="3" t="n"/>
    </row>
    <row r="4">
      <c r="A4" s="9" t="inlineStr">
        <is>
          <t>Question ID</t>
        </is>
      </c>
      <c r="B4" s="3" t="n">
        <v>26</v>
      </c>
      <c r="C4" s="3" t="n"/>
      <c r="D4" s="3" t="n"/>
      <c r="E4" s="3" t="n"/>
      <c r="F4" s="3" t="n"/>
      <c r="G4" s="3" t="n"/>
      <c r="H4" s="3" t="n"/>
      <c r="I4" s="3" t="n"/>
      <c r="J4" s="3" t="n"/>
    </row>
    <row r="5">
      <c r="A5" s="9" t="inlineStr">
        <is>
          <t>Topic</t>
        </is>
      </c>
      <c r="B5" s="3" t="inlineStr">
        <is>
          <t>Dawn raids — legal professional privilege</t>
        </is>
      </c>
      <c r="C5" s="3" t="n"/>
      <c r="D5" s="3" t="n"/>
      <c r="E5" s="3" t="n"/>
      <c r="F5" s="3" t="n"/>
      <c r="G5" s="3" t="n"/>
      <c r="H5" s="3" t="n"/>
      <c r="I5" s="3" t="n"/>
      <c r="J5" s="3" t="n"/>
    </row>
    <row r="6">
      <c r="A6" s="9" t="inlineStr">
        <is>
          <t>Scope</t>
        </is>
      </c>
      <c r="B6" s="3" t="inlineStr">
        <is>
          <t>France</t>
        </is>
      </c>
      <c r="C6" s="3" t="n"/>
      <c r="D6" s="3" t="n"/>
      <c r="E6" s="3" t="n"/>
      <c r="F6" s="3" t="n"/>
      <c r="G6" s="3" t="n"/>
      <c r="H6" s="3" t="n"/>
      <c r="I6" s="3" t="n"/>
      <c r="J6" s="3" t="n"/>
    </row>
    <row r="7">
      <c r="A7" s="9" t="inlineStr">
        <is>
          <t>Original reviewer</t>
        </is>
      </c>
      <c r="B7" s="3" t="inlineStr">
        <is>
          <t>Carolina</t>
        </is>
      </c>
      <c r="C7" s="3" t="n"/>
      <c r="D7" s="3" t="n"/>
      <c r="E7" s="3" t="n"/>
      <c r="F7" s="3" t="n"/>
      <c r="G7" s="3" t="n"/>
      <c r="H7" s="3" t="n"/>
      <c r="I7" s="3" t="n"/>
      <c r="J7" s="3" t="n"/>
    </row>
    <row r="8">
      <c r="A8" s="9" t="inlineStr">
        <is>
          <t>Original status</t>
        </is>
      </c>
      <c r="B8" s="3" t="inlineStr">
        <is>
          <t>Approved</t>
        </is>
      </c>
      <c r="C8" s="3" t="n"/>
      <c r="D8" s="3" t="n"/>
      <c r="E8" s="3" t="n"/>
      <c r="F8" s="3" t="n"/>
      <c r="G8" s="3" t="n"/>
      <c r="H8" s="3" t="n"/>
      <c r="I8" s="3" t="n"/>
      <c r="J8" s="3" t="n"/>
    </row>
    <row r="9">
      <c r="A9" s="3" t="n"/>
      <c r="B9" s="3" t="n"/>
      <c r="C9" s="3" t="n"/>
      <c r="D9" s="3" t="n"/>
      <c r="E9" s="3" t="n"/>
      <c r="F9" s="3" t="n"/>
      <c r="G9" s="3" t="n"/>
      <c r="H9" s="3" t="n"/>
      <c r="I9" s="3" t="n"/>
      <c r="J9" s="3" t="n"/>
    </row>
    <row r="10" ht="45" customHeight="1">
      <c r="A10" s="9" t="inlineStr">
        <is>
          <t>Question</t>
        </is>
      </c>
      <c r="B10" s="3" t="inlineStr">
        <is>
          <t>Where a French dawn raid seizes a mailbox or a set of files in bulk and privileged correspondence is found inside afterwards, what is the procedure for having it returned or destroyed, and who decides?</t>
        </is>
      </c>
      <c r="C10" s="3" t="n"/>
      <c r="D10" s="3" t="n"/>
      <c r="E10" s="3" t="n"/>
      <c r="F10" s="3" t="n"/>
      <c r="G10" s="3" t="n"/>
      <c r="H10" s="3" t="n"/>
      <c r="I10" s="3" t="n"/>
      <c r="J10" s="3" t="n"/>
    </row>
    <row r="11">
      <c r="A11" s="3" t="n"/>
      <c r="B11" s="3" t="n"/>
      <c r="C11" s="3" t="n"/>
      <c r="D11" s="3" t="n"/>
      <c r="E11" s="3" t="n"/>
      <c r="F11" s="3" t="n"/>
      <c r="G11" s="3" t="n"/>
      <c r="H11" s="3" t="n"/>
      <c r="I11" s="3" t="n"/>
      <c r="J11" s="3" t="n"/>
    </row>
    <row r="12">
      <c r="A12" s="3" t="n"/>
      <c r="B12" s="3" t="n"/>
      <c r="C12" s="3" t="n"/>
      <c r="D12" s="3" t="n"/>
      <c r="E12" s="3" t="n"/>
      <c r="F12" s="3" t="n"/>
      <c r="G12" s="3" t="n"/>
      <c r="H12" s="3" t="n"/>
      <c r="I12" s="3" t="n"/>
      <c r="J12" s="3" t="n"/>
    </row>
    <row r="13">
      <c r="A13" s="3" t="n"/>
      <c r="B13" s="3" t="n"/>
      <c r="C13" s="3" t="n"/>
      <c r="D13" s="3" t="n"/>
      <c r="E13" s="3" t="n"/>
      <c r="F13" s="3" t="n"/>
      <c r="G13" s="3" t="n"/>
      <c r="H13" s="3" t="n"/>
      <c r="I13" s="3" t="n"/>
      <c r="J13" s="3" t="n"/>
    </row>
    <row r="14">
      <c r="A14" s="8" t="inlineStr">
        <is>
          <t>Generated answer</t>
        </is>
      </c>
      <c r="B14" s="3" t="n"/>
      <c r="C14" s="3" t="n"/>
      <c r="D14" s="3" t="n"/>
      <c r="E14" s="3" t="n"/>
      <c r="F14" s="3" t="n"/>
      <c r="G14" s="3" t="n"/>
      <c r="H14" s="3" t="n"/>
      <c r="I14" s="3" t="n"/>
      <c r="J14" s="3" t="n"/>
    </row>
    <row r="15">
      <c r="A15" s="10" t="inlineStr">
        <is>
          <t>Paste the generated answer below.</t>
        </is>
      </c>
      <c r="B15" s="3" t="n"/>
      <c r="C15" s="3" t="n"/>
      <c r="D15" s="3" t="n"/>
      <c r="E15" s="3" t="n"/>
      <c r="F15" s="3" t="n"/>
      <c r="G15" s="3" t="n"/>
      <c r="H15" s="3" t="n"/>
      <c r="I15" s="3" t="n"/>
      <c r="J15" s="3" t="n"/>
    </row>
    <row r="16" ht="90" customHeight="1">
      <c r="A16" s="3" t="inlineStr"/>
      <c r="B16" s="3" t="n"/>
      <c r="C16" s="3" t="n"/>
      <c r="D16" s="3" t="n"/>
      <c r="E16" s="3" t="n"/>
      <c r="F16" s="3" t="n"/>
      <c r="G16" s="3" t="n"/>
      <c r="H16" s="3" t="n"/>
      <c r="I16" s="3" t="n"/>
      <c r="J16" s="3" t="n"/>
    </row>
    <row r="17" ht="30" customHeight="1">
      <c r="A17" s="3" t="n"/>
      <c r="B17" s="3" t="n"/>
      <c r="C17" s="3" t="n"/>
      <c r="D17" s="3" t="n"/>
      <c r="E17" s="3" t="n"/>
      <c r="F17" s="3" t="n"/>
      <c r="G17" s="3" t="n"/>
      <c r="H17" s="3" t="n"/>
      <c r="I17" s="3" t="n"/>
      <c r="J17" s="3" t="n"/>
    </row>
    <row r="18" ht="30" customHeight="1">
      <c r="A18" s="3" t="n"/>
      <c r="B18" s="3" t="n"/>
      <c r="C18" s="3" t="n"/>
      <c r="D18" s="3" t="n"/>
      <c r="E18" s="3" t="n"/>
      <c r="F18" s="3" t="n"/>
      <c r="G18" s="3" t="n"/>
      <c r="H18" s="3" t="n"/>
      <c r="I18" s="3" t="n"/>
      <c r="J18" s="3" t="n"/>
    </row>
    <row r="19">
      <c r="A19" s="9" t="inlineStr">
        <is>
          <t>Run ID</t>
        </is>
      </c>
      <c r="B19" s="3" t="inlineStr"/>
      <c r="C19" s="9" t="inlineStr">
        <is>
          <t>Run date</t>
        </is>
      </c>
      <c r="D19" s="3" t="inlineStr"/>
      <c r="E19" s="9" t="inlineStr">
        <is>
          <t>Model / prompt version</t>
        </is>
      </c>
      <c r="F19" s="3" t="inlineStr"/>
      <c r="G19" s="9" t="inlineStr">
        <is>
          <t>Corpus snapshot</t>
        </is>
      </c>
      <c r="H19" s="3" t="inlineStr"/>
      <c r="I19" s="3" t="n"/>
      <c r="J19" s="3" t="n"/>
    </row>
    <row r="20">
      <c r="A20" s="8" t="inlineStr">
        <is>
          <t>Retrieval set review</t>
        </is>
      </c>
      <c r="B20" s="3" t="n"/>
      <c r="C20" s="3" t="n"/>
      <c r="D20" s="3" t="n"/>
      <c r="E20" s="3" t="n"/>
      <c r="F20" s="3" t="n"/>
      <c r="G20" s="3" t="n"/>
      <c r="H20" s="3" t="n"/>
      <c r="I20" s="3" t="n"/>
      <c r="J20" s="3" t="n"/>
    </row>
    <row r="21">
      <c r="A21" s="11" t="inlineStr">
        <is>
          <t>Rank</t>
        </is>
      </c>
      <c r="B21" s="11" t="inlineStr">
        <is>
          <t>Retrieved source</t>
        </is>
      </c>
      <c r="C21" s="11" t="inlineStr">
        <is>
          <t>Source type</t>
        </is>
      </c>
      <c r="D21" s="11" t="inlineStr">
        <is>
          <t>Jurisdiction</t>
        </is>
      </c>
      <c r="E21" s="11" t="inlineStr">
        <is>
          <t>URL / Document ID</t>
        </is>
      </c>
      <c r="F21" s="11" t="inlineStr">
        <is>
          <t>Returned by engine?</t>
        </is>
      </c>
      <c r="G21" s="11" t="inlineStr">
        <is>
          <t>Required source?</t>
        </is>
      </c>
      <c r="H21" s="11" t="inlineStr">
        <is>
          <t>Trap?</t>
        </is>
      </c>
      <c r="I21" s="11" t="inlineStr">
        <is>
          <t>Expert verdict</t>
        </is>
      </c>
      <c r="J21" s="11" t="inlineStr">
        <is>
          <t>Notes</t>
        </is>
      </c>
    </row>
    <row r="22" ht="44" customHeight="1">
      <c r="A22" s="4" t="n">
        <v>1</v>
      </c>
      <c r="B22" s="4" t="n"/>
      <c r="C22" s="4" t="n"/>
      <c r="D22" s="4" t="n"/>
      <c r="E22" s="4" t="n"/>
      <c r="F22" s="4" t="n"/>
      <c r="G22" s="4" t="n"/>
      <c r="H22" s="4" t="n"/>
      <c r="I22" s="4" t="n"/>
      <c r="J22" s="4" t="n"/>
    </row>
    <row r="23" ht="44" customHeight="1">
      <c r="A23" s="4" t="n">
        <v>2</v>
      </c>
      <c r="B23" s="4" t="n"/>
      <c r="C23" s="4" t="n"/>
      <c r="D23" s="4" t="n"/>
      <c r="E23" s="4" t="n"/>
      <c r="F23" s="4" t="n"/>
      <c r="G23" s="4" t="n"/>
      <c r="H23" s="4" t="n"/>
      <c r="I23" s="4" t="n"/>
      <c r="J23" s="4" t="n"/>
    </row>
    <row r="24" ht="44" customHeight="1">
      <c r="A24" s="4" t="n">
        <v>3</v>
      </c>
      <c r="B24" s="4" t="n"/>
      <c r="C24" s="4" t="n"/>
      <c r="D24" s="4" t="n"/>
      <c r="E24" s="4" t="n"/>
      <c r="F24" s="4" t="n"/>
      <c r="G24" s="4" t="n"/>
      <c r="H24" s="4" t="n"/>
      <c r="I24" s="4" t="n"/>
      <c r="J24" s="4" t="n"/>
    </row>
    <row r="25" ht="44" customHeight="1">
      <c r="A25" s="4" t="n">
        <v>4</v>
      </c>
      <c r="B25" s="4" t="n"/>
      <c r="C25" s="4" t="n"/>
      <c r="D25" s="4" t="n"/>
      <c r="E25" s="4" t="n"/>
      <c r="F25" s="4" t="n"/>
      <c r="G25" s="4" t="n"/>
      <c r="H25" s="4" t="n"/>
      <c r="I25" s="4" t="n"/>
      <c r="J25" s="4" t="n"/>
    </row>
    <row r="26" ht="44" customHeight="1">
      <c r="A26" s="4" t="n">
        <v>5</v>
      </c>
      <c r="B26" s="4" t="n"/>
      <c r="C26" s="4" t="n"/>
      <c r="D26" s="4" t="n"/>
      <c r="E26" s="4" t="n"/>
      <c r="F26" s="4" t="n"/>
      <c r="G26" s="4" t="n"/>
      <c r="H26" s="4" t="n"/>
      <c r="I26" s="4" t="n"/>
      <c r="J26" s="4" t="n"/>
    </row>
    <row r="27" ht="44" customHeight="1">
      <c r="A27" s="4" t="n">
        <v>6</v>
      </c>
      <c r="B27" s="4" t="n"/>
      <c r="C27" s="4" t="n"/>
      <c r="D27" s="4" t="n"/>
      <c r="E27" s="4" t="n"/>
      <c r="F27" s="4" t="n"/>
      <c r="G27" s="4" t="n"/>
      <c r="H27" s="4" t="n"/>
      <c r="I27" s="4" t="n"/>
      <c r="J27" s="4" t="n"/>
    </row>
    <row r="28" ht="44" customHeight="1">
      <c r="A28" s="4" t="n">
        <v>7</v>
      </c>
      <c r="B28" s="4" t="n"/>
      <c r="C28" s="4" t="n"/>
      <c r="D28" s="4" t="n"/>
      <c r="E28" s="4" t="n"/>
      <c r="F28" s="4" t="n"/>
      <c r="G28" s="4" t="n"/>
      <c r="H28" s="4" t="n"/>
      <c r="I28" s="4" t="n"/>
      <c r="J28" s="4" t="n"/>
    </row>
    <row r="29" ht="44" customHeight="1">
      <c r="A29" s="4" t="n">
        <v>8</v>
      </c>
      <c r="B29" s="4" t="n"/>
      <c r="C29" s="4" t="n"/>
      <c r="D29" s="4" t="n"/>
      <c r="E29" s="4" t="n"/>
      <c r="F29" s="4" t="n"/>
      <c r="G29" s="4" t="n"/>
      <c r="H29" s="4" t="n"/>
      <c r="I29" s="4" t="n"/>
      <c r="J29" s="4" t="n"/>
    </row>
    <row r="30" ht="44" customHeight="1">
      <c r="A30" s="4" t="n">
        <v>9</v>
      </c>
      <c r="B30" s="4" t="n"/>
      <c r="C30" s="4" t="n"/>
      <c r="D30" s="4" t="n"/>
      <c r="E30" s="4" t="n"/>
      <c r="F30" s="4" t="n"/>
      <c r="G30" s="4" t="n"/>
      <c r="H30" s="4" t="n"/>
      <c r="I30" s="4" t="n"/>
      <c r="J30" s="4" t="n"/>
    </row>
    <row r="31" ht="44" customHeight="1">
      <c r="A31" s="4" t="n">
        <v>10</v>
      </c>
      <c r="B31" s="4" t="n"/>
      <c r="C31" s="4" t="n"/>
      <c r="D31" s="4" t="n"/>
      <c r="E31" s="4" t="n"/>
      <c r="F31" s="4" t="n"/>
      <c r="G31" s="4" t="n"/>
      <c r="H31" s="4" t="n"/>
      <c r="I31" s="4" t="n"/>
      <c r="J31" s="4" t="n"/>
    </row>
    <row r="32" ht="44" customHeight="1">
      <c r="A32" s="4" t="n">
        <v>11</v>
      </c>
      <c r="B32" s="4" t="n"/>
      <c r="C32" s="4" t="n"/>
      <c r="D32" s="4" t="n"/>
      <c r="E32" s="4" t="n"/>
      <c r="F32" s="4" t="n"/>
      <c r="G32" s="4" t="n"/>
      <c r="H32" s="4" t="n"/>
      <c r="I32" s="4" t="n"/>
      <c r="J32" s="4" t="n"/>
    </row>
    <row r="33" ht="44" customHeight="1">
      <c r="A33" s="4" t="n">
        <v>12</v>
      </c>
      <c r="B33" s="4" t="n"/>
      <c r="C33" s="4" t="n"/>
      <c r="D33" s="4" t="n"/>
      <c r="E33" s="4" t="n"/>
      <c r="F33" s="4" t="n"/>
      <c r="G33" s="4" t="n"/>
      <c r="H33" s="4" t="n"/>
      <c r="I33" s="4" t="n"/>
      <c r="J33" s="4" t="n"/>
    </row>
    <row r="34" ht="44" customHeight="1">
      <c r="A34" s="4" t="n">
        <v>13</v>
      </c>
      <c r="B34" s="4" t="n"/>
      <c r="C34" s="4" t="n"/>
      <c r="D34" s="4" t="n"/>
      <c r="E34" s="4" t="n"/>
      <c r="F34" s="4" t="n"/>
      <c r="G34" s="4" t="n"/>
      <c r="H34" s="4" t="n"/>
      <c r="I34" s="4" t="n"/>
      <c r="J34" s="4" t="n"/>
    </row>
    <row r="35" ht="44" customHeight="1">
      <c r="A35" s="4" t="n">
        <v>14</v>
      </c>
      <c r="B35" s="4" t="n"/>
      <c r="C35" s="4" t="n"/>
      <c r="D35" s="4" t="n"/>
      <c r="E35" s="4" t="n"/>
      <c r="F35" s="4" t="n"/>
      <c r="G35" s="4" t="n"/>
      <c r="H35" s="4" t="n"/>
      <c r="I35" s="4" t="n"/>
      <c r="J35" s="4" t="n"/>
    </row>
    <row r="36" ht="44" customHeight="1">
      <c r="A36" s="4" t="n">
        <v>15</v>
      </c>
      <c r="B36" s="4" t="n"/>
      <c r="C36" s="4" t="n"/>
      <c r="D36" s="4" t="n"/>
      <c r="E36" s="4" t="n"/>
      <c r="F36" s="4" t="n"/>
      <c r="G36" s="4" t="n"/>
      <c r="H36" s="4" t="n"/>
      <c r="I36" s="4" t="n"/>
      <c r="J36" s="4" t="n"/>
    </row>
    <row r="37">
      <c r="A37" s="3" t="n"/>
      <c r="B37" s="3" t="n"/>
      <c r="C37" s="3" t="n"/>
      <c r="D37" s="3" t="n"/>
      <c r="E37" s="3" t="n"/>
      <c r="F37" s="3" t="n"/>
      <c r="G37" s="3" t="n"/>
      <c r="H37" s="3" t="n"/>
      <c r="I37" s="3" t="n"/>
      <c r="J37" s="3" t="n"/>
    </row>
    <row r="38">
      <c r="A38" s="8" t="inlineStr">
        <is>
          <t>Claim-by-claim review</t>
        </is>
      </c>
      <c r="B38" s="3" t="n"/>
      <c r="C38" s="3" t="n"/>
      <c r="D38" s="3" t="n"/>
      <c r="E38" s="3" t="n"/>
      <c r="F38" s="3" t="n"/>
      <c r="G38" s="3" t="n"/>
      <c r="H38" s="3" t="n"/>
      <c r="I38" s="3" t="n"/>
      <c r="J38" s="3" t="n"/>
    </row>
    <row r="39">
      <c r="A39" s="11" t="inlineStr">
        <is>
          <t>Claim ID</t>
        </is>
      </c>
      <c r="B39" s="11" t="inlineStr">
        <is>
          <t>Claim from answer</t>
        </is>
      </c>
      <c r="C39" s="11" t="inlineStr">
        <is>
          <t>Citation used</t>
        </is>
      </c>
      <c r="D39" s="11" t="inlineStr">
        <is>
          <t>Expert verdict</t>
        </is>
      </c>
      <c r="E39" s="11" t="inlineStr">
        <is>
          <t>Issue type</t>
        </is>
      </c>
      <c r="F39" s="11" t="inlineStr">
        <is>
          <t>Cited passage / source note</t>
        </is>
      </c>
      <c r="G39" s="11" t="inlineStr">
        <is>
          <t>Required fix / comment</t>
        </is>
      </c>
      <c r="H39" s="11" t="inlineStr">
        <is>
          <t>Reviewer</t>
        </is>
      </c>
      <c r="I39" s="11" t="n"/>
      <c r="J39" s="11" t="n"/>
    </row>
    <row r="40" ht="54" customHeight="1">
      <c r="A40" s="4" t="n">
        <v>1</v>
      </c>
      <c r="B40" s="4" t="n"/>
      <c r="C40" s="4" t="n"/>
      <c r="D40" s="4" t="n"/>
      <c r="E40" s="4" t="n"/>
      <c r="F40" s="4" t="n"/>
      <c r="G40" s="4" t="n"/>
      <c r="H40" s="4" t="n"/>
      <c r="I40" s="3" t="n"/>
      <c r="J40" s="3" t="n"/>
    </row>
    <row r="41" ht="54" customHeight="1">
      <c r="A41" s="4" t="n">
        <v>2</v>
      </c>
      <c r="B41" s="4" t="n"/>
      <c r="C41" s="4" t="n"/>
      <c r="D41" s="4" t="n"/>
      <c r="E41" s="4" t="n"/>
      <c r="F41" s="4" t="n"/>
      <c r="G41" s="4" t="n"/>
      <c r="H41" s="4" t="n"/>
      <c r="I41" s="3" t="n"/>
      <c r="J41" s="3" t="n"/>
    </row>
    <row r="42" ht="54" customHeight="1">
      <c r="A42" s="4" t="n">
        <v>3</v>
      </c>
      <c r="B42" s="4" t="n"/>
      <c r="C42" s="4" t="n"/>
      <c r="D42" s="4" t="n"/>
      <c r="E42" s="4" t="n"/>
      <c r="F42" s="4" t="n"/>
      <c r="G42" s="4" t="n"/>
      <c r="H42" s="4" t="n"/>
      <c r="I42" s="3" t="n"/>
      <c r="J42" s="3" t="n"/>
    </row>
    <row r="43" ht="54" customHeight="1">
      <c r="A43" s="4" t="n">
        <v>4</v>
      </c>
      <c r="B43" s="4" t="n"/>
      <c r="C43" s="4" t="n"/>
      <c r="D43" s="4" t="n"/>
      <c r="E43" s="4" t="n"/>
      <c r="F43" s="4" t="n"/>
      <c r="G43" s="4" t="n"/>
      <c r="H43" s="4" t="n"/>
      <c r="I43" s="3" t="n"/>
      <c r="J43" s="3" t="n"/>
    </row>
    <row r="44" ht="54" customHeight="1">
      <c r="A44" s="4" t="n">
        <v>5</v>
      </c>
      <c r="B44" s="4" t="n"/>
      <c r="C44" s="4" t="n"/>
      <c r="D44" s="4" t="n"/>
      <c r="E44" s="4" t="n"/>
      <c r="F44" s="4" t="n"/>
      <c r="G44" s="4" t="n"/>
      <c r="H44" s="4" t="n"/>
      <c r="I44" s="3" t="n"/>
      <c r="J44" s="3" t="n"/>
    </row>
    <row r="45" ht="54" customHeight="1">
      <c r="A45" s="4" t="n">
        <v>6</v>
      </c>
      <c r="B45" s="4" t="n"/>
      <c r="C45" s="4" t="n"/>
      <c r="D45" s="4" t="n"/>
      <c r="E45" s="4" t="n"/>
      <c r="F45" s="4" t="n"/>
      <c r="G45" s="4" t="n"/>
      <c r="H45" s="4" t="n"/>
      <c r="I45" s="3" t="n"/>
      <c r="J45" s="3" t="n"/>
    </row>
    <row r="46" ht="54" customHeight="1">
      <c r="A46" s="4" t="n">
        <v>7</v>
      </c>
      <c r="B46" s="4" t="n"/>
      <c r="C46" s="4" t="n"/>
      <c r="D46" s="4" t="n"/>
      <c r="E46" s="4" t="n"/>
      <c r="F46" s="4" t="n"/>
      <c r="G46" s="4" t="n"/>
      <c r="H46" s="4" t="n"/>
      <c r="I46" s="3" t="n"/>
      <c r="J46" s="3" t="n"/>
    </row>
    <row r="47" ht="54" customHeight="1">
      <c r="A47" s="4" t="n">
        <v>8</v>
      </c>
      <c r="B47" s="4" t="n"/>
      <c r="C47" s="4" t="n"/>
      <c r="D47" s="4" t="n"/>
      <c r="E47" s="4" t="n"/>
      <c r="F47" s="4" t="n"/>
      <c r="G47" s="4" t="n"/>
      <c r="H47" s="4" t="n"/>
      <c r="I47" s="3" t="n"/>
      <c r="J47" s="3" t="n"/>
    </row>
    <row r="48" ht="54" customHeight="1">
      <c r="A48" s="4" t="n">
        <v>9</v>
      </c>
      <c r="B48" s="4" t="n"/>
      <c r="C48" s="4" t="n"/>
      <c r="D48" s="4" t="n"/>
      <c r="E48" s="4" t="n"/>
      <c r="F48" s="4" t="n"/>
      <c r="G48" s="4" t="n"/>
      <c r="H48" s="4" t="n"/>
      <c r="I48" s="3" t="n"/>
      <c r="J48" s="3" t="n"/>
    </row>
    <row r="49" ht="54" customHeight="1">
      <c r="A49" s="4" t="n">
        <v>10</v>
      </c>
      <c r="B49" s="4" t="n"/>
      <c r="C49" s="4" t="n"/>
      <c r="D49" s="4" t="n"/>
      <c r="E49" s="4" t="n"/>
      <c r="F49" s="4" t="n"/>
      <c r="G49" s="4" t="n"/>
      <c r="H49" s="4" t="n"/>
      <c r="I49" s="3" t="n"/>
      <c r="J49" s="3" t="n"/>
    </row>
    <row r="50" ht="54" customHeight="1">
      <c r="A50" s="4" t="n">
        <v>11</v>
      </c>
      <c r="B50" s="4" t="n"/>
      <c r="C50" s="4" t="n"/>
      <c r="D50" s="4" t="n"/>
      <c r="E50" s="4" t="n"/>
      <c r="F50" s="4" t="n"/>
      <c r="G50" s="4" t="n"/>
      <c r="H50" s="4" t="n"/>
      <c r="I50" s="3" t="n"/>
      <c r="J50" s="3" t="n"/>
    </row>
    <row r="51" ht="54" customHeight="1">
      <c r="A51" s="4" t="n">
        <v>12</v>
      </c>
      <c r="B51" s="4" t="n"/>
      <c r="C51" s="4" t="n"/>
      <c r="D51" s="4" t="n"/>
      <c r="E51" s="4" t="n"/>
      <c r="F51" s="4" t="n"/>
      <c r="G51" s="4" t="n"/>
      <c r="H51" s="4" t="n"/>
      <c r="I51" s="3" t="n"/>
      <c r="J51" s="3" t="n"/>
    </row>
    <row r="52" ht="54" customHeight="1">
      <c r="A52" s="4" t="n">
        <v>13</v>
      </c>
      <c r="B52" s="4" t="n"/>
      <c r="C52" s="4" t="n"/>
      <c r="D52" s="4" t="n"/>
      <c r="E52" s="4" t="n"/>
      <c r="F52" s="4" t="n"/>
      <c r="G52" s="4" t="n"/>
      <c r="H52" s="4" t="n"/>
      <c r="I52" s="3" t="n"/>
      <c r="J52" s="3" t="n"/>
    </row>
    <row r="53" ht="54" customHeight="1">
      <c r="A53" s="4" t="n">
        <v>14</v>
      </c>
      <c r="B53" s="4" t="n"/>
      <c r="C53" s="4" t="n"/>
      <c r="D53" s="4" t="n"/>
      <c r="E53" s="4" t="n"/>
      <c r="F53" s="4" t="n"/>
      <c r="G53" s="4" t="n"/>
      <c r="H53" s="4" t="n"/>
      <c r="I53" s="3" t="n"/>
      <c r="J53" s="3" t="n"/>
    </row>
    <row r="54" ht="54" customHeight="1">
      <c r="A54" s="4" t="n">
        <v>15</v>
      </c>
      <c r="B54" s="4" t="n"/>
      <c r="C54" s="4" t="n"/>
      <c r="D54" s="4" t="n"/>
      <c r="E54" s="4" t="n"/>
      <c r="F54" s="4" t="n"/>
      <c r="G54" s="4" t="n"/>
      <c r="H54" s="4" t="n"/>
      <c r="I54" s="3" t="n"/>
      <c r="J54" s="3" t="n"/>
    </row>
    <row r="55" ht="54" customHeight="1">
      <c r="A55" s="4" t="n">
        <v>16</v>
      </c>
      <c r="B55" s="4" t="n"/>
      <c r="C55" s="4" t="n"/>
      <c r="D55" s="4" t="n"/>
      <c r="E55" s="4" t="n"/>
      <c r="F55" s="4" t="n"/>
      <c r="G55" s="4" t="n"/>
      <c r="H55" s="4" t="n"/>
      <c r="I55" s="3" t="n"/>
      <c r="J55" s="3" t="n"/>
    </row>
    <row r="56" ht="54" customHeight="1">
      <c r="A56" s="4" t="n">
        <v>17</v>
      </c>
      <c r="B56" s="4" t="n"/>
      <c r="C56" s="4" t="n"/>
      <c r="D56" s="4" t="n"/>
      <c r="E56" s="4" t="n"/>
      <c r="F56" s="4" t="n"/>
      <c r="G56" s="4" t="n"/>
      <c r="H56" s="4" t="n"/>
      <c r="I56" s="3" t="n"/>
      <c r="J56" s="3" t="n"/>
    </row>
    <row r="57" ht="54" customHeight="1">
      <c r="A57" s="4" t="n">
        <v>18</v>
      </c>
      <c r="B57" s="4" t="n"/>
      <c r="C57" s="4" t="n"/>
      <c r="D57" s="4" t="n"/>
      <c r="E57" s="4" t="n"/>
      <c r="F57" s="4" t="n"/>
      <c r="G57" s="4" t="n"/>
      <c r="H57" s="4" t="n"/>
      <c r="I57" s="3" t="n"/>
      <c r="J57" s="3" t="n"/>
    </row>
    <row r="58" ht="54" customHeight="1">
      <c r="A58" s="4" t="n">
        <v>19</v>
      </c>
      <c r="B58" s="4" t="n"/>
      <c r="C58" s="4" t="n"/>
      <c r="D58" s="4" t="n"/>
      <c r="E58" s="4" t="n"/>
      <c r="F58" s="4" t="n"/>
      <c r="G58" s="4" t="n"/>
      <c r="H58" s="4" t="n"/>
      <c r="I58" s="3" t="n"/>
      <c r="J58" s="3" t="n"/>
    </row>
    <row r="59" ht="54" customHeight="1">
      <c r="A59" s="4" t="n">
        <v>20</v>
      </c>
      <c r="B59" s="4" t="n"/>
      <c r="C59" s="4" t="n"/>
      <c r="D59" s="4" t="n"/>
      <c r="E59" s="4" t="n"/>
      <c r="F59" s="4" t="n"/>
      <c r="G59" s="4" t="n"/>
      <c r="H59" s="4" t="n"/>
      <c r="I59" s="3" t="n"/>
      <c r="J59" s="3" t="n"/>
    </row>
    <row r="60">
      <c r="A60" s="3" t="n"/>
      <c r="B60" s="3" t="n"/>
      <c r="C60" s="3" t="n"/>
      <c r="D60" s="3" t="n"/>
      <c r="E60" s="3" t="n"/>
      <c r="F60" s="3" t="n"/>
      <c r="G60" s="3" t="n"/>
      <c r="H60" s="3" t="n"/>
      <c r="I60" s="3" t="n"/>
      <c r="J60" s="3" t="n"/>
    </row>
    <row r="61">
      <c r="A61" s="8" t="inlineStr">
        <is>
          <t>Final expert verdict</t>
        </is>
      </c>
      <c r="B61" s="3" t="n"/>
      <c r="C61" s="3" t="n"/>
      <c r="D61" s="3" t="n"/>
      <c r="E61" s="3" t="n"/>
      <c r="F61" s="3" t="n"/>
      <c r="G61" s="3" t="n"/>
      <c r="H61" s="3" t="n"/>
      <c r="I61" s="3" t="n"/>
      <c r="J61" s="3" t="n"/>
    </row>
    <row r="62">
      <c r="A62" s="12" t="inlineStr">
        <is>
          <t>Is the answer acceptable?</t>
        </is>
      </c>
      <c r="B62" s="4" t="inlineStr"/>
      <c r="C62" s="4" t="n"/>
      <c r="D62" s="4" t="n"/>
      <c r="E62" s="4" t="n"/>
      <c r="F62" s="4" t="n"/>
      <c r="G62" s="4" t="n"/>
      <c r="H62" s="4" t="n"/>
      <c r="I62" s="3" t="n"/>
      <c r="J62" s="3" t="n"/>
    </row>
    <row r="63" ht="54" customHeight="1">
      <c r="A63" s="12" t="inlineStr">
        <is>
          <t>Overall comment / required fixes</t>
        </is>
      </c>
      <c r="B63" s="4" t="n"/>
      <c r="C63" s="4" t="n"/>
      <c r="D63" s="4" t="n"/>
      <c r="E63" s="4" t="n"/>
      <c r="F63" s="4" t="n"/>
      <c r="G63" s="4" t="n"/>
      <c r="H63" s="4" t="n"/>
      <c r="I63" s="3" t="n"/>
      <c r="J63" s="3" t="n"/>
    </row>
    <row r="64">
      <c r="A64" s="4" t="n"/>
      <c r="B64" s="4" t="n"/>
      <c r="C64" s="4" t="n"/>
      <c r="D64" s="4" t="n"/>
      <c r="E64" s="4" t="n"/>
      <c r="F64" s="4" t="n"/>
      <c r="G64" s="4" t="n"/>
      <c r="H64" s="4" t="n"/>
      <c r="I64" s="3" t="n"/>
      <c r="J64" s="3" t="n"/>
    </row>
    <row r="65">
      <c r="A65" s="12" t="inlineStr">
        <is>
          <t>Missing key sources?</t>
        </is>
      </c>
      <c r="B65" s="4" t="n"/>
      <c r="C65" s="4" t="n"/>
      <c r="D65" s="4" t="n"/>
      <c r="E65" s="4" t="n"/>
      <c r="F65" s="4" t="n"/>
      <c r="G65" s="4" t="n"/>
      <c r="H65" s="4" t="n"/>
      <c r="I65" s="3" t="n"/>
      <c r="J65" s="3" t="n"/>
    </row>
    <row r="66">
      <c r="A66" s="12" t="inlineStr">
        <is>
          <t>Review completed?</t>
        </is>
      </c>
      <c r="B66" s="4" t="inlineStr"/>
      <c r="C66" s="4" t="n"/>
      <c r="D66" s="4" t="n"/>
      <c r="E66" s="4" t="n"/>
      <c r="F66" s="4" t="n"/>
      <c r="G66" s="4" t="n"/>
      <c r="H66" s="4" t="n"/>
      <c r="I66" s="3" t="n"/>
      <c r="J66" s="3" t="n"/>
    </row>
    <row r="67">
      <c r="A67" s="12" t="inlineStr">
        <is>
          <t>Reviewer</t>
        </is>
      </c>
      <c r="B67" s="4" t="n"/>
      <c r="C67" s="12" t="inlineStr">
        <is>
          <t>Review date</t>
        </is>
      </c>
      <c r="D67" s="5" t="inlineStr"/>
      <c r="E67" s="4" t="n"/>
      <c r="F67" s="4" t="n"/>
      <c r="G67" s="4" t="n"/>
      <c r="H67" s="4" t="n"/>
      <c r="I67" s="3" t="n"/>
      <c r="J67" s="3" t="n"/>
    </row>
    <row r="68">
      <c r="A68" s="3" t="n"/>
      <c r="B68" s="3" t="n"/>
      <c r="C68" s="3" t="n"/>
      <c r="D68" s="3" t="n"/>
      <c r="E68" s="3" t="n"/>
      <c r="F68" s="3" t="n"/>
      <c r="G68" s="3" t="n"/>
      <c r="H68" s="3" t="n"/>
      <c r="I68" s="3" t="n"/>
      <c r="J68" s="3" t="n"/>
    </row>
    <row r="69">
      <c r="A69" s="8" t="inlineStr">
        <is>
          <t>Original source notes</t>
        </is>
      </c>
      <c r="B69" s="3" t="n"/>
      <c r="C69" s="3" t="n"/>
      <c r="D69" s="3" t="n"/>
      <c r="E69" s="3" t="n"/>
      <c r="F69" s="3" t="n"/>
      <c r="G69" s="3" t="n"/>
      <c r="H69" s="3" t="n"/>
      <c r="I69" s="3" t="n"/>
      <c r="J69" s="3" t="n"/>
    </row>
    <row r="70">
      <c r="A70" s="12" t="inlineStr">
        <is>
          <t>WAB notes</t>
        </is>
      </c>
      <c r="B70" s="4" t="inlineStr">
        <is>
          <t>Possible overlap with question 14.</t>
        </is>
      </c>
      <c r="C70" s="4" t="n"/>
      <c r="D70" s="4" t="n"/>
      <c r="E70" s="4" t="n"/>
      <c r="F70" s="4" t="n"/>
      <c r="G70" s="4" t="n"/>
      <c r="H70" s="4" t="n"/>
      <c r="I70" s="3" t="n"/>
      <c r="J70" s="3" t="n"/>
    </row>
    <row r="71" ht="54" customHeight="1">
      <c r="A71" s="12" t="inlineStr">
        <is>
          <t>Reviewer notes from question approval</t>
        </is>
      </c>
      <c r="B71" s="4" t="inlineStr">
        <is>
          <t>no overlap with question 14, we can keep the question.</t>
        </is>
      </c>
      <c r="C71" s="4" t="n"/>
      <c r="D71" s="4" t="n"/>
      <c r="E71" s="4" t="n"/>
      <c r="F71" s="4" t="n"/>
      <c r="G71" s="4" t="n"/>
      <c r="H71" s="4" t="n"/>
      <c r="I71" s="3" t="n"/>
      <c r="J71" s="3" t="n"/>
    </row>
    <row r="72">
      <c r="A72" s="4" t="n"/>
      <c r="B72" s="4" t="n"/>
      <c r="C72" s="4" t="n"/>
      <c r="D72" s="4" t="n"/>
      <c r="E72" s="4" t="n"/>
      <c r="F72" s="4" t="n"/>
      <c r="G72" s="4" t="n"/>
      <c r="H72" s="4" t="n"/>
      <c r="I72" s="3" t="n"/>
      <c r="J72" s="3" t="n"/>
    </row>
  </sheetData>
  <autoFilter ref="A21:J36"/>
  <mergeCells count="20">
    <mergeCell ref="B65:H65"/>
    <mergeCell ref="B71:H72"/>
    <mergeCell ref="B6:H6"/>
    <mergeCell ref="A20:J20"/>
    <mergeCell ref="A1:H1"/>
    <mergeCell ref="B5:H5"/>
    <mergeCell ref="A61:H61"/>
    <mergeCell ref="A69:H69"/>
    <mergeCell ref="B4:H4"/>
    <mergeCell ref="B62:H62"/>
    <mergeCell ref="B7:H7"/>
    <mergeCell ref="B66:H66"/>
    <mergeCell ref="A3:H3"/>
    <mergeCell ref="A16:H18"/>
    <mergeCell ref="B70:H70"/>
    <mergeCell ref="A14:H14"/>
    <mergeCell ref="B63:H64"/>
    <mergeCell ref="B8:H8"/>
    <mergeCell ref="B10:H12"/>
    <mergeCell ref="A38:H38"/>
  </mergeCells>
  <dataValidations count="9">
    <dataValidation sqref="C22:C36" showDropDown="0" showInputMessage="0" showErrorMessage="0" allowBlank="1" type="list">
      <formula1>=Lists!$F$2:$F$5</formula1>
    </dataValidation>
    <dataValidation sqref="F22:F36" showDropDown="0" showInputMessage="0" showErrorMessage="0" allowBlank="1" type="list">
      <formula1>=Lists!$G$2:$G$4</formula1>
    </dataValidation>
    <dataValidation sqref="G22:G36" showDropDown="0" showInputMessage="0" showErrorMessage="0" allowBlank="1" type="list">
      <formula1>=Lists!$G$2:$G$4</formula1>
    </dataValidation>
    <dataValidation sqref="H22:H36" showDropDown="0" showInputMessage="0" showErrorMessage="0" allowBlank="1" type="list">
      <formula1>=Lists!$G$2:$G$4</formula1>
    </dataValidation>
    <dataValidation sqref="I22:I36" showDropDown="0" showInputMessage="0" showErrorMessage="0" allowBlank="1" type="list">
      <formula1>=Lists!$H$2:$H$6</formula1>
    </dataValidation>
    <dataValidation sqref="D40:D59" showDropDown="0" showInputMessage="0" showErrorMessage="0" allowBlank="1" type="list">
      <formula1>=Lists!$D$2:$D$7</formula1>
    </dataValidation>
    <dataValidation sqref="E40:E59" showDropDown="0" showInputMessage="0" showErrorMessage="0" allowBlank="1" type="list">
      <formula1>=Lists!$E$2:$E$8</formula1>
    </dataValidation>
    <dataValidation sqref="B62" showDropDown="0" showInputMessage="0" showErrorMessage="0" allowBlank="1" type="list">
      <formula1>=Lists!$C$2:$C$4</formula1>
    </dataValidation>
    <dataValidation sqref="B66" showDropDown="0" showInputMessage="0" showErrorMessage="0" allowBlank="1" type="list">
      <formula1>=Lists!$A$2:$A$3</formula1>
    </dataValidation>
  </dataValidations>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J72"/>
  <sheetViews>
    <sheetView showGridLines="0" workbookViewId="0">
      <pane ySplit="21" topLeftCell="A22" activePane="bottomLeft" state="frozen"/>
      <selection pane="bottomLeft" activeCell="A1" sqref="A1"/>
    </sheetView>
  </sheetViews>
  <sheetFormatPr baseColWidth="8" defaultRowHeight="15"/>
  <cols>
    <col width="12" customWidth="1" min="1" max="1"/>
    <col width="34" customWidth="1" min="2" max="2"/>
    <col width="22" customWidth="1" min="3" max="3"/>
    <col width="18" customWidth="1" min="4" max="4"/>
    <col width="20" customWidth="1" min="5" max="5"/>
    <col width="30" customWidth="1" min="6" max="6"/>
    <col width="34" customWidth="1" min="7" max="7"/>
    <col width="18" customWidth="1" min="8" max="8"/>
    <col width="18" customWidth="1" min="9" max="9"/>
    <col width="30" customWidth="1" min="10" max="10"/>
  </cols>
  <sheetData>
    <row r="1" ht="28" customHeight="1">
      <c r="A1" s="6" t="inlineStr">
        <is>
          <t>Q27 — Expert Review</t>
        </is>
      </c>
      <c r="B1" s="3" t="n"/>
      <c r="C1" s="3" t="n"/>
      <c r="D1" s="3" t="n"/>
      <c r="E1" s="3" t="n"/>
      <c r="F1" s="3" t="n"/>
      <c r="G1" s="3" t="n"/>
      <c r="H1" s="3" t="n"/>
      <c r="I1" s="3" t="n"/>
      <c r="J1" s="3" t="n"/>
    </row>
    <row r="2">
      <c r="A2" s="3" t="n"/>
      <c r="B2" s="3" t="n"/>
      <c r="C2" s="3" t="n"/>
      <c r="D2" s="3" t="n"/>
      <c r="E2" s="3" t="n"/>
      <c r="F2" s="3" t="n"/>
      <c r="G2" s="3" t="n"/>
      <c r="H2" s="3" t="n"/>
      <c r="I2" s="3" t="n"/>
      <c r="J2" s="3" t="n"/>
    </row>
    <row r="3">
      <c r="A3" s="8" t="inlineStr">
        <is>
          <t>Question metadata</t>
        </is>
      </c>
      <c r="B3" s="3" t="n"/>
      <c r="C3" s="3" t="n"/>
      <c r="D3" s="3" t="n"/>
      <c r="E3" s="3" t="n"/>
      <c r="F3" s="3" t="n"/>
      <c r="G3" s="3" t="n"/>
      <c r="H3" s="3" t="n"/>
      <c r="I3" s="3" t="n"/>
      <c r="J3" s="3" t="n"/>
    </row>
    <row r="4">
      <c r="A4" s="9" t="inlineStr">
        <is>
          <t>Question ID</t>
        </is>
      </c>
      <c r="B4" s="3" t="n">
        <v>27</v>
      </c>
      <c r="C4" s="3" t="n"/>
      <c r="D4" s="3" t="n"/>
      <c r="E4" s="3" t="n"/>
      <c r="F4" s="3" t="n"/>
      <c r="G4" s="3" t="n"/>
      <c r="H4" s="3" t="n"/>
      <c r="I4" s="3" t="n"/>
      <c r="J4" s="3" t="n"/>
    </row>
    <row r="5">
      <c r="A5" s="9" t="inlineStr">
        <is>
          <t>Topic</t>
        </is>
      </c>
      <c r="B5" s="3" t="inlineStr">
        <is>
          <t>Dawn raids — challenging a seizure</t>
        </is>
      </c>
      <c r="C5" s="3" t="n"/>
      <c r="D5" s="3" t="n"/>
      <c r="E5" s="3" t="n"/>
      <c r="F5" s="3" t="n"/>
      <c r="G5" s="3" t="n"/>
      <c r="H5" s="3" t="n"/>
      <c r="I5" s="3" t="n"/>
      <c r="J5" s="3" t="n"/>
    </row>
    <row r="6">
      <c r="A6" s="9" t="inlineStr">
        <is>
          <t>Scope</t>
        </is>
      </c>
      <c r="B6" s="3" t="inlineStr">
        <is>
          <t>France</t>
        </is>
      </c>
      <c r="C6" s="3" t="n"/>
      <c r="D6" s="3" t="n"/>
      <c r="E6" s="3" t="n"/>
      <c r="F6" s="3" t="n"/>
      <c r="G6" s="3" t="n"/>
      <c r="H6" s="3" t="n"/>
      <c r="I6" s="3" t="n"/>
      <c r="J6" s="3" t="n"/>
    </row>
    <row r="7">
      <c r="A7" s="9" t="inlineStr">
        <is>
          <t>Original reviewer</t>
        </is>
      </c>
      <c r="B7" s="3" t="inlineStr">
        <is>
          <t>Carolina</t>
        </is>
      </c>
      <c r="C7" s="3" t="n"/>
      <c r="D7" s="3" t="n"/>
      <c r="E7" s="3" t="n"/>
      <c r="F7" s="3" t="n"/>
      <c r="G7" s="3" t="n"/>
      <c r="H7" s="3" t="n"/>
      <c r="I7" s="3" t="n"/>
      <c r="J7" s="3" t="n"/>
    </row>
    <row r="8">
      <c r="A8" s="9" t="inlineStr">
        <is>
          <t>Original status</t>
        </is>
      </c>
      <c r="B8" s="3" t="inlineStr">
        <is>
          <t>Approved</t>
        </is>
      </c>
      <c r="C8" s="3" t="n"/>
      <c r="D8" s="3" t="n"/>
      <c r="E8" s="3" t="n"/>
      <c r="F8" s="3" t="n"/>
      <c r="G8" s="3" t="n"/>
      <c r="H8" s="3" t="n"/>
      <c r="I8" s="3" t="n"/>
      <c r="J8" s="3" t="n"/>
    </row>
    <row r="9">
      <c r="A9" s="3" t="n"/>
      <c r="B9" s="3" t="n"/>
      <c r="C9" s="3" t="n"/>
      <c r="D9" s="3" t="n"/>
      <c r="E9" s="3" t="n"/>
      <c r="F9" s="3" t="n"/>
      <c r="G9" s="3" t="n"/>
      <c r="H9" s="3" t="n"/>
      <c r="I9" s="3" t="n"/>
      <c r="J9" s="3" t="n"/>
    </row>
    <row r="10" ht="45" customHeight="1">
      <c r="A10" s="9" t="inlineStr">
        <is>
          <t>Question</t>
        </is>
      </c>
      <c r="B10" s="3" t="inlineStr">
        <is>
          <t>French law separates a challenge to the order authorising a dawn raid from a challenge to how the raid was carried out. What are the two routes, who hears each, what are the time limits, and what can each achieve?</t>
        </is>
      </c>
      <c r="C10" s="3" t="n"/>
      <c r="D10" s="3" t="n"/>
      <c r="E10" s="3" t="n"/>
      <c r="F10" s="3" t="n"/>
      <c r="G10" s="3" t="n"/>
      <c r="H10" s="3" t="n"/>
      <c r="I10" s="3" t="n"/>
      <c r="J10" s="3" t="n"/>
    </row>
    <row r="11">
      <c r="A11" s="3" t="n"/>
      <c r="B11" s="3" t="n"/>
      <c r="C11" s="3" t="n"/>
      <c r="D11" s="3" t="n"/>
      <c r="E11" s="3" t="n"/>
      <c r="F11" s="3" t="n"/>
      <c r="G11" s="3" t="n"/>
      <c r="H11" s="3" t="n"/>
      <c r="I11" s="3" t="n"/>
      <c r="J11" s="3" t="n"/>
    </row>
    <row r="12">
      <c r="A12" s="3" t="n"/>
      <c r="B12" s="3" t="n"/>
      <c r="C12" s="3" t="n"/>
      <c r="D12" s="3" t="n"/>
      <c r="E12" s="3" t="n"/>
      <c r="F12" s="3" t="n"/>
      <c r="G12" s="3" t="n"/>
      <c r="H12" s="3" t="n"/>
      <c r="I12" s="3" t="n"/>
      <c r="J12" s="3" t="n"/>
    </row>
    <row r="13">
      <c r="A13" s="3" t="n"/>
      <c r="B13" s="3" t="n"/>
      <c r="C13" s="3" t="n"/>
      <c r="D13" s="3" t="n"/>
      <c r="E13" s="3" t="n"/>
      <c r="F13" s="3" t="n"/>
      <c r="G13" s="3" t="n"/>
      <c r="H13" s="3" t="n"/>
      <c r="I13" s="3" t="n"/>
      <c r="J13" s="3" t="n"/>
    </row>
    <row r="14">
      <c r="A14" s="8" t="inlineStr">
        <is>
          <t>Generated answer</t>
        </is>
      </c>
      <c r="B14" s="3" t="n"/>
      <c r="C14" s="3" t="n"/>
      <c r="D14" s="3" t="n"/>
      <c r="E14" s="3" t="n"/>
      <c r="F14" s="3" t="n"/>
      <c r="G14" s="3" t="n"/>
      <c r="H14" s="3" t="n"/>
      <c r="I14" s="3" t="n"/>
      <c r="J14" s="3" t="n"/>
    </row>
    <row r="15">
      <c r="A15" s="10" t="inlineStr">
        <is>
          <t>Paste the generated answer below.</t>
        </is>
      </c>
      <c r="B15" s="3" t="n"/>
      <c r="C15" s="3" t="n"/>
      <c r="D15" s="3" t="n"/>
      <c r="E15" s="3" t="n"/>
      <c r="F15" s="3" t="n"/>
      <c r="G15" s="3" t="n"/>
      <c r="H15" s="3" t="n"/>
      <c r="I15" s="3" t="n"/>
      <c r="J15" s="3" t="n"/>
    </row>
    <row r="16" ht="90" customHeight="1">
      <c r="A16" s="3" t="inlineStr"/>
      <c r="B16" s="3" t="n"/>
      <c r="C16" s="3" t="n"/>
      <c r="D16" s="3" t="n"/>
      <c r="E16" s="3" t="n"/>
      <c r="F16" s="3" t="n"/>
      <c r="G16" s="3" t="n"/>
      <c r="H16" s="3" t="n"/>
      <c r="I16" s="3" t="n"/>
      <c r="J16" s="3" t="n"/>
    </row>
    <row r="17" ht="30" customHeight="1">
      <c r="A17" s="3" t="n"/>
      <c r="B17" s="3" t="n"/>
      <c r="C17" s="3" t="n"/>
      <c r="D17" s="3" t="n"/>
      <c r="E17" s="3" t="n"/>
      <c r="F17" s="3" t="n"/>
      <c r="G17" s="3" t="n"/>
      <c r="H17" s="3" t="n"/>
      <c r="I17" s="3" t="n"/>
      <c r="J17" s="3" t="n"/>
    </row>
    <row r="18" ht="30" customHeight="1">
      <c r="A18" s="3" t="n"/>
      <c r="B18" s="3" t="n"/>
      <c r="C18" s="3" t="n"/>
      <c r="D18" s="3" t="n"/>
      <c r="E18" s="3" t="n"/>
      <c r="F18" s="3" t="n"/>
      <c r="G18" s="3" t="n"/>
      <c r="H18" s="3" t="n"/>
      <c r="I18" s="3" t="n"/>
      <c r="J18" s="3" t="n"/>
    </row>
    <row r="19">
      <c r="A19" s="9" t="inlineStr">
        <is>
          <t>Run ID</t>
        </is>
      </c>
      <c r="B19" s="3" t="inlineStr"/>
      <c r="C19" s="9" t="inlineStr">
        <is>
          <t>Run date</t>
        </is>
      </c>
      <c r="D19" s="3" t="inlineStr"/>
      <c r="E19" s="9" t="inlineStr">
        <is>
          <t>Model / prompt version</t>
        </is>
      </c>
      <c r="F19" s="3" t="inlineStr"/>
      <c r="G19" s="9" t="inlineStr">
        <is>
          <t>Corpus snapshot</t>
        </is>
      </c>
      <c r="H19" s="3" t="inlineStr"/>
      <c r="I19" s="3" t="n"/>
      <c r="J19" s="3" t="n"/>
    </row>
    <row r="20">
      <c r="A20" s="8" t="inlineStr">
        <is>
          <t>Retrieval set review</t>
        </is>
      </c>
      <c r="B20" s="3" t="n"/>
      <c r="C20" s="3" t="n"/>
      <c r="D20" s="3" t="n"/>
      <c r="E20" s="3" t="n"/>
      <c r="F20" s="3" t="n"/>
      <c r="G20" s="3" t="n"/>
      <c r="H20" s="3" t="n"/>
      <c r="I20" s="3" t="n"/>
      <c r="J20" s="3" t="n"/>
    </row>
    <row r="21">
      <c r="A21" s="11" t="inlineStr">
        <is>
          <t>Rank</t>
        </is>
      </c>
      <c r="B21" s="11" t="inlineStr">
        <is>
          <t>Retrieved source</t>
        </is>
      </c>
      <c r="C21" s="11" t="inlineStr">
        <is>
          <t>Source type</t>
        </is>
      </c>
      <c r="D21" s="11" t="inlineStr">
        <is>
          <t>Jurisdiction</t>
        </is>
      </c>
      <c r="E21" s="11" t="inlineStr">
        <is>
          <t>URL / Document ID</t>
        </is>
      </c>
      <c r="F21" s="11" t="inlineStr">
        <is>
          <t>Returned by engine?</t>
        </is>
      </c>
      <c r="G21" s="11" t="inlineStr">
        <is>
          <t>Required source?</t>
        </is>
      </c>
      <c r="H21" s="11" t="inlineStr">
        <is>
          <t>Trap?</t>
        </is>
      </c>
      <c r="I21" s="11" t="inlineStr">
        <is>
          <t>Expert verdict</t>
        </is>
      </c>
      <c r="J21" s="11" t="inlineStr">
        <is>
          <t>Notes</t>
        </is>
      </c>
    </row>
    <row r="22" ht="44" customHeight="1">
      <c r="A22" s="4" t="n">
        <v>1</v>
      </c>
      <c r="B22" s="4" t="n"/>
      <c r="C22" s="4" t="n"/>
      <c r="D22" s="4" t="n"/>
      <c r="E22" s="4" t="n"/>
      <c r="F22" s="4" t="n"/>
      <c r="G22" s="4" t="n"/>
      <c r="H22" s="4" t="n"/>
      <c r="I22" s="4" t="n"/>
      <c r="J22" s="4" t="n"/>
    </row>
    <row r="23" ht="44" customHeight="1">
      <c r="A23" s="4" t="n">
        <v>2</v>
      </c>
      <c r="B23" s="4" t="n"/>
      <c r="C23" s="4" t="n"/>
      <c r="D23" s="4" t="n"/>
      <c r="E23" s="4" t="n"/>
      <c r="F23" s="4" t="n"/>
      <c r="G23" s="4" t="n"/>
      <c r="H23" s="4" t="n"/>
      <c r="I23" s="4" t="n"/>
      <c r="J23" s="4" t="n"/>
    </row>
    <row r="24" ht="44" customHeight="1">
      <c r="A24" s="4" t="n">
        <v>3</v>
      </c>
      <c r="B24" s="4" t="n"/>
      <c r="C24" s="4" t="n"/>
      <c r="D24" s="4" t="n"/>
      <c r="E24" s="4" t="n"/>
      <c r="F24" s="4" t="n"/>
      <c r="G24" s="4" t="n"/>
      <c r="H24" s="4" t="n"/>
      <c r="I24" s="4" t="n"/>
      <c r="J24" s="4" t="n"/>
    </row>
    <row r="25" ht="44" customHeight="1">
      <c r="A25" s="4" t="n">
        <v>4</v>
      </c>
      <c r="B25" s="4" t="n"/>
      <c r="C25" s="4" t="n"/>
      <c r="D25" s="4" t="n"/>
      <c r="E25" s="4" t="n"/>
      <c r="F25" s="4" t="n"/>
      <c r="G25" s="4" t="n"/>
      <c r="H25" s="4" t="n"/>
      <c r="I25" s="4" t="n"/>
      <c r="J25" s="4" t="n"/>
    </row>
    <row r="26" ht="44" customHeight="1">
      <c r="A26" s="4" t="n">
        <v>5</v>
      </c>
      <c r="B26" s="4" t="n"/>
      <c r="C26" s="4" t="n"/>
      <c r="D26" s="4" t="n"/>
      <c r="E26" s="4" t="n"/>
      <c r="F26" s="4" t="n"/>
      <c r="G26" s="4" t="n"/>
      <c r="H26" s="4" t="n"/>
      <c r="I26" s="4" t="n"/>
      <c r="J26" s="4" t="n"/>
    </row>
    <row r="27" ht="44" customHeight="1">
      <c r="A27" s="4" t="n">
        <v>6</v>
      </c>
      <c r="B27" s="4" t="n"/>
      <c r="C27" s="4" t="n"/>
      <c r="D27" s="4" t="n"/>
      <c r="E27" s="4" t="n"/>
      <c r="F27" s="4" t="n"/>
      <c r="G27" s="4" t="n"/>
      <c r="H27" s="4" t="n"/>
      <c r="I27" s="4" t="n"/>
      <c r="J27" s="4" t="n"/>
    </row>
    <row r="28" ht="44" customHeight="1">
      <c r="A28" s="4" t="n">
        <v>7</v>
      </c>
      <c r="B28" s="4" t="n"/>
      <c r="C28" s="4" t="n"/>
      <c r="D28" s="4" t="n"/>
      <c r="E28" s="4" t="n"/>
      <c r="F28" s="4" t="n"/>
      <c r="G28" s="4" t="n"/>
      <c r="H28" s="4" t="n"/>
      <c r="I28" s="4" t="n"/>
      <c r="J28" s="4" t="n"/>
    </row>
    <row r="29" ht="44" customHeight="1">
      <c r="A29" s="4" t="n">
        <v>8</v>
      </c>
      <c r="B29" s="4" t="n"/>
      <c r="C29" s="4" t="n"/>
      <c r="D29" s="4" t="n"/>
      <c r="E29" s="4" t="n"/>
      <c r="F29" s="4" t="n"/>
      <c r="G29" s="4" t="n"/>
      <c r="H29" s="4" t="n"/>
      <c r="I29" s="4" t="n"/>
      <c r="J29" s="4" t="n"/>
    </row>
    <row r="30" ht="44" customHeight="1">
      <c r="A30" s="4" t="n">
        <v>9</v>
      </c>
      <c r="B30" s="4" t="n"/>
      <c r="C30" s="4" t="n"/>
      <c r="D30" s="4" t="n"/>
      <c r="E30" s="4" t="n"/>
      <c r="F30" s="4" t="n"/>
      <c r="G30" s="4" t="n"/>
      <c r="H30" s="4" t="n"/>
      <c r="I30" s="4" t="n"/>
      <c r="J30" s="4" t="n"/>
    </row>
    <row r="31" ht="44" customHeight="1">
      <c r="A31" s="4" t="n">
        <v>10</v>
      </c>
      <c r="B31" s="4" t="n"/>
      <c r="C31" s="4" t="n"/>
      <c r="D31" s="4" t="n"/>
      <c r="E31" s="4" t="n"/>
      <c r="F31" s="4" t="n"/>
      <c r="G31" s="4" t="n"/>
      <c r="H31" s="4" t="n"/>
      <c r="I31" s="4" t="n"/>
      <c r="J31" s="4" t="n"/>
    </row>
    <row r="32" ht="44" customHeight="1">
      <c r="A32" s="4" t="n">
        <v>11</v>
      </c>
      <c r="B32" s="4" t="n"/>
      <c r="C32" s="4" t="n"/>
      <c r="D32" s="4" t="n"/>
      <c r="E32" s="4" t="n"/>
      <c r="F32" s="4" t="n"/>
      <c r="G32" s="4" t="n"/>
      <c r="H32" s="4" t="n"/>
      <c r="I32" s="4" t="n"/>
      <c r="J32" s="4" t="n"/>
    </row>
    <row r="33" ht="44" customHeight="1">
      <c r="A33" s="4" t="n">
        <v>12</v>
      </c>
      <c r="B33" s="4" t="n"/>
      <c r="C33" s="4" t="n"/>
      <c r="D33" s="4" t="n"/>
      <c r="E33" s="4" t="n"/>
      <c r="F33" s="4" t="n"/>
      <c r="G33" s="4" t="n"/>
      <c r="H33" s="4" t="n"/>
      <c r="I33" s="4" t="n"/>
      <c r="J33" s="4" t="n"/>
    </row>
    <row r="34" ht="44" customHeight="1">
      <c r="A34" s="4" t="n">
        <v>13</v>
      </c>
      <c r="B34" s="4" t="n"/>
      <c r="C34" s="4" t="n"/>
      <c r="D34" s="4" t="n"/>
      <c r="E34" s="4" t="n"/>
      <c r="F34" s="4" t="n"/>
      <c r="G34" s="4" t="n"/>
      <c r="H34" s="4" t="n"/>
      <c r="I34" s="4" t="n"/>
      <c r="J34" s="4" t="n"/>
    </row>
    <row r="35" ht="44" customHeight="1">
      <c r="A35" s="4" t="n">
        <v>14</v>
      </c>
      <c r="B35" s="4" t="n"/>
      <c r="C35" s="4" t="n"/>
      <c r="D35" s="4" t="n"/>
      <c r="E35" s="4" t="n"/>
      <c r="F35" s="4" t="n"/>
      <c r="G35" s="4" t="n"/>
      <c r="H35" s="4" t="n"/>
      <c r="I35" s="4" t="n"/>
      <c r="J35" s="4" t="n"/>
    </row>
    <row r="36" ht="44" customHeight="1">
      <c r="A36" s="4" t="n">
        <v>15</v>
      </c>
      <c r="B36" s="4" t="n"/>
      <c r="C36" s="4" t="n"/>
      <c r="D36" s="4" t="n"/>
      <c r="E36" s="4" t="n"/>
      <c r="F36" s="4" t="n"/>
      <c r="G36" s="4" t="n"/>
      <c r="H36" s="4" t="n"/>
      <c r="I36" s="4" t="n"/>
      <c r="J36" s="4" t="n"/>
    </row>
    <row r="37">
      <c r="A37" s="3" t="n"/>
      <c r="B37" s="3" t="n"/>
      <c r="C37" s="3" t="n"/>
      <c r="D37" s="3" t="n"/>
      <c r="E37" s="3" t="n"/>
      <c r="F37" s="3" t="n"/>
      <c r="G37" s="3" t="n"/>
      <c r="H37" s="3" t="n"/>
      <c r="I37" s="3" t="n"/>
      <c r="J37" s="3" t="n"/>
    </row>
    <row r="38">
      <c r="A38" s="8" t="inlineStr">
        <is>
          <t>Claim-by-claim review</t>
        </is>
      </c>
      <c r="B38" s="3" t="n"/>
      <c r="C38" s="3" t="n"/>
      <c r="D38" s="3" t="n"/>
      <c r="E38" s="3" t="n"/>
      <c r="F38" s="3" t="n"/>
      <c r="G38" s="3" t="n"/>
      <c r="H38" s="3" t="n"/>
      <c r="I38" s="3" t="n"/>
      <c r="J38" s="3" t="n"/>
    </row>
    <row r="39">
      <c r="A39" s="11" t="inlineStr">
        <is>
          <t>Claim ID</t>
        </is>
      </c>
      <c r="B39" s="11" t="inlineStr">
        <is>
          <t>Claim from answer</t>
        </is>
      </c>
      <c r="C39" s="11" t="inlineStr">
        <is>
          <t>Citation used</t>
        </is>
      </c>
      <c r="D39" s="11" t="inlineStr">
        <is>
          <t>Expert verdict</t>
        </is>
      </c>
      <c r="E39" s="11" t="inlineStr">
        <is>
          <t>Issue type</t>
        </is>
      </c>
      <c r="F39" s="11" t="inlineStr">
        <is>
          <t>Cited passage / source note</t>
        </is>
      </c>
      <c r="G39" s="11" t="inlineStr">
        <is>
          <t>Required fix / comment</t>
        </is>
      </c>
      <c r="H39" s="11" t="inlineStr">
        <is>
          <t>Reviewer</t>
        </is>
      </c>
      <c r="I39" s="11" t="n"/>
      <c r="J39" s="11" t="n"/>
    </row>
    <row r="40" ht="54" customHeight="1">
      <c r="A40" s="4" t="n">
        <v>1</v>
      </c>
      <c r="B40" s="4" t="n"/>
      <c r="C40" s="4" t="n"/>
      <c r="D40" s="4" t="n"/>
      <c r="E40" s="4" t="n"/>
      <c r="F40" s="4" t="n"/>
      <c r="G40" s="4" t="n"/>
      <c r="H40" s="4" t="n"/>
      <c r="I40" s="3" t="n"/>
      <c r="J40" s="3" t="n"/>
    </row>
    <row r="41" ht="54" customHeight="1">
      <c r="A41" s="4" t="n">
        <v>2</v>
      </c>
      <c r="B41" s="4" t="n"/>
      <c r="C41" s="4" t="n"/>
      <c r="D41" s="4" t="n"/>
      <c r="E41" s="4" t="n"/>
      <c r="F41" s="4" t="n"/>
      <c r="G41" s="4" t="n"/>
      <c r="H41" s="4" t="n"/>
      <c r="I41" s="3" t="n"/>
      <c r="J41" s="3" t="n"/>
    </row>
    <row r="42" ht="54" customHeight="1">
      <c r="A42" s="4" t="n">
        <v>3</v>
      </c>
      <c r="B42" s="4" t="n"/>
      <c r="C42" s="4" t="n"/>
      <c r="D42" s="4" t="n"/>
      <c r="E42" s="4" t="n"/>
      <c r="F42" s="4" t="n"/>
      <c r="G42" s="4" t="n"/>
      <c r="H42" s="4" t="n"/>
      <c r="I42" s="3" t="n"/>
      <c r="J42" s="3" t="n"/>
    </row>
    <row r="43" ht="54" customHeight="1">
      <c r="A43" s="4" t="n">
        <v>4</v>
      </c>
      <c r="B43" s="4" t="n"/>
      <c r="C43" s="4" t="n"/>
      <c r="D43" s="4" t="n"/>
      <c r="E43" s="4" t="n"/>
      <c r="F43" s="4" t="n"/>
      <c r="G43" s="4" t="n"/>
      <c r="H43" s="4" t="n"/>
      <c r="I43" s="3" t="n"/>
      <c r="J43" s="3" t="n"/>
    </row>
    <row r="44" ht="54" customHeight="1">
      <c r="A44" s="4" t="n">
        <v>5</v>
      </c>
      <c r="B44" s="4" t="n"/>
      <c r="C44" s="4" t="n"/>
      <c r="D44" s="4" t="n"/>
      <c r="E44" s="4" t="n"/>
      <c r="F44" s="4" t="n"/>
      <c r="G44" s="4" t="n"/>
      <c r="H44" s="4" t="n"/>
      <c r="I44" s="3" t="n"/>
      <c r="J44" s="3" t="n"/>
    </row>
    <row r="45" ht="54" customHeight="1">
      <c r="A45" s="4" t="n">
        <v>6</v>
      </c>
      <c r="B45" s="4" t="n"/>
      <c r="C45" s="4" t="n"/>
      <c r="D45" s="4" t="n"/>
      <c r="E45" s="4" t="n"/>
      <c r="F45" s="4" t="n"/>
      <c r="G45" s="4" t="n"/>
      <c r="H45" s="4" t="n"/>
      <c r="I45" s="3" t="n"/>
      <c r="J45" s="3" t="n"/>
    </row>
    <row r="46" ht="54" customHeight="1">
      <c r="A46" s="4" t="n">
        <v>7</v>
      </c>
      <c r="B46" s="4" t="n"/>
      <c r="C46" s="4" t="n"/>
      <c r="D46" s="4" t="n"/>
      <c r="E46" s="4" t="n"/>
      <c r="F46" s="4" t="n"/>
      <c r="G46" s="4" t="n"/>
      <c r="H46" s="4" t="n"/>
      <c r="I46" s="3" t="n"/>
      <c r="J46" s="3" t="n"/>
    </row>
    <row r="47" ht="54" customHeight="1">
      <c r="A47" s="4" t="n">
        <v>8</v>
      </c>
      <c r="B47" s="4" t="n"/>
      <c r="C47" s="4" t="n"/>
      <c r="D47" s="4" t="n"/>
      <c r="E47" s="4" t="n"/>
      <c r="F47" s="4" t="n"/>
      <c r="G47" s="4" t="n"/>
      <c r="H47" s="4" t="n"/>
      <c r="I47" s="3" t="n"/>
      <c r="J47" s="3" t="n"/>
    </row>
    <row r="48" ht="54" customHeight="1">
      <c r="A48" s="4" t="n">
        <v>9</v>
      </c>
      <c r="B48" s="4" t="n"/>
      <c r="C48" s="4" t="n"/>
      <c r="D48" s="4" t="n"/>
      <c r="E48" s="4" t="n"/>
      <c r="F48" s="4" t="n"/>
      <c r="G48" s="4" t="n"/>
      <c r="H48" s="4" t="n"/>
      <c r="I48" s="3" t="n"/>
      <c r="J48" s="3" t="n"/>
    </row>
    <row r="49" ht="54" customHeight="1">
      <c r="A49" s="4" t="n">
        <v>10</v>
      </c>
      <c r="B49" s="4" t="n"/>
      <c r="C49" s="4" t="n"/>
      <c r="D49" s="4" t="n"/>
      <c r="E49" s="4" t="n"/>
      <c r="F49" s="4" t="n"/>
      <c r="G49" s="4" t="n"/>
      <c r="H49" s="4" t="n"/>
      <c r="I49" s="3" t="n"/>
      <c r="J49" s="3" t="n"/>
    </row>
    <row r="50" ht="54" customHeight="1">
      <c r="A50" s="4" t="n">
        <v>11</v>
      </c>
      <c r="B50" s="4" t="n"/>
      <c r="C50" s="4" t="n"/>
      <c r="D50" s="4" t="n"/>
      <c r="E50" s="4" t="n"/>
      <c r="F50" s="4" t="n"/>
      <c r="G50" s="4" t="n"/>
      <c r="H50" s="4" t="n"/>
      <c r="I50" s="3" t="n"/>
      <c r="J50" s="3" t="n"/>
    </row>
    <row r="51" ht="54" customHeight="1">
      <c r="A51" s="4" t="n">
        <v>12</v>
      </c>
      <c r="B51" s="4" t="n"/>
      <c r="C51" s="4" t="n"/>
      <c r="D51" s="4" t="n"/>
      <c r="E51" s="4" t="n"/>
      <c r="F51" s="4" t="n"/>
      <c r="G51" s="4" t="n"/>
      <c r="H51" s="4" t="n"/>
      <c r="I51" s="3" t="n"/>
      <c r="J51" s="3" t="n"/>
    </row>
    <row r="52" ht="54" customHeight="1">
      <c r="A52" s="4" t="n">
        <v>13</v>
      </c>
      <c r="B52" s="4" t="n"/>
      <c r="C52" s="4" t="n"/>
      <c r="D52" s="4" t="n"/>
      <c r="E52" s="4" t="n"/>
      <c r="F52" s="4" t="n"/>
      <c r="G52" s="4" t="n"/>
      <c r="H52" s="4" t="n"/>
      <c r="I52" s="3" t="n"/>
      <c r="J52" s="3" t="n"/>
    </row>
    <row r="53" ht="54" customHeight="1">
      <c r="A53" s="4" t="n">
        <v>14</v>
      </c>
      <c r="B53" s="4" t="n"/>
      <c r="C53" s="4" t="n"/>
      <c r="D53" s="4" t="n"/>
      <c r="E53" s="4" t="n"/>
      <c r="F53" s="4" t="n"/>
      <c r="G53" s="4" t="n"/>
      <c r="H53" s="4" t="n"/>
      <c r="I53" s="3" t="n"/>
      <c r="J53" s="3" t="n"/>
    </row>
    <row r="54" ht="54" customHeight="1">
      <c r="A54" s="4" t="n">
        <v>15</v>
      </c>
      <c r="B54" s="4" t="n"/>
      <c r="C54" s="4" t="n"/>
      <c r="D54" s="4" t="n"/>
      <c r="E54" s="4" t="n"/>
      <c r="F54" s="4" t="n"/>
      <c r="G54" s="4" t="n"/>
      <c r="H54" s="4" t="n"/>
      <c r="I54" s="3" t="n"/>
      <c r="J54" s="3" t="n"/>
    </row>
    <row r="55" ht="54" customHeight="1">
      <c r="A55" s="4" t="n">
        <v>16</v>
      </c>
      <c r="B55" s="4" t="n"/>
      <c r="C55" s="4" t="n"/>
      <c r="D55" s="4" t="n"/>
      <c r="E55" s="4" t="n"/>
      <c r="F55" s="4" t="n"/>
      <c r="G55" s="4" t="n"/>
      <c r="H55" s="4" t="n"/>
      <c r="I55" s="3" t="n"/>
      <c r="J55" s="3" t="n"/>
    </row>
    <row r="56" ht="54" customHeight="1">
      <c r="A56" s="4" t="n">
        <v>17</v>
      </c>
      <c r="B56" s="4" t="n"/>
      <c r="C56" s="4" t="n"/>
      <c r="D56" s="4" t="n"/>
      <c r="E56" s="4" t="n"/>
      <c r="F56" s="4" t="n"/>
      <c r="G56" s="4" t="n"/>
      <c r="H56" s="4" t="n"/>
      <c r="I56" s="3" t="n"/>
      <c r="J56" s="3" t="n"/>
    </row>
    <row r="57" ht="54" customHeight="1">
      <c r="A57" s="4" t="n">
        <v>18</v>
      </c>
      <c r="B57" s="4" t="n"/>
      <c r="C57" s="4" t="n"/>
      <c r="D57" s="4" t="n"/>
      <c r="E57" s="4" t="n"/>
      <c r="F57" s="4" t="n"/>
      <c r="G57" s="4" t="n"/>
      <c r="H57" s="4" t="n"/>
      <c r="I57" s="3" t="n"/>
      <c r="J57" s="3" t="n"/>
    </row>
    <row r="58" ht="54" customHeight="1">
      <c r="A58" s="4" t="n">
        <v>19</v>
      </c>
      <c r="B58" s="4" t="n"/>
      <c r="C58" s="4" t="n"/>
      <c r="D58" s="4" t="n"/>
      <c r="E58" s="4" t="n"/>
      <c r="F58" s="4" t="n"/>
      <c r="G58" s="4" t="n"/>
      <c r="H58" s="4" t="n"/>
      <c r="I58" s="3" t="n"/>
      <c r="J58" s="3" t="n"/>
    </row>
    <row r="59" ht="54" customHeight="1">
      <c r="A59" s="4" t="n">
        <v>20</v>
      </c>
      <c r="B59" s="4" t="n"/>
      <c r="C59" s="4" t="n"/>
      <c r="D59" s="4" t="n"/>
      <c r="E59" s="4" t="n"/>
      <c r="F59" s="4" t="n"/>
      <c r="G59" s="4" t="n"/>
      <c r="H59" s="4" t="n"/>
      <c r="I59" s="3" t="n"/>
      <c r="J59" s="3" t="n"/>
    </row>
    <row r="60">
      <c r="A60" s="3" t="n"/>
      <c r="B60" s="3" t="n"/>
      <c r="C60" s="3" t="n"/>
      <c r="D60" s="3" t="n"/>
      <c r="E60" s="3" t="n"/>
      <c r="F60" s="3" t="n"/>
      <c r="G60" s="3" t="n"/>
      <c r="H60" s="3" t="n"/>
      <c r="I60" s="3" t="n"/>
      <c r="J60" s="3" t="n"/>
    </row>
    <row r="61">
      <c r="A61" s="8" t="inlineStr">
        <is>
          <t>Final expert verdict</t>
        </is>
      </c>
      <c r="B61" s="3" t="n"/>
      <c r="C61" s="3" t="n"/>
      <c r="D61" s="3" t="n"/>
      <c r="E61" s="3" t="n"/>
      <c r="F61" s="3" t="n"/>
      <c r="G61" s="3" t="n"/>
      <c r="H61" s="3" t="n"/>
      <c r="I61" s="3" t="n"/>
      <c r="J61" s="3" t="n"/>
    </row>
    <row r="62">
      <c r="A62" s="12" t="inlineStr">
        <is>
          <t>Is the answer acceptable?</t>
        </is>
      </c>
      <c r="B62" s="4" t="inlineStr"/>
      <c r="C62" s="4" t="n"/>
      <c r="D62" s="4" t="n"/>
      <c r="E62" s="4" t="n"/>
      <c r="F62" s="4" t="n"/>
      <c r="G62" s="4" t="n"/>
      <c r="H62" s="4" t="n"/>
      <c r="I62" s="3" t="n"/>
      <c r="J62" s="3" t="n"/>
    </row>
    <row r="63" ht="54" customHeight="1">
      <c r="A63" s="12" t="inlineStr">
        <is>
          <t>Overall comment / required fixes</t>
        </is>
      </c>
      <c r="B63" s="4" t="n"/>
      <c r="C63" s="4" t="n"/>
      <c r="D63" s="4" t="n"/>
      <c r="E63" s="4" t="n"/>
      <c r="F63" s="4" t="n"/>
      <c r="G63" s="4" t="n"/>
      <c r="H63" s="4" t="n"/>
      <c r="I63" s="3" t="n"/>
      <c r="J63" s="3" t="n"/>
    </row>
    <row r="64">
      <c r="A64" s="4" t="n"/>
      <c r="B64" s="4" t="n"/>
      <c r="C64" s="4" t="n"/>
      <c r="D64" s="4" t="n"/>
      <c r="E64" s="4" t="n"/>
      <c r="F64" s="4" t="n"/>
      <c r="G64" s="4" t="n"/>
      <c r="H64" s="4" t="n"/>
      <c r="I64" s="3" t="n"/>
      <c r="J64" s="3" t="n"/>
    </row>
    <row r="65">
      <c r="A65" s="12" t="inlineStr">
        <is>
          <t>Missing key sources?</t>
        </is>
      </c>
      <c r="B65" s="4" t="n"/>
      <c r="C65" s="4" t="n"/>
      <c r="D65" s="4" t="n"/>
      <c r="E65" s="4" t="n"/>
      <c r="F65" s="4" t="n"/>
      <c r="G65" s="4" t="n"/>
      <c r="H65" s="4" t="n"/>
      <c r="I65" s="3" t="n"/>
      <c r="J65" s="3" t="n"/>
    </row>
    <row r="66">
      <c r="A66" s="12" t="inlineStr">
        <is>
          <t>Review completed?</t>
        </is>
      </c>
      <c r="B66" s="4" t="inlineStr"/>
      <c r="C66" s="4" t="n"/>
      <c r="D66" s="4" t="n"/>
      <c r="E66" s="4" t="n"/>
      <c r="F66" s="4" t="n"/>
      <c r="G66" s="4" t="n"/>
      <c r="H66" s="4" t="n"/>
      <c r="I66" s="3" t="n"/>
      <c r="J66" s="3" t="n"/>
    </row>
    <row r="67">
      <c r="A67" s="12" t="inlineStr">
        <is>
          <t>Reviewer</t>
        </is>
      </c>
      <c r="B67" s="4" t="n"/>
      <c r="C67" s="12" t="inlineStr">
        <is>
          <t>Review date</t>
        </is>
      </c>
      <c r="D67" s="5" t="inlineStr"/>
      <c r="E67" s="4" t="n"/>
      <c r="F67" s="4" t="n"/>
      <c r="G67" s="4" t="n"/>
      <c r="H67" s="4" t="n"/>
      <c r="I67" s="3" t="n"/>
      <c r="J67" s="3" t="n"/>
    </row>
    <row r="68">
      <c r="A68" s="3" t="n"/>
      <c r="B68" s="3" t="n"/>
      <c r="C68" s="3" t="n"/>
      <c r="D68" s="3" t="n"/>
      <c r="E68" s="3" t="n"/>
      <c r="F68" s="3" t="n"/>
      <c r="G68" s="3" t="n"/>
      <c r="H68" s="3" t="n"/>
      <c r="I68" s="3" t="n"/>
      <c r="J68" s="3" t="n"/>
    </row>
    <row r="69">
      <c r="A69" s="8" t="inlineStr">
        <is>
          <t>Original source notes</t>
        </is>
      </c>
      <c r="B69" s="3" t="n"/>
      <c r="C69" s="3" t="n"/>
      <c r="D69" s="3" t="n"/>
      <c r="E69" s="3" t="n"/>
      <c r="F69" s="3" t="n"/>
      <c r="G69" s="3" t="n"/>
      <c r="H69" s="3" t="n"/>
      <c r="I69" s="3" t="n"/>
      <c r="J69" s="3" t="n"/>
    </row>
    <row r="70">
      <c r="A70" s="12" t="inlineStr">
        <is>
          <t>WAB notes</t>
        </is>
      </c>
      <c r="B70" s="4" t="inlineStr">
        <is>
          <t>Possible overlap with question 14.</t>
        </is>
      </c>
      <c r="C70" s="4" t="n"/>
      <c r="D70" s="4" t="n"/>
      <c r="E70" s="4" t="n"/>
      <c r="F70" s="4" t="n"/>
      <c r="G70" s="4" t="n"/>
      <c r="H70" s="4" t="n"/>
      <c r="I70" s="3" t="n"/>
      <c r="J70" s="3" t="n"/>
    </row>
    <row r="71" ht="54" customHeight="1">
      <c r="A71" s="12" t="inlineStr">
        <is>
          <t>Reviewer notes from question approval</t>
        </is>
      </c>
      <c r="B71" s="4" t="inlineStr">
        <is>
          <t xml:space="preserve">no overlap with question 14, we can keep the question. </t>
        </is>
      </c>
      <c r="C71" s="4" t="n"/>
      <c r="D71" s="4" t="n"/>
      <c r="E71" s="4" t="n"/>
      <c r="F71" s="4" t="n"/>
      <c r="G71" s="4" t="n"/>
      <c r="H71" s="4" t="n"/>
      <c r="I71" s="3" t="n"/>
      <c r="J71" s="3" t="n"/>
    </row>
    <row r="72">
      <c r="A72" s="4" t="n"/>
      <c r="B72" s="4" t="n"/>
      <c r="C72" s="4" t="n"/>
      <c r="D72" s="4" t="n"/>
      <c r="E72" s="4" t="n"/>
      <c r="F72" s="4" t="n"/>
      <c r="G72" s="4" t="n"/>
      <c r="H72" s="4" t="n"/>
      <c r="I72" s="3" t="n"/>
      <c r="J72" s="3" t="n"/>
    </row>
  </sheetData>
  <autoFilter ref="A21:J36"/>
  <mergeCells count="20">
    <mergeCell ref="B65:H65"/>
    <mergeCell ref="B71:H72"/>
    <mergeCell ref="B6:H6"/>
    <mergeCell ref="A20:J20"/>
    <mergeCell ref="A1:H1"/>
    <mergeCell ref="B5:H5"/>
    <mergeCell ref="A61:H61"/>
    <mergeCell ref="A69:H69"/>
    <mergeCell ref="B4:H4"/>
    <mergeCell ref="B62:H62"/>
    <mergeCell ref="B7:H7"/>
    <mergeCell ref="B66:H66"/>
    <mergeCell ref="A3:H3"/>
    <mergeCell ref="A16:H18"/>
    <mergeCell ref="B70:H70"/>
    <mergeCell ref="A14:H14"/>
    <mergeCell ref="B63:H64"/>
    <mergeCell ref="B8:H8"/>
    <mergeCell ref="B10:H12"/>
    <mergeCell ref="A38:H38"/>
  </mergeCells>
  <dataValidations count="9">
    <dataValidation sqref="C22:C36" showDropDown="0" showInputMessage="0" showErrorMessage="0" allowBlank="1" type="list">
      <formula1>=Lists!$F$2:$F$5</formula1>
    </dataValidation>
    <dataValidation sqref="F22:F36" showDropDown="0" showInputMessage="0" showErrorMessage="0" allowBlank="1" type="list">
      <formula1>=Lists!$G$2:$G$4</formula1>
    </dataValidation>
    <dataValidation sqref="G22:G36" showDropDown="0" showInputMessage="0" showErrorMessage="0" allowBlank="1" type="list">
      <formula1>=Lists!$G$2:$G$4</formula1>
    </dataValidation>
    <dataValidation sqref="H22:H36" showDropDown="0" showInputMessage="0" showErrorMessage="0" allowBlank="1" type="list">
      <formula1>=Lists!$G$2:$G$4</formula1>
    </dataValidation>
    <dataValidation sqref="I22:I36" showDropDown="0" showInputMessage="0" showErrorMessage="0" allowBlank="1" type="list">
      <formula1>=Lists!$H$2:$H$6</formula1>
    </dataValidation>
    <dataValidation sqref="D40:D59" showDropDown="0" showInputMessage="0" showErrorMessage="0" allowBlank="1" type="list">
      <formula1>=Lists!$D$2:$D$7</formula1>
    </dataValidation>
    <dataValidation sqref="E40:E59" showDropDown="0" showInputMessage="0" showErrorMessage="0" allowBlank="1" type="list">
      <formula1>=Lists!$E$2:$E$8</formula1>
    </dataValidation>
    <dataValidation sqref="B62" showDropDown="0" showInputMessage="0" showErrorMessage="0" allowBlank="1" type="list">
      <formula1>=Lists!$C$2:$C$4</formula1>
    </dataValidation>
    <dataValidation sqref="B66" showDropDown="0" showInputMessage="0" showErrorMessage="0" allowBlank="1" type="list">
      <formula1>=Lists!$A$2:$A$3</formula1>
    </dataValidation>
  </dataValidations>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J72"/>
  <sheetViews>
    <sheetView showGridLines="0" workbookViewId="0">
      <pane ySplit="21" topLeftCell="A22" activePane="bottomLeft" state="frozen"/>
      <selection pane="bottomLeft" activeCell="A1" sqref="A1"/>
    </sheetView>
  </sheetViews>
  <sheetFormatPr baseColWidth="8" defaultRowHeight="15"/>
  <cols>
    <col width="12" customWidth="1" min="1" max="1"/>
    <col width="34" customWidth="1" min="2" max="2"/>
    <col width="22" customWidth="1" min="3" max="3"/>
    <col width="18" customWidth="1" min="4" max="4"/>
    <col width="20" customWidth="1" min="5" max="5"/>
    <col width="30" customWidth="1" min="6" max="6"/>
    <col width="34" customWidth="1" min="7" max="7"/>
    <col width="18" customWidth="1" min="8" max="8"/>
    <col width="18" customWidth="1" min="9" max="9"/>
    <col width="30" customWidth="1" min="10" max="10"/>
  </cols>
  <sheetData>
    <row r="1" ht="28" customHeight="1">
      <c r="A1" s="6" t="inlineStr">
        <is>
          <t>Q28 — Expert Review</t>
        </is>
      </c>
      <c r="B1" s="3" t="n"/>
      <c r="C1" s="3" t="n"/>
      <c r="D1" s="3" t="n"/>
      <c r="E1" s="3" t="n"/>
      <c r="F1" s="3" t="n"/>
      <c r="G1" s="3" t="n"/>
      <c r="H1" s="3" t="n"/>
      <c r="I1" s="3" t="n"/>
      <c r="J1" s="3" t="n"/>
    </row>
    <row r="2">
      <c r="A2" s="3" t="n"/>
      <c r="B2" s="3" t="n"/>
      <c r="C2" s="3" t="n"/>
      <c r="D2" s="3" t="n"/>
      <c r="E2" s="3" t="n"/>
      <c r="F2" s="3" t="n"/>
      <c r="G2" s="3" t="n"/>
      <c r="H2" s="3" t="n"/>
      <c r="I2" s="3" t="n"/>
      <c r="J2" s="3" t="n"/>
    </row>
    <row r="3">
      <c r="A3" s="8" t="inlineStr">
        <is>
          <t>Question metadata</t>
        </is>
      </c>
      <c r="B3" s="3" t="n"/>
      <c r="C3" s="3" t="n"/>
      <c r="D3" s="3" t="n"/>
      <c r="E3" s="3" t="n"/>
      <c r="F3" s="3" t="n"/>
      <c r="G3" s="3" t="n"/>
      <c r="H3" s="3" t="n"/>
      <c r="I3" s="3" t="n"/>
      <c r="J3" s="3" t="n"/>
    </row>
    <row r="4">
      <c r="A4" s="9" t="inlineStr">
        <is>
          <t>Question ID</t>
        </is>
      </c>
      <c r="B4" s="3" t="n">
        <v>28</v>
      </c>
      <c r="C4" s="3" t="n"/>
      <c r="D4" s="3" t="n"/>
      <c r="E4" s="3" t="n"/>
      <c r="F4" s="3" t="n"/>
      <c r="G4" s="3" t="n"/>
      <c r="H4" s="3" t="n"/>
      <c r="I4" s="3" t="n"/>
      <c r="J4" s="3" t="n"/>
    </row>
    <row r="5">
      <c r="A5" s="9" t="inlineStr">
        <is>
          <t>Topic</t>
        </is>
      </c>
      <c r="B5" s="3" t="inlineStr">
        <is>
          <t>Dawn raids — the inspection decision</t>
        </is>
      </c>
      <c r="C5" s="3" t="n"/>
      <c r="D5" s="3" t="n"/>
      <c r="E5" s="3" t="n"/>
      <c r="F5" s="3" t="n"/>
      <c r="G5" s="3" t="n"/>
      <c r="H5" s="3" t="n"/>
      <c r="I5" s="3" t="n"/>
      <c r="J5" s="3" t="n"/>
    </row>
    <row r="6">
      <c r="A6" s="9" t="inlineStr">
        <is>
          <t>Scope</t>
        </is>
      </c>
      <c r="B6" s="3" t="inlineStr">
        <is>
          <t>EU</t>
        </is>
      </c>
      <c r="C6" s="3" t="n"/>
      <c r="D6" s="3" t="n"/>
      <c r="E6" s="3" t="n"/>
      <c r="F6" s="3" t="n"/>
      <c r="G6" s="3" t="n"/>
      <c r="H6" s="3" t="n"/>
      <c r="I6" s="3" t="n"/>
      <c r="J6" s="3" t="n"/>
    </row>
    <row r="7">
      <c r="A7" s="9" t="inlineStr">
        <is>
          <t>Original reviewer</t>
        </is>
      </c>
      <c r="B7" s="3" t="inlineStr">
        <is>
          <t>Carolina</t>
        </is>
      </c>
      <c r="C7" s="3" t="n"/>
      <c r="D7" s="3" t="n"/>
      <c r="E7" s="3" t="n"/>
      <c r="F7" s="3" t="n"/>
      <c r="G7" s="3" t="n"/>
      <c r="H7" s="3" t="n"/>
      <c r="I7" s="3" t="n"/>
      <c r="J7" s="3" t="n"/>
    </row>
    <row r="8">
      <c r="A8" s="9" t="inlineStr">
        <is>
          <t>Original status</t>
        </is>
      </c>
      <c r="B8" s="3" t="inlineStr">
        <is>
          <t>Approved</t>
        </is>
      </c>
      <c r="C8" s="3" t="n"/>
      <c r="D8" s="3" t="n"/>
      <c r="E8" s="3" t="n"/>
      <c r="F8" s="3" t="n"/>
      <c r="G8" s="3" t="n"/>
      <c r="H8" s="3" t="n"/>
      <c r="I8" s="3" t="n"/>
      <c r="J8" s="3" t="n"/>
    </row>
    <row r="9">
      <c r="A9" s="3" t="n"/>
      <c r="B9" s="3" t="n"/>
      <c r="C9" s="3" t="n"/>
      <c r="D9" s="3" t="n"/>
      <c r="E9" s="3" t="n"/>
      <c r="F9" s="3" t="n"/>
      <c r="G9" s="3" t="n"/>
      <c r="H9" s="3" t="n"/>
      <c r="I9" s="3" t="n"/>
      <c r="J9" s="3" t="n"/>
    </row>
    <row r="10" ht="45" customHeight="1">
      <c r="A10" s="9" t="inlineStr">
        <is>
          <t>Question</t>
        </is>
      </c>
      <c r="B10" s="3" t="inlineStr">
        <is>
          <t>What is the extent of the Commission's duty to state reasons under Article 20(4) of Regulation 1/2003 as regards the subject matter and purpose of an inspection decision and the identification of its addressees — and what are the consequences, in light of Nexans, Deutsche Bahn and Les Laboratoires Servier, where the scope of the inspection exceeds the reasonable grounds (indicia) actually in the Commission's possession?</t>
        </is>
      </c>
      <c r="C10" s="3" t="n"/>
      <c r="D10" s="3" t="n"/>
      <c r="E10" s="3" t="n"/>
      <c r="F10" s="3" t="n"/>
      <c r="G10" s="3" t="n"/>
      <c r="H10" s="3" t="n"/>
      <c r="I10" s="3" t="n"/>
      <c r="J10" s="3" t="n"/>
    </row>
    <row r="11">
      <c r="A11" s="3" t="n"/>
      <c r="B11" s="3" t="n"/>
      <c r="C11" s="3" t="n"/>
      <c r="D11" s="3" t="n"/>
      <c r="E11" s="3" t="n"/>
      <c r="F11" s="3" t="n"/>
      <c r="G11" s="3" t="n"/>
      <c r="H11" s="3" t="n"/>
      <c r="I11" s="3" t="n"/>
      <c r="J11" s="3" t="n"/>
    </row>
    <row r="12">
      <c r="A12" s="3" t="n"/>
      <c r="B12" s="3" t="n"/>
      <c r="C12" s="3" t="n"/>
      <c r="D12" s="3" t="n"/>
      <c r="E12" s="3" t="n"/>
      <c r="F12" s="3" t="n"/>
      <c r="G12" s="3" t="n"/>
      <c r="H12" s="3" t="n"/>
      <c r="I12" s="3" t="n"/>
      <c r="J12" s="3" t="n"/>
    </row>
    <row r="13">
      <c r="A13" s="3" t="n"/>
      <c r="B13" s="3" t="n"/>
      <c r="C13" s="3" t="n"/>
      <c r="D13" s="3" t="n"/>
      <c r="E13" s="3" t="n"/>
      <c r="F13" s="3" t="n"/>
      <c r="G13" s="3" t="n"/>
      <c r="H13" s="3" t="n"/>
      <c r="I13" s="3" t="n"/>
      <c r="J13" s="3" t="n"/>
    </row>
    <row r="14">
      <c r="A14" s="8" t="inlineStr">
        <is>
          <t>Generated answer</t>
        </is>
      </c>
      <c r="B14" s="3" t="n"/>
      <c r="C14" s="3" t="n"/>
      <c r="D14" s="3" t="n"/>
      <c r="E14" s="3" t="n"/>
      <c r="F14" s="3" t="n"/>
      <c r="G14" s="3" t="n"/>
      <c r="H14" s="3" t="n"/>
      <c r="I14" s="3" t="n"/>
      <c r="J14" s="3" t="n"/>
    </row>
    <row r="15">
      <c r="A15" s="10" t="inlineStr">
        <is>
          <t>Paste the generated answer below.</t>
        </is>
      </c>
      <c r="B15" s="3" t="n"/>
      <c r="C15" s="3" t="n"/>
      <c r="D15" s="3" t="n"/>
      <c r="E15" s="3" t="n"/>
      <c r="F15" s="3" t="n"/>
      <c r="G15" s="3" t="n"/>
      <c r="H15" s="3" t="n"/>
      <c r="I15" s="3" t="n"/>
      <c r="J15" s="3" t="n"/>
    </row>
    <row r="16" ht="90" customHeight="1">
      <c r="A16" s="3" t="inlineStr"/>
      <c r="B16" s="3" t="n"/>
      <c r="C16" s="3" t="n"/>
      <c r="D16" s="3" t="n"/>
      <c r="E16" s="3" t="n"/>
      <c r="F16" s="3" t="n"/>
      <c r="G16" s="3" t="n"/>
      <c r="H16" s="3" t="n"/>
      <c r="I16" s="3" t="n"/>
      <c r="J16" s="3" t="n"/>
    </row>
    <row r="17" ht="30" customHeight="1">
      <c r="A17" s="3" t="n"/>
      <c r="B17" s="3" t="n"/>
      <c r="C17" s="3" t="n"/>
      <c r="D17" s="3" t="n"/>
      <c r="E17" s="3" t="n"/>
      <c r="F17" s="3" t="n"/>
      <c r="G17" s="3" t="n"/>
      <c r="H17" s="3" t="n"/>
      <c r="I17" s="3" t="n"/>
      <c r="J17" s="3" t="n"/>
    </row>
    <row r="18" ht="30" customHeight="1">
      <c r="A18" s="3" t="n"/>
      <c r="B18" s="3" t="n"/>
      <c r="C18" s="3" t="n"/>
      <c r="D18" s="3" t="n"/>
      <c r="E18" s="3" t="n"/>
      <c r="F18" s="3" t="n"/>
      <c r="G18" s="3" t="n"/>
      <c r="H18" s="3" t="n"/>
      <c r="I18" s="3" t="n"/>
      <c r="J18" s="3" t="n"/>
    </row>
    <row r="19">
      <c r="A19" s="9" t="inlineStr">
        <is>
          <t>Run ID</t>
        </is>
      </c>
      <c r="B19" s="3" t="inlineStr"/>
      <c r="C19" s="9" t="inlineStr">
        <is>
          <t>Run date</t>
        </is>
      </c>
      <c r="D19" s="3" t="inlineStr"/>
      <c r="E19" s="9" t="inlineStr">
        <is>
          <t>Model / prompt version</t>
        </is>
      </c>
      <c r="F19" s="3" t="inlineStr"/>
      <c r="G19" s="9" t="inlineStr">
        <is>
          <t>Corpus snapshot</t>
        </is>
      </c>
      <c r="H19" s="3" t="inlineStr"/>
      <c r="I19" s="3" t="n"/>
      <c r="J19" s="3" t="n"/>
    </row>
    <row r="20">
      <c r="A20" s="8" t="inlineStr">
        <is>
          <t>Retrieval set review</t>
        </is>
      </c>
      <c r="B20" s="3" t="n"/>
      <c r="C20" s="3" t="n"/>
      <c r="D20" s="3" t="n"/>
      <c r="E20" s="3" t="n"/>
      <c r="F20" s="3" t="n"/>
      <c r="G20" s="3" t="n"/>
      <c r="H20" s="3" t="n"/>
      <c r="I20" s="3" t="n"/>
      <c r="J20" s="3" t="n"/>
    </row>
    <row r="21">
      <c r="A21" s="11" t="inlineStr">
        <is>
          <t>Rank</t>
        </is>
      </c>
      <c r="B21" s="11" t="inlineStr">
        <is>
          <t>Retrieved source</t>
        </is>
      </c>
      <c r="C21" s="11" t="inlineStr">
        <is>
          <t>Source type</t>
        </is>
      </c>
      <c r="D21" s="11" t="inlineStr">
        <is>
          <t>Jurisdiction</t>
        </is>
      </c>
      <c r="E21" s="11" t="inlineStr">
        <is>
          <t>URL / Document ID</t>
        </is>
      </c>
      <c r="F21" s="11" t="inlineStr">
        <is>
          <t>Returned by engine?</t>
        </is>
      </c>
      <c r="G21" s="11" t="inlineStr">
        <is>
          <t>Required source?</t>
        </is>
      </c>
      <c r="H21" s="11" t="inlineStr">
        <is>
          <t>Trap?</t>
        </is>
      </c>
      <c r="I21" s="11" t="inlineStr">
        <is>
          <t>Expert verdict</t>
        </is>
      </c>
      <c r="J21" s="11" t="inlineStr">
        <is>
          <t>Notes</t>
        </is>
      </c>
    </row>
    <row r="22" ht="44" customHeight="1">
      <c r="A22" s="4" t="n">
        <v>1</v>
      </c>
      <c r="B22" s="4" t="n"/>
      <c r="C22" s="4" t="n"/>
      <c r="D22" s="4" t="n"/>
      <c r="E22" s="4" t="n"/>
      <c r="F22" s="4" t="n"/>
      <c r="G22" s="4" t="n"/>
      <c r="H22" s="4" t="n"/>
      <c r="I22" s="4" t="n"/>
      <c r="J22" s="4" t="n"/>
    </row>
    <row r="23" ht="44" customHeight="1">
      <c r="A23" s="4" t="n">
        <v>2</v>
      </c>
      <c r="B23" s="4" t="n"/>
      <c r="C23" s="4" t="n"/>
      <c r="D23" s="4" t="n"/>
      <c r="E23" s="4" t="n"/>
      <c r="F23" s="4" t="n"/>
      <c r="G23" s="4" t="n"/>
      <c r="H23" s="4" t="n"/>
      <c r="I23" s="4" t="n"/>
      <c r="J23" s="4" t="n"/>
    </row>
    <row r="24" ht="44" customHeight="1">
      <c r="A24" s="4" t="n">
        <v>3</v>
      </c>
      <c r="B24" s="4" t="n"/>
      <c r="C24" s="4" t="n"/>
      <c r="D24" s="4" t="n"/>
      <c r="E24" s="4" t="n"/>
      <c r="F24" s="4" t="n"/>
      <c r="G24" s="4" t="n"/>
      <c r="H24" s="4" t="n"/>
      <c r="I24" s="4" t="n"/>
      <c r="J24" s="4" t="n"/>
    </row>
    <row r="25" ht="44" customHeight="1">
      <c r="A25" s="4" t="n">
        <v>4</v>
      </c>
      <c r="B25" s="4" t="n"/>
      <c r="C25" s="4" t="n"/>
      <c r="D25" s="4" t="n"/>
      <c r="E25" s="4" t="n"/>
      <c r="F25" s="4" t="n"/>
      <c r="G25" s="4" t="n"/>
      <c r="H25" s="4" t="n"/>
      <c r="I25" s="4" t="n"/>
      <c r="J25" s="4" t="n"/>
    </row>
    <row r="26" ht="44" customHeight="1">
      <c r="A26" s="4" t="n">
        <v>5</v>
      </c>
      <c r="B26" s="4" t="n"/>
      <c r="C26" s="4" t="n"/>
      <c r="D26" s="4" t="n"/>
      <c r="E26" s="4" t="n"/>
      <c r="F26" s="4" t="n"/>
      <c r="G26" s="4" t="n"/>
      <c r="H26" s="4" t="n"/>
      <c r="I26" s="4" t="n"/>
      <c r="J26" s="4" t="n"/>
    </row>
    <row r="27" ht="44" customHeight="1">
      <c r="A27" s="4" t="n">
        <v>6</v>
      </c>
      <c r="B27" s="4" t="n"/>
      <c r="C27" s="4" t="n"/>
      <c r="D27" s="4" t="n"/>
      <c r="E27" s="4" t="n"/>
      <c r="F27" s="4" t="n"/>
      <c r="G27" s="4" t="n"/>
      <c r="H27" s="4" t="n"/>
      <c r="I27" s="4" t="n"/>
      <c r="J27" s="4" t="n"/>
    </row>
    <row r="28" ht="44" customHeight="1">
      <c r="A28" s="4" t="n">
        <v>7</v>
      </c>
      <c r="B28" s="4" t="n"/>
      <c r="C28" s="4" t="n"/>
      <c r="D28" s="4" t="n"/>
      <c r="E28" s="4" t="n"/>
      <c r="F28" s="4" t="n"/>
      <c r="G28" s="4" t="n"/>
      <c r="H28" s="4" t="n"/>
      <c r="I28" s="4" t="n"/>
      <c r="J28" s="4" t="n"/>
    </row>
    <row r="29" ht="44" customHeight="1">
      <c r="A29" s="4" t="n">
        <v>8</v>
      </c>
      <c r="B29" s="4" t="n"/>
      <c r="C29" s="4" t="n"/>
      <c r="D29" s="4" t="n"/>
      <c r="E29" s="4" t="n"/>
      <c r="F29" s="4" t="n"/>
      <c r="G29" s="4" t="n"/>
      <c r="H29" s="4" t="n"/>
      <c r="I29" s="4" t="n"/>
      <c r="J29" s="4" t="n"/>
    </row>
    <row r="30" ht="44" customHeight="1">
      <c r="A30" s="4" t="n">
        <v>9</v>
      </c>
      <c r="B30" s="4" t="n"/>
      <c r="C30" s="4" t="n"/>
      <c r="D30" s="4" t="n"/>
      <c r="E30" s="4" t="n"/>
      <c r="F30" s="4" t="n"/>
      <c r="G30" s="4" t="n"/>
      <c r="H30" s="4" t="n"/>
      <c r="I30" s="4" t="n"/>
      <c r="J30" s="4" t="n"/>
    </row>
    <row r="31" ht="44" customHeight="1">
      <c r="A31" s="4" t="n">
        <v>10</v>
      </c>
      <c r="B31" s="4" t="n"/>
      <c r="C31" s="4" t="n"/>
      <c r="D31" s="4" t="n"/>
      <c r="E31" s="4" t="n"/>
      <c r="F31" s="4" t="n"/>
      <c r="G31" s="4" t="n"/>
      <c r="H31" s="4" t="n"/>
      <c r="I31" s="4" t="n"/>
      <c r="J31" s="4" t="n"/>
    </row>
    <row r="32" ht="44" customHeight="1">
      <c r="A32" s="4" t="n">
        <v>11</v>
      </c>
      <c r="B32" s="4" t="n"/>
      <c r="C32" s="4" t="n"/>
      <c r="D32" s="4" t="n"/>
      <c r="E32" s="4" t="n"/>
      <c r="F32" s="4" t="n"/>
      <c r="G32" s="4" t="n"/>
      <c r="H32" s="4" t="n"/>
      <c r="I32" s="4" t="n"/>
      <c r="J32" s="4" t="n"/>
    </row>
    <row r="33" ht="44" customHeight="1">
      <c r="A33" s="4" t="n">
        <v>12</v>
      </c>
      <c r="B33" s="4" t="n"/>
      <c r="C33" s="4" t="n"/>
      <c r="D33" s="4" t="n"/>
      <c r="E33" s="4" t="n"/>
      <c r="F33" s="4" t="n"/>
      <c r="G33" s="4" t="n"/>
      <c r="H33" s="4" t="n"/>
      <c r="I33" s="4" t="n"/>
      <c r="J33" s="4" t="n"/>
    </row>
    <row r="34" ht="44" customHeight="1">
      <c r="A34" s="4" t="n">
        <v>13</v>
      </c>
      <c r="B34" s="4" t="n"/>
      <c r="C34" s="4" t="n"/>
      <c r="D34" s="4" t="n"/>
      <c r="E34" s="4" t="n"/>
      <c r="F34" s="4" t="n"/>
      <c r="G34" s="4" t="n"/>
      <c r="H34" s="4" t="n"/>
      <c r="I34" s="4" t="n"/>
      <c r="J34" s="4" t="n"/>
    </row>
    <row r="35" ht="44" customHeight="1">
      <c r="A35" s="4" t="n">
        <v>14</v>
      </c>
      <c r="B35" s="4" t="n"/>
      <c r="C35" s="4" t="n"/>
      <c r="D35" s="4" t="n"/>
      <c r="E35" s="4" t="n"/>
      <c r="F35" s="4" t="n"/>
      <c r="G35" s="4" t="n"/>
      <c r="H35" s="4" t="n"/>
      <c r="I35" s="4" t="n"/>
      <c r="J35" s="4" t="n"/>
    </row>
    <row r="36" ht="44" customHeight="1">
      <c r="A36" s="4" t="n">
        <v>15</v>
      </c>
      <c r="B36" s="4" t="n"/>
      <c r="C36" s="4" t="n"/>
      <c r="D36" s="4" t="n"/>
      <c r="E36" s="4" t="n"/>
      <c r="F36" s="4" t="n"/>
      <c r="G36" s="4" t="n"/>
      <c r="H36" s="4" t="n"/>
      <c r="I36" s="4" t="n"/>
      <c r="J36" s="4" t="n"/>
    </row>
    <row r="37">
      <c r="A37" s="3" t="n"/>
      <c r="B37" s="3" t="n"/>
      <c r="C37" s="3" t="n"/>
      <c r="D37" s="3" t="n"/>
      <c r="E37" s="3" t="n"/>
      <c r="F37" s="3" t="n"/>
      <c r="G37" s="3" t="n"/>
      <c r="H37" s="3" t="n"/>
      <c r="I37" s="3" t="n"/>
      <c r="J37" s="3" t="n"/>
    </row>
    <row r="38">
      <c r="A38" s="8" t="inlineStr">
        <is>
          <t>Claim-by-claim review</t>
        </is>
      </c>
      <c r="B38" s="3" t="n"/>
      <c r="C38" s="3" t="n"/>
      <c r="D38" s="3" t="n"/>
      <c r="E38" s="3" t="n"/>
      <c r="F38" s="3" t="n"/>
      <c r="G38" s="3" t="n"/>
      <c r="H38" s="3" t="n"/>
      <c r="I38" s="3" t="n"/>
      <c r="J38" s="3" t="n"/>
    </row>
    <row r="39">
      <c r="A39" s="11" t="inlineStr">
        <is>
          <t>Claim ID</t>
        </is>
      </c>
      <c r="B39" s="11" t="inlineStr">
        <is>
          <t>Claim from answer</t>
        </is>
      </c>
      <c r="C39" s="11" t="inlineStr">
        <is>
          <t>Citation used</t>
        </is>
      </c>
      <c r="D39" s="11" t="inlineStr">
        <is>
          <t>Expert verdict</t>
        </is>
      </c>
      <c r="E39" s="11" t="inlineStr">
        <is>
          <t>Issue type</t>
        </is>
      </c>
      <c r="F39" s="11" t="inlineStr">
        <is>
          <t>Cited passage / source note</t>
        </is>
      </c>
      <c r="G39" s="11" t="inlineStr">
        <is>
          <t>Required fix / comment</t>
        </is>
      </c>
      <c r="H39" s="11" t="inlineStr">
        <is>
          <t>Reviewer</t>
        </is>
      </c>
      <c r="I39" s="11" t="n"/>
      <c r="J39" s="11" t="n"/>
    </row>
    <row r="40" ht="54" customHeight="1">
      <c r="A40" s="4" t="n">
        <v>1</v>
      </c>
      <c r="B40" s="4" t="n"/>
      <c r="C40" s="4" t="n"/>
      <c r="D40" s="4" t="n"/>
      <c r="E40" s="4" t="n"/>
      <c r="F40" s="4" t="n"/>
      <c r="G40" s="4" t="n"/>
      <c r="H40" s="4" t="n"/>
      <c r="I40" s="3" t="n"/>
      <c r="J40" s="3" t="n"/>
    </row>
    <row r="41" ht="54" customHeight="1">
      <c r="A41" s="4" t="n">
        <v>2</v>
      </c>
      <c r="B41" s="4" t="n"/>
      <c r="C41" s="4" t="n"/>
      <c r="D41" s="4" t="n"/>
      <c r="E41" s="4" t="n"/>
      <c r="F41" s="4" t="n"/>
      <c r="G41" s="4" t="n"/>
      <c r="H41" s="4" t="n"/>
      <c r="I41" s="3" t="n"/>
      <c r="J41" s="3" t="n"/>
    </row>
    <row r="42" ht="54" customHeight="1">
      <c r="A42" s="4" t="n">
        <v>3</v>
      </c>
      <c r="B42" s="4" t="n"/>
      <c r="C42" s="4" t="n"/>
      <c r="D42" s="4" t="n"/>
      <c r="E42" s="4" t="n"/>
      <c r="F42" s="4" t="n"/>
      <c r="G42" s="4" t="n"/>
      <c r="H42" s="4" t="n"/>
      <c r="I42" s="3" t="n"/>
      <c r="J42" s="3" t="n"/>
    </row>
    <row r="43" ht="54" customHeight="1">
      <c r="A43" s="4" t="n">
        <v>4</v>
      </c>
      <c r="B43" s="4" t="n"/>
      <c r="C43" s="4" t="n"/>
      <c r="D43" s="4" t="n"/>
      <c r="E43" s="4" t="n"/>
      <c r="F43" s="4" t="n"/>
      <c r="G43" s="4" t="n"/>
      <c r="H43" s="4" t="n"/>
      <c r="I43" s="3" t="n"/>
      <c r="J43" s="3" t="n"/>
    </row>
    <row r="44" ht="54" customHeight="1">
      <c r="A44" s="4" t="n">
        <v>5</v>
      </c>
      <c r="B44" s="4" t="n"/>
      <c r="C44" s="4" t="n"/>
      <c r="D44" s="4" t="n"/>
      <c r="E44" s="4" t="n"/>
      <c r="F44" s="4" t="n"/>
      <c r="G44" s="4" t="n"/>
      <c r="H44" s="4" t="n"/>
      <c r="I44" s="3" t="n"/>
      <c r="J44" s="3" t="n"/>
    </row>
    <row r="45" ht="54" customHeight="1">
      <c r="A45" s="4" t="n">
        <v>6</v>
      </c>
      <c r="B45" s="4" t="n"/>
      <c r="C45" s="4" t="n"/>
      <c r="D45" s="4" t="n"/>
      <c r="E45" s="4" t="n"/>
      <c r="F45" s="4" t="n"/>
      <c r="G45" s="4" t="n"/>
      <c r="H45" s="4" t="n"/>
      <c r="I45" s="3" t="n"/>
      <c r="J45" s="3" t="n"/>
    </row>
    <row r="46" ht="54" customHeight="1">
      <c r="A46" s="4" t="n">
        <v>7</v>
      </c>
      <c r="B46" s="4" t="n"/>
      <c r="C46" s="4" t="n"/>
      <c r="D46" s="4" t="n"/>
      <c r="E46" s="4" t="n"/>
      <c r="F46" s="4" t="n"/>
      <c r="G46" s="4" t="n"/>
      <c r="H46" s="4" t="n"/>
      <c r="I46" s="3" t="n"/>
      <c r="J46" s="3" t="n"/>
    </row>
    <row r="47" ht="54" customHeight="1">
      <c r="A47" s="4" t="n">
        <v>8</v>
      </c>
      <c r="B47" s="4" t="n"/>
      <c r="C47" s="4" t="n"/>
      <c r="D47" s="4" t="n"/>
      <c r="E47" s="4" t="n"/>
      <c r="F47" s="4" t="n"/>
      <c r="G47" s="4" t="n"/>
      <c r="H47" s="4" t="n"/>
      <c r="I47" s="3" t="n"/>
      <c r="J47" s="3" t="n"/>
    </row>
    <row r="48" ht="54" customHeight="1">
      <c r="A48" s="4" t="n">
        <v>9</v>
      </c>
      <c r="B48" s="4" t="n"/>
      <c r="C48" s="4" t="n"/>
      <c r="D48" s="4" t="n"/>
      <c r="E48" s="4" t="n"/>
      <c r="F48" s="4" t="n"/>
      <c r="G48" s="4" t="n"/>
      <c r="H48" s="4" t="n"/>
      <c r="I48" s="3" t="n"/>
      <c r="J48" s="3" t="n"/>
    </row>
    <row r="49" ht="54" customHeight="1">
      <c r="A49" s="4" t="n">
        <v>10</v>
      </c>
      <c r="B49" s="4" t="n"/>
      <c r="C49" s="4" t="n"/>
      <c r="D49" s="4" t="n"/>
      <c r="E49" s="4" t="n"/>
      <c r="F49" s="4" t="n"/>
      <c r="G49" s="4" t="n"/>
      <c r="H49" s="4" t="n"/>
      <c r="I49" s="3" t="n"/>
      <c r="J49" s="3" t="n"/>
    </row>
    <row r="50" ht="54" customHeight="1">
      <c r="A50" s="4" t="n">
        <v>11</v>
      </c>
      <c r="B50" s="4" t="n"/>
      <c r="C50" s="4" t="n"/>
      <c r="D50" s="4" t="n"/>
      <c r="E50" s="4" t="n"/>
      <c r="F50" s="4" t="n"/>
      <c r="G50" s="4" t="n"/>
      <c r="H50" s="4" t="n"/>
      <c r="I50" s="3" t="n"/>
      <c r="J50" s="3" t="n"/>
    </row>
    <row r="51" ht="54" customHeight="1">
      <c r="A51" s="4" t="n">
        <v>12</v>
      </c>
      <c r="B51" s="4" t="n"/>
      <c r="C51" s="4" t="n"/>
      <c r="D51" s="4" t="n"/>
      <c r="E51" s="4" t="n"/>
      <c r="F51" s="4" t="n"/>
      <c r="G51" s="4" t="n"/>
      <c r="H51" s="4" t="n"/>
      <c r="I51" s="3" t="n"/>
      <c r="J51" s="3" t="n"/>
    </row>
    <row r="52" ht="54" customHeight="1">
      <c r="A52" s="4" t="n">
        <v>13</v>
      </c>
      <c r="B52" s="4" t="n"/>
      <c r="C52" s="4" t="n"/>
      <c r="D52" s="4" t="n"/>
      <c r="E52" s="4" t="n"/>
      <c r="F52" s="4" t="n"/>
      <c r="G52" s="4" t="n"/>
      <c r="H52" s="4" t="n"/>
      <c r="I52" s="3" t="n"/>
      <c r="J52" s="3" t="n"/>
    </row>
    <row r="53" ht="54" customHeight="1">
      <c r="A53" s="4" t="n">
        <v>14</v>
      </c>
      <c r="B53" s="4" t="n"/>
      <c r="C53" s="4" t="n"/>
      <c r="D53" s="4" t="n"/>
      <c r="E53" s="4" t="n"/>
      <c r="F53" s="4" t="n"/>
      <c r="G53" s="4" t="n"/>
      <c r="H53" s="4" t="n"/>
      <c r="I53" s="3" t="n"/>
      <c r="J53" s="3" t="n"/>
    </row>
    <row r="54" ht="54" customHeight="1">
      <c r="A54" s="4" t="n">
        <v>15</v>
      </c>
      <c r="B54" s="4" t="n"/>
      <c r="C54" s="4" t="n"/>
      <c r="D54" s="4" t="n"/>
      <c r="E54" s="4" t="n"/>
      <c r="F54" s="4" t="n"/>
      <c r="G54" s="4" t="n"/>
      <c r="H54" s="4" t="n"/>
      <c r="I54" s="3" t="n"/>
      <c r="J54" s="3" t="n"/>
    </row>
    <row r="55" ht="54" customHeight="1">
      <c r="A55" s="4" t="n">
        <v>16</v>
      </c>
      <c r="B55" s="4" t="n"/>
      <c r="C55" s="4" t="n"/>
      <c r="D55" s="4" t="n"/>
      <c r="E55" s="4" t="n"/>
      <c r="F55" s="4" t="n"/>
      <c r="G55" s="4" t="n"/>
      <c r="H55" s="4" t="n"/>
      <c r="I55" s="3" t="n"/>
      <c r="J55" s="3" t="n"/>
    </row>
    <row r="56" ht="54" customHeight="1">
      <c r="A56" s="4" t="n">
        <v>17</v>
      </c>
      <c r="B56" s="4" t="n"/>
      <c r="C56" s="4" t="n"/>
      <c r="D56" s="4" t="n"/>
      <c r="E56" s="4" t="n"/>
      <c r="F56" s="4" t="n"/>
      <c r="G56" s="4" t="n"/>
      <c r="H56" s="4" t="n"/>
      <c r="I56" s="3" t="n"/>
      <c r="J56" s="3" t="n"/>
    </row>
    <row r="57" ht="54" customHeight="1">
      <c r="A57" s="4" t="n">
        <v>18</v>
      </c>
      <c r="B57" s="4" t="n"/>
      <c r="C57" s="4" t="n"/>
      <c r="D57" s="4" t="n"/>
      <c r="E57" s="4" t="n"/>
      <c r="F57" s="4" t="n"/>
      <c r="G57" s="4" t="n"/>
      <c r="H57" s="4" t="n"/>
      <c r="I57" s="3" t="n"/>
      <c r="J57" s="3" t="n"/>
    </row>
    <row r="58" ht="54" customHeight="1">
      <c r="A58" s="4" t="n">
        <v>19</v>
      </c>
      <c r="B58" s="4" t="n"/>
      <c r="C58" s="4" t="n"/>
      <c r="D58" s="4" t="n"/>
      <c r="E58" s="4" t="n"/>
      <c r="F58" s="4" t="n"/>
      <c r="G58" s="4" t="n"/>
      <c r="H58" s="4" t="n"/>
      <c r="I58" s="3" t="n"/>
      <c r="J58" s="3" t="n"/>
    </row>
    <row r="59" ht="54" customHeight="1">
      <c r="A59" s="4" t="n">
        <v>20</v>
      </c>
      <c r="B59" s="4" t="n"/>
      <c r="C59" s="4" t="n"/>
      <c r="D59" s="4" t="n"/>
      <c r="E59" s="4" t="n"/>
      <c r="F59" s="4" t="n"/>
      <c r="G59" s="4" t="n"/>
      <c r="H59" s="4" t="n"/>
      <c r="I59" s="3" t="n"/>
      <c r="J59" s="3" t="n"/>
    </row>
    <row r="60">
      <c r="A60" s="3" t="n"/>
      <c r="B60" s="3" t="n"/>
      <c r="C60" s="3" t="n"/>
      <c r="D60" s="3" t="n"/>
      <c r="E60" s="3" t="n"/>
      <c r="F60" s="3" t="n"/>
      <c r="G60" s="3" t="n"/>
      <c r="H60" s="3" t="n"/>
      <c r="I60" s="3" t="n"/>
      <c r="J60" s="3" t="n"/>
    </row>
    <row r="61">
      <c r="A61" s="8" t="inlineStr">
        <is>
          <t>Final expert verdict</t>
        </is>
      </c>
      <c r="B61" s="3" t="n"/>
      <c r="C61" s="3" t="n"/>
      <c r="D61" s="3" t="n"/>
      <c r="E61" s="3" t="n"/>
      <c r="F61" s="3" t="n"/>
      <c r="G61" s="3" t="n"/>
      <c r="H61" s="3" t="n"/>
      <c r="I61" s="3" t="n"/>
      <c r="J61" s="3" t="n"/>
    </row>
    <row r="62">
      <c r="A62" s="12" t="inlineStr">
        <is>
          <t>Is the answer acceptable?</t>
        </is>
      </c>
      <c r="B62" s="4" t="inlineStr"/>
      <c r="C62" s="4" t="n"/>
      <c r="D62" s="4" t="n"/>
      <c r="E62" s="4" t="n"/>
      <c r="F62" s="4" t="n"/>
      <c r="G62" s="4" t="n"/>
      <c r="H62" s="4" t="n"/>
      <c r="I62" s="3" t="n"/>
      <c r="J62" s="3" t="n"/>
    </row>
    <row r="63" ht="54" customHeight="1">
      <c r="A63" s="12" t="inlineStr">
        <is>
          <t>Overall comment / required fixes</t>
        </is>
      </c>
      <c r="B63" s="4" t="n"/>
      <c r="C63" s="4" t="n"/>
      <c r="D63" s="4" t="n"/>
      <c r="E63" s="4" t="n"/>
      <c r="F63" s="4" t="n"/>
      <c r="G63" s="4" t="n"/>
      <c r="H63" s="4" t="n"/>
      <c r="I63" s="3" t="n"/>
      <c r="J63" s="3" t="n"/>
    </row>
    <row r="64">
      <c r="A64" s="4" t="n"/>
      <c r="B64" s="4" t="n"/>
      <c r="C64" s="4" t="n"/>
      <c r="D64" s="4" t="n"/>
      <c r="E64" s="4" t="n"/>
      <c r="F64" s="4" t="n"/>
      <c r="G64" s="4" t="n"/>
      <c r="H64" s="4" t="n"/>
      <c r="I64" s="3" t="n"/>
      <c r="J64" s="3" t="n"/>
    </row>
    <row r="65">
      <c r="A65" s="12" t="inlineStr">
        <is>
          <t>Missing key sources?</t>
        </is>
      </c>
      <c r="B65" s="4" t="n"/>
      <c r="C65" s="4" t="n"/>
      <c r="D65" s="4" t="n"/>
      <c r="E65" s="4" t="n"/>
      <c r="F65" s="4" t="n"/>
      <c r="G65" s="4" t="n"/>
      <c r="H65" s="4" t="n"/>
      <c r="I65" s="3" t="n"/>
      <c r="J65" s="3" t="n"/>
    </row>
    <row r="66">
      <c r="A66" s="12" t="inlineStr">
        <is>
          <t>Review completed?</t>
        </is>
      </c>
      <c r="B66" s="4" t="inlineStr"/>
      <c r="C66" s="4" t="n"/>
      <c r="D66" s="4" t="n"/>
      <c r="E66" s="4" t="n"/>
      <c r="F66" s="4" t="n"/>
      <c r="G66" s="4" t="n"/>
      <c r="H66" s="4" t="n"/>
      <c r="I66" s="3" t="n"/>
      <c r="J66" s="3" t="n"/>
    </row>
    <row r="67">
      <c r="A67" s="12" t="inlineStr">
        <is>
          <t>Reviewer</t>
        </is>
      </c>
      <c r="B67" s="4" t="n"/>
      <c r="C67" s="12" t="inlineStr">
        <is>
          <t>Review date</t>
        </is>
      </c>
      <c r="D67" s="5" t="inlineStr"/>
      <c r="E67" s="4" t="n"/>
      <c r="F67" s="4" t="n"/>
      <c r="G67" s="4" t="n"/>
      <c r="H67" s="4" t="n"/>
      <c r="I67" s="3" t="n"/>
      <c r="J67" s="3" t="n"/>
    </row>
    <row r="68">
      <c r="A68" s="3" t="n"/>
      <c r="B68" s="3" t="n"/>
      <c r="C68" s="3" t="n"/>
      <c r="D68" s="3" t="n"/>
      <c r="E68" s="3" t="n"/>
      <c r="F68" s="3" t="n"/>
      <c r="G68" s="3" t="n"/>
      <c r="H68" s="3" t="n"/>
      <c r="I68" s="3" t="n"/>
      <c r="J68" s="3" t="n"/>
    </row>
    <row r="69">
      <c r="A69" s="8" t="inlineStr">
        <is>
          <t>Original source notes</t>
        </is>
      </c>
      <c r="B69" s="3" t="n"/>
      <c r="C69" s="3" t="n"/>
      <c r="D69" s="3" t="n"/>
      <c r="E69" s="3" t="n"/>
      <c r="F69" s="3" t="n"/>
      <c r="G69" s="3" t="n"/>
      <c r="H69" s="3" t="n"/>
      <c r="I69" s="3" t="n"/>
      <c r="J69" s="3" t="n"/>
    </row>
    <row r="70">
      <c r="A70" s="12" t="inlineStr">
        <is>
          <t>WAB notes</t>
        </is>
      </c>
      <c r="B70" s="4" t="inlineStr"/>
      <c r="C70" s="4" t="n"/>
      <c r="D70" s="4" t="n"/>
      <c r="E70" s="4" t="n"/>
      <c r="F70" s="4" t="n"/>
      <c r="G70" s="4" t="n"/>
      <c r="H70" s="4" t="n"/>
      <c r="I70" s="3" t="n"/>
      <c r="J70" s="3" t="n"/>
    </row>
    <row r="71" ht="54" customHeight="1">
      <c r="A71" s="12" t="inlineStr">
        <is>
          <t>Reviewer notes from question approval</t>
        </is>
      </c>
      <c r="B71" s="4" t="inlineStr">
        <is>
          <t>I like the question but let's frame it like this "What is the extent of the Commission's duty to state reasons under Article 20(4) of Regulation 1/2003 as regards the subject matter and purpose of an inspection decision and the identification of its addressees — and what are the consequences, in light of Nexans, Deutsche Bahn and Les Laboratoires Servier, where the scope of the inspection exceeds the reasonable grounds (indicia) actually in the Commission's possession?"</t>
        </is>
      </c>
      <c r="C71" s="4" t="n"/>
      <c r="D71" s="4" t="n"/>
      <c r="E71" s="4" t="n"/>
      <c r="F71" s="4" t="n"/>
      <c r="G71" s="4" t="n"/>
      <c r="H71" s="4" t="n"/>
      <c r="I71" s="3" t="n"/>
      <c r="J71" s="3" t="n"/>
    </row>
    <row r="72">
      <c r="A72" s="4" t="n"/>
      <c r="B72" s="4" t="n"/>
      <c r="C72" s="4" t="n"/>
      <c r="D72" s="4" t="n"/>
      <c r="E72" s="4" t="n"/>
      <c r="F72" s="4" t="n"/>
      <c r="G72" s="4" t="n"/>
      <c r="H72" s="4" t="n"/>
      <c r="I72" s="3" t="n"/>
      <c r="J72" s="3" t="n"/>
    </row>
  </sheetData>
  <autoFilter ref="A21:J36"/>
  <mergeCells count="20">
    <mergeCell ref="B65:H65"/>
    <mergeCell ref="B71:H72"/>
    <mergeCell ref="B6:H6"/>
    <mergeCell ref="A20:J20"/>
    <mergeCell ref="A1:H1"/>
    <mergeCell ref="B5:H5"/>
    <mergeCell ref="A61:H61"/>
    <mergeCell ref="A69:H69"/>
    <mergeCell ref="B4:H4"/>
    <mergeCell ref="B62:H62"/>
    <mergeCell ref="B7:H7"/>
    <mergeCell ref="B66:H66"/>
    <mergeCell ref="A3:H3"/>
    <mergeCell ref="A16:H18"/>
    <mergeCell ref="B70:H70"/>
    <mergeCell ref="A14:H14"/>
    <mergeCell ref="B63:H64"/>
    <mergeCell ref="B8:H8"/>
    <mergeCell ref="B10:H12"/>
    <mergeCell ref="A38:H38"/>
  </mergeCells>
  <dataValidations count="9">
    <dataValidation sqref="C22:C36" showDropDown="0" showInputMessage="0" showErrorMessage="0" allowBlank="1" type="list">
      <formula1>=Lists!$F$2:$F$5</formula1>
    </dataValidation>
    <dataValidation sqref="F22:F36" showDropDown="0" showInputMessage="0" showErrorMessage="0" allowBlank="1" type="list">
      <formula1>=Lists!$G$2:$G$4</formula1>
    </dataValidation>
    <dataValidation sqref="G22:G36" showDropDown="0" showInputMessage="0" showErrorMessage="0" allowBlank="1" type="list">
      <formula1>=Lists!$G$2:$G$4</formula1>
    </dataValidation>
    <dataValidation sqref="H22:H36" showDropDown="0" showInputMessage="0" showErrorMessage="0" allowBlank="1" type="list">
      <formula1>=Lists!$G$2:$G$4</formula1>
    </dataValidation>
    <dataValidation sqref="I22:I36" showDropDown="0" showInputMessage="0" showErrorMessage="0" allowBlank="1" type="list">
      <formula1>=Lists!$H$2:$H$6</formula1>
    </dataValidation>
    <dataValidation sqref="D40:D59" showDropDown="0" showInputMessage="0" showErrorMessage="0" allowBlank="1" type="list">
      <formula1>=Lists!$D$2:$D$7</formula1>
    </dataValidation>
    <dataValidation sqref="E40:E59" showDropDown="0" showInputMessage="0" showErrorMessage="0" allowBlank="1" type="list">
      <formula1>=Lists!$E$2:$E$8</formula1>
    </dataValidation>
    <dataValidation sqref="B62" showDropDown="0" showInputMessage="0" showErrorMessage="0" allowBlank="1" type="list">
      <formula1>=Lists!$C$2:$C$4</formula1>
    </dataValidation>
    <dataValidation sqref="B66" showDropDown="0" showInputMessage="0" showErrorMessage="0" allowBlank="1" type="list">
      <formula1>=Lists!$A$2:$A$3</formula1>
    </dataValidation>
  </dataValidations>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J72"/>
  <sheetViews>
    <sheetView showGridLines="0" workbookViewId="0">
      <pane ySplit="21" topLeftCell="A22" activePane="bottomLeft" state="frozen"/>
      <selection pane="bottomLeft" activeCell="A1" sqref="A1"/>
    </sheetView>
  </sheetViews>
  <sheetFormatPr baseColWidth="8" defaultRowHeight="15"/>
  <cols>
    <col width="12" customWidth="1" min="1" max="1"/>
    <col width="34" customWidth="1" min="2" max="2"/>
    <col width="22" customWidth="1" min="3" max="3"/>
    <col width="18" customWidth="1" min="4" max="4"/>
    <col width="20" customWidth="1" min="5" max="5"/>
    <col width="30" customWidth="1" min="6" max="6"/>
    <col width="34" customWidth="1" min="7" max="7"/>
    <col width="18" customWidth="1" min="8" max="8"/>
    <col width="18" customWidth="1" min="9" max="9"/>
    <col width="30" customWidth="1" min="10" max="10"/>
  </cols>
  <sheetData>
    <row r="1" ht="28" customHeight="1">
      <c r="A1" s="6" t="inlineStr">
        <is>
          <t>Q29 — Expert Review</t>
        </is>
      </c>
      <c r="B1" s="3" t="n"/>
      <c r="C1" s="3" t="n"/>
      <c r="D1" s="3" t="n"/>
      <c r="E1" s="3" t="n"/>
      <c r="F1" s="3" t="n"/>
      <c r="G1" s="3" t="n"/>
      <c r="H1" s="3" t="n"/>
      <c r="I1" s="3" t="n"/>
      <c r="J1" s="3" t="n"/>
    </row>
    <row r="2">
      <c r="A2" s="3" t="n"/>
      <c r="B2" s="3" t="n"/>
      <c r="C2" s="3" t="n"/>
      <c r="D2" s="3" t="n"/>
      <c r="E2" s="3" t="n"/>
      <c r="F2" s="3" t="n"/>
      <c r="G2" s="3" t="n"/>
      <c r="H2" s="3" t="n"/>
      <c r="I2" s="3" t="n"/>
      <c r="J2" s="3" t="n"/>
    </row>
    <row r="3">
      <c r="A3" s="8" t="inlineStr">
        <is>
          <t>Question metadata</t>
        </is>
      </c>
      <c r="B3" s="3" t="n"/>
      <c r="C3" s="3" t="n"/>
      <c r="D3" s="3" t="n"/>
      <c r="E3" s="3" t="n"/>
      <c r="F3" s="3" t="n"/>
      <c r="G3" s="3" t="n"/>
      <c r="H3" s="3" t="n"/>
      <c r="I3" s="3" t="n"/>
      <c r="J3" s="3" t="n"/>
    </row>
    <row r="4">
      <c r="A4" s="9" t="inlineStr">
        <is>
          <t>Question ID</t>
        </is>
      </c>
      <c r="B4" s="3" t="n">
        <v>29</v>
      </c>
      <c r="C4" s="3" t="n"/>
      <c r="D4" s="3" t="n"/>
      <c r="E4" s="3" t="n"/>
      <c r="F4" s="3" t="n"/>
      <c r="G4" s="3" t="n"/>
      <c r="H4" s="3" t="n"/>
      <c r="I4" s="3" t="n"/>
      <c r="J4" s="3" t="n"/>
    </row>
    <row r="5">
      <c r="A5" s="9" t="inlineStr">
        <is>
          <t>Topic</t>
        </is>
      </c>
      <c r="B5" s="3" t="inlineStr">
        <is>
          <t>Dawn raids — the inspection decision</t>
        </is>
      </c>
      <c r="C5" s="3" t="n"/>
      <c r="D5" s="3" t="n"/>
      <c r="E5" s="3" t="n"/>
      <c r="F5" s="3" t="n"/>
      <c r="G5" s="3" t="n"/>
      <c r="H5" s="3" t="n"/>
      <c r="I5" s="3" t="n"/>
      <c r="J5" s="3" t="n"/>
    </row>
    <row r="6">
      <c r="A6" s="9" t="inlineStr">
        <is>
          <t>Scope</t>
        </is>
      </c>
      <c r="B6" s="3" t="inlineStr">
        <is>
          <t>EU</t>
        </is>
      </c>
      <c r="C6" s="3" t="n"/>
      <c r="D6" s="3" t="n"/>
      <c r="E6" s="3" t="n"/>
      <c r="F6" s="3" t="n"/>
      <c r="G6" s="3" t="n"/>
      <c r="H6" s="3" t="n"/>
      <c r="I6" s="3" t="n"/>
      <c r="J6" s="3" t="n"/>
    </row>
    <row r="7">
      <c r="A7" s="9" t="inlineStr">
        <is>
          <t>Original reviewer</t>
        </is>
      </c>
      <c r="B7" s="3" t="inlineStr">
        <is>
          <t>Carolina</t>
        </is>
      </c>
      <c r="C7" s="3" t="n"/>
      <c r="D7" s="3" t="n"/>
      <c r="E7" s="3" t="n"/>
      <c r="F7" s="3" t="n"/>
      <c r="G7" s="3" t="n"/>
      <c r="H7" s="3" t="n"/>
      <c r="I7" s="3" t="n"/>
      <c r="J7" s="3" t="n"/>
    </row>
    <row r="8">
      <c r="A8" s="9" t="inlineStr">
        <is>
          <t>Original status</t>
        </is>
      </c>
      <c r="B8" s="3" t="inlineStr">
        <is>
          <t>Approved</t>
        </is>
      </c>
      <c r="C8" s="3" t="n"/>
      <c r="D8" s="3" t="n"/>
      <c r="E8" s="3" t="n"/>
      <c r="F8" s="3" t="n"/>
      <c r="G8" s="3" t="n"/>
      <c r="H8" s="3" t="n"/>
      <c r="I8" s="3" t="n"/>
      <c r="J8" s="3" t="n"/>
    </row>
    <row r="9">
      <c r="A9" s="3" t="n"/>
      <c r="B9" s="3" t="n"/>
      <c r="C9" s="3" t="n"/>
      <c r="D9" s="3" t="n"/>
      <c r="E9" s="3" t="n"/>
      <c r="F9" s="3" t="n"/>
      <c r="G9" s="3" t="n"/>
      <c r="H9" s="3" t="n"/>
      <c r="I9" s="3" t="n"/>
      <c r="J9" s="3" t="n"/>
    </row>
    <row r="10" ht="45" customHeight="1">
      <c r="A10" s="9" t="inlineStr">
        <is>
          <t>Question</t>
        </is>
      </c>
      <c r="B10" s="3" t="inlineStr">
        <is>
          <t>Can an inspection decision be annulled in part where the Commission's evidence supports only some of the suspected infringement period it covers, and what then happens to material already gathered?</t>
        </is>
      </c>
      <c r="C10" s="3" t="n"/>
      <c r="D10" s="3" t="n"/>
      <c r="E10" s="3" t="n"/>
      <c r="F10" s="3" t="n"/>
      <c r="G10" s="3" t="n"/>
      <c r="H10" s="3" t="n"/>
      <c r="I10" s="3" t="n"/>
      <c r="J10" s="3" t="n"/>
    </row>
    <row r="11">
      <c r="A11" s="3" t="n"/>
      <c r="B11" s="3" t="n"/>
      <c r="C11" s="3" t="n"/>
      <c r="D11" s="3" t="n"/>
      <c r="E11" s="3" t="n"/>
      <c r="F11" s="3" t="n"/>
      <c r="G11" s="3" t="n"/>
      <c r="H11" s="3" t="n"/>
      <c r="I11" s="3" t="n"/>
      <c r="J11" s="3" t="n"/>
    </row>
    <row r="12">
      <c r="A12" s="3" t="n"/>
      <c r="B12" s="3" t="n"/>
      <c r="C12" s="3" t="n"/>
      <c r="D12" s="3" t="n"/>
      <c r="E12" s="3" t="n"/>
      <c r="F12" s="3" t="n"/>
      <c r="G12" s="3" t="n"/>
      <c r="H12" s="3" t="n"/>
      <c r="I12" s="3" t="n"/>
      <c r="J12" s="3" t="n"/>
    </row>
    <row r="13">
      <c r="A13" s="3" t="n"/>
      <c r="B13" s="3" t="n"/>
      <c r="C13" s="3" t="n"/>
      <c r="D13" s="3" t="n"/>
      <c r="E13" s="3" t="n"/>
      <c r="F13" s="3" t="n"/>
      <c r="G13" s="3" t="n"/>
      <c r="H13" s="3" t="n"/>
      <c r="I13" s="3" t="n"/>
      <c r="J13" s="3" t="n"/>
    </row>
    <row r="14">
      <c r="A14" s="8" t="inlineStr">
        <is>
          <t>Generated answer</t>
        </is>
      </c>
      <c r="B14" s="3" t="n"/>
      <c r="C14" s="3" t="n"/>
      <c r="D14" s="3" t="n"/>
      <c r="E14" s="3" t="n"/>
      <c r="F14" s="3" t="n"/>
      <c r="G14" s="3" t="n"/>
      <c r="H14" s="3" t="n"/>
      <c r="I14" s="3" t="n"/>
      <c r="J14" s="3" t="n"/>
    </row>
    <row r="15">
      <c r="A15" s="10" t="inlineStr">
        <is>
          <t>Paste the generated answer below.</t>
        </is>
      </c>
      <c r="B15" s="3" t="n"/>
      <c r="C15" s="3" t="n"/>
      <c r="D15" s="3" t="n"/>
      <c r="E15" s="3" t="n"/>
      <c r="F15" s="3" t="n"/>
      <c r="G15" s="3" t="n"/>
      <c r="H15" s="3" t="n"/>
      <c r="I15" s="3" t="n"/>
      <c r="J15" s="3" t="n"/>
    </row>
    <row r="16" ht="90" customHeight="1">
      <c r="A16" s="3" t="inlineStr"/>
      <c r="B16" s="3" t="n"/>
      <c r="C16" s="3" t="n"/>
      <c r="D16" s="3" t="n"/>
      <c r="E16" s="3" t="n"/>
      <c r="F16" s="3" t="n"/>
      <c r="G16" s="3" t="n"/>
      <c r="H16" s="3" t="n"/>
      <c r="I16" s="3" t="n"/>
      <c r="J16" s="3" t="n"/>
    </row>
    <row r="17" ht="30" customHeight="1">
      <c r="A17" s="3" t="n"/>
      <c r="B17" s="3" t="n"/>
      <c r="C17" s="3" t="n"/>
      <c r="D17" s="3" t="n"/>
      <c r="E17" s="3" t="n"/>
      <c r="F17" s="3" t="n"/>
      <c r="G17" s="3" t="n"/>
      <c r="H17" s="3" t="n"/>
      <c r="I17" s="3" t="n"/>
      <c r="J17" s="3" t="n"/>
    </row>
    <row r="18" ht="30" customHeight="1">
      <c r="A18" s="3" t="n"/>
      <c r="B18" s="3" t="n"/>
      <c r="C18" s="3" t="n"/>
      <c r="D18" s="3" t="n"/>
      <c r="E18" s="3" t="n"/>
      <c r="F18" s="3" t="n"/>
      <c r="G18" s="3" t="n"/>
      <c r="H18" s="3" t="n"/>
      <c r="I18" s="3" t="n"/>
      <c r="J18" s="3" t="n"/>
    </row>
    <row r="19">
      <c r="A19" s="9" t="inlineStr">
        <is>
          <t>Run ID</t>
        </is>
      </c>
      <c r="B19" s="3" t="inlineStr"/>
      <c r="C19" s="9" t="inlineStr">
        <is>
          <t>Run date</t>
        </is>
      </c>
      <c r="D19" s="3" t="inlineStr"/>
      <c r="E19" s="9" t="inlineStr">
        <is>
          <t>Model / prompt version</t>
        </is>
      </c>
      <c r="F19" s="3" t="inlineStr"/>
      <c r="G19" s="9" t="inlineStr">
        <is>
          <t>Corpus snapshot</t>
        </is>
      </c>
      <c r="H19" s="3" t="inlineStr"/>
      <c r="I19" s="3" t="n"/>
      <c r="J19" s="3" t="n"/>
    </row>
    <row r="20">
      <c r="A20" s="8" t="inlineStr">
        <is>
          <t>Retrieval set review</t>
        </is>
      </c>
      <c r="B20" s="3" t="n"/>
      <c r="C20" s="3" t="n"/>
      <c r="D20" s="3" t="n"/>
      <c r="E20" s="3" t="n"/>
      <c r="F20" s="3" t="n"/>
      <c r="G20" s="3" t="n"/>
      <c r="H20" s="3" t="n"/>
      <c r="I20" s="3" t="n"/>
      <c r="J20" s="3" t="n"/>
    </row>
    <row r="21">
      <c r="A21" s="11" t="inlineStr">
        <is>
          <t>Rank</t>
        </is>
      </c>
      <c r="B21" s="11" t="inlineStr">
        <is>
          <t>Retrieved source</t>
        </is>
      </c>
      <c r="C21" s="11" t="inlineStr">
        <is>
          <t>Source type</t>
        </is>
      </c>
      <c r="D21" s="11" t="inlineStr">
        <is>
          <t>Jurisdiction</t>
        </is>
      </c>
      <c r="E21" s="11" t="inlineStr">
        <is>
          <t>URL / Document ID</t>
        </is>
      </c>
      <c r="F21" s="11" t="inlineStr">
        <is>
          <t>Returned by engine?</t>
        </is>
      </c>
      <c r="G21" s="11" t="inlineStr">
        <is>
          <t>Required source?</t>
        </is>
      </c>
      <c r="H21" s="11" t="inlineStr">
        <is>
          <t>Trap?</t>
        </is>
      </c>
      <c r="I21" s="11" t="inlineStr">
        <is>
          <t>Expert verdict</t>
        </is>
      </c>
      <c r="J21" s="11" t="inlineStr">
        <is>
          <t>Notes</t>
        </is>
      </c>
    </row>
    <row r="22" ht="44" customHeight="1">
      <c r="A22" s="4" t="n">
        <v>1</v>
      </c>
      <c r="B22" s="4" t="n"/>
      <c r="C22" s="4" t="n"/>
      <c r="D22" s="4" t="n"/>
      <c r="E22" s="4" t="n"/>
      <c r="F22" s="4" t="n"/>
      <c r="G22" s="4" t="n"/>
      <c r="H22" s="4" t="n"/>
      <c r="I22" s="4" t="n"/>
      <c r="J22" s="4" t="n"/>
    </row>
    <row r="23" ht="44" customHeight="1">
      <c r="A23" s="4" t="n">
        <v>2</v>
      </c>
      <c r="B23" s="4" t="n"/>
      <c r="C23" s="4" t="n"/>
      <c r="D23" s="4" t="n"/>
      <c r="E23" s="4" t="n"/>
      <c r="F23" s="4" t="n"/>
      <c r="G23" s="4" t="n"/>
      <c r="H23" s="4" t="n"/>
      <c r="I23" s="4" t="n"/>
      <c r="J23" s="4" t="n"/>
    </row>
    <row r="24" ht="44" customHeight="1">
      <c r="A24" s="4" t="n">
        <v>3</v>
      </c>
      <c r="B24" s="4" t="n"/>
      <c r="C24" s="4" t="n"/>
      <c r="D24" s="4" t="n"/>
      <c r="E24" s="4" t="n"/>
      <c r="F24" s="4" t="n"/>
      <c r="G24" s="4" t="n"/>
      <c r="H24" s="4" t="n"/>
      <c r="I24" s="4" t="n"/>
      <c r="J24" s="4" t="n"/>
    </row>
    <row r="25" ht="44" customHeight="1">
      <c r="A25" s="4" t="n">
        <v>4</v>
      </c>
      <c r="B25" s="4" t="n"/>
      <c r="C25" s="4" t="n"/>
      <c r="D25" s="4" t="n"/>
      <c r="E25" s="4" t="n"/>
      <c r="F25" s="4" t="n"/>
      <c r="G25" s="4" t="n"/>
      <c r="H25" s="4" t="n"/>
      <c r="I25" s="4" t="n"/>
      <c r="J25" s="4" t="n"/>
    </row>
    <row r="26" ht="44" customHeight="1">
      <c r="A26" s="4" t="n">
        <v>5</v>
      </c>
      <c r="B26" s="4" t="n"/>
      <c r="C26" s="4" t="n"/>
      <c r="D26" s="4" t="n"/>
      <c r="E26" s="4" t="n"/>
      <c r="F26" s="4" t="n"/>
      <c r="G26" s="4" t="n"/>
      <c r="H26" s="4" t="n"/>
      <c r="I26" s="4" t="n"/>
      <c r="J26" s="4" t="n"/>
    </row>
    <row r="27" ht="44" customHeight="1">
      <c r="A27" s="4" t="n">
        <v>6</v>
      </c>
      <c r="B27" s="4" t="n"/>
      <c r="C27" s="4" t="n"/>
      <c r="D27" s="4" t="n"/>
      <c r="E27" s="4" t="n"/>
      <c r="F27" s="4" t="n"/>
      <c r="G27" s="4" t="n"/>
      <c r="H27" s="4" t="n"/>
      <c r="I27" s="4" t="n"/>
      <c r="J27" s="4" t="n"/>
    </row>
    <row r="28" ht="44" customHeight="1">
      <c r="A28" s="4" t="n">
        <v>7</v>
      </c>
      <c r="B28" s="4" t="n"/>
      <c r="C28" s="4" t="n"/>
      <c r="D28" s="4" t="n"/>
      <c r="E28" s="4" t="n"/>
      <c r="F28" s="4" t="n"/>
      <c r="G28" s="4" t="n"/>
      <c r="H28" s="4" t="n"/>
      <c r="I28" s="4" t="n"/>
      <c r="J28" s="4" t="n"/>
    </row>
    <row r="29" ht="44" customHeight="1">
      <c r="A29" s="4" t="n">
        <v>8</v>
      </c>
      <c r="B29" s="4" t="n"/>
      <c r="C29" s="4" t="n"/>
      <c r="D29" s="4" t="n"/>
      <c r="E29" s="4" t="n"/>
      <c r="F29" s="4" t="n"/>
      <c r="G29" s="4" t="n"/>
      <c r="H29" s="4" t="n"/>
      <c r="I29" s="4" t="n"/>
      <c r="J29" s="4" t="n"/>
    </row>
    <row r="30" ht="44" customHeight="1">
      <c r="A30" s="4" t="n">
        <v>9</v>
      </c>
      <c r="B30" s="4" t="n"/>
      <c r="C30" s="4" t="n"/>
      <c r="D30" s="4" t="n"/>
      <c r="E30" s="4" t="n"/>
      <c r="F30" s="4" t="n"/>
      <c r="G30" s="4" t="n"/>
      <c r="H30" s="4" t="n"/>
      <c r="I30" s="4" t="n"/>
      <c r="J30" s="4" t="n"/>
    </row>
    <row r="31" ht="44" customHeight="1">
      <c r="A31" s="4" t="n">
        <v>10</v>
      </c>
      <c r="B31" s="4" t="n"/>
      <c r="C31" s="4" t="n"/>
      <c r="D31" s="4" t="n"/>
      <c r="E31" s="4" t="n"/>
      <c r="F31" s="4" t="n"/>
      <c r="G31" s="4" t="n"/>
      <c r="H31" s="4" t="n"/>
      <c r="I31" s="4" t="n"/>
      <c r="J31" s="4" t="n"/>
    </row>
    <row r="32" ht="44" customHeight="1">
      <c r="A32" s="4" t="n">
        <v>11</v>
      </c>
      <c r="B32" s="4" t="n"/>
      <c r="C32" s="4" t="n"/>
      <c r="D32" s="4" t="n"/>
      <c r="E32" s="4" t="n"/>
      <c r="F32" s="4" t="n"/>
      <c r="G32" s="4" t="n"/>
      <c r="H32" s="4" t="n"/>
      <c r="I32" s="4" t="n"/>
      <c r="J32" s="4" t="n"/>
    </row>
    <row r="33" ht="44" customHeight="1">
      <c r="A33" s="4" t="n">
        <v>12</v>
      </c>
      <c r="B33" s="4" t="n"/>
      <c r="C33" s="4" t="n"/>
      <c r="D33" s="4" t="n"/>
      <c r="E33" s="4" t="n"/>
      <c r="F33" s="4" t="n"/>
      <c r="G33" s="4" t="n"/>
      <c r="H33" s="4" t="n"/>
      <c r="I33" s="4" t="n"/>
      <c r="J33" s="4" t="n"/>
    </row>
    <row r="34" ht="44" customHeight="1">
      <c r="A34" s="4" t="n">
        <v>13</v>
      </c>
      <c r="B34" s="4" t="n"/>
      <c r="C34" s="4" t="n"/>
      <c r="D34" s="4" t="n"/>
      <c r="E34" s="4" t="n"/>
      <c r="F34" s="4" t="n"/>
      <c r="G34" s="4" t="n"/>
      <c r="H34" s="4" t="n"/>
      <c r="I34" s="4" t="n"/>
      <c r="J34" s="4" t="n"/>
    </row>
    <row r="35" ht="44" customHeight="1">
      <c r="A35" s="4" t="n">
        <v>14</v>
      </c>
      <c r="B35" s="4" t="n"/>
      <c r="C35" s="4" t="n"/>
      <c r="D35" s="4" t="n"/>
      <c r="E35" s="4" t="n"/>
      <c r="F35" s="4" t="n"/>
      <c r="G35" s="4" t="n"/>
      <c r="H35" s="4" t="n"/>
      <c r="I35" s="4" t="n"/>
      <c r="J35" s="4" t="n"/>
    </row>
    <row r="36" ht="44" customHeight="1">
      <c r="A36" s="4" t="n">
        <v>15</v>
      </c>
      <c r="B36" s="4" t="n"/>
      <c r="C36" s="4" t="n"/>
      <c r="D36" s="4" t="n"/>
      <c r="E36" s="4" t="n"/>
      <c r="F36" s="4" t="n"/>
      <c r="G36" s="4" t="n"/>
      <c r="H36" s="4" t="n"/>
      <c r="I36" s="4" t="n"/>
      <c r="J36" s="4" t="n"/>
    </row>
    <row r="37">
      <c r="A37" s="3" t="n"/>
      <c r="B37" s="3" t="n"/>
      <c r="C37" s="3" t="n"/>
      <c r="D37" s="3" t="n"/>
      <c r="E37" s="3" t="n"/>
      <c r="F37" s="3" t="n"/>
      <c r="G37" s="3" t="n"/>
      <c r="H37" s="3" t="n"/>
      <c r="I37" s="3" t="n"/>
      <c r="J37" s="3" t="n"/>
    </row>
    <row r="38">
      <c r="A38" s="8" t="inlineStr">
        <is>
          <t>Claim-by-claim review</t>
        </is>
      </c>
      <c r="B38" s="3" t="n"/>
      <c r="C38" s="3" t="n"/>
      <c r="D38" s="3" t="n"/>
      <c r="E38" s="3" t="n"/>
      <c r="F38" s="3" t="n"/>
      <c r="G38" s="3" t="n"/>
      <c r="H38" s="3" t="n"/>
      <c r="I38" s="3" t="n"/>
      <c r="J38" s="3" t="n"/>
    </row>
    <row r="39">
      <c r="A39" s="11" t="inlineStr">
        <is>
          <t>Claim ID</t>
        </is>
      </c>
      <c r="B39" s="11" t="inlineStr">
        <is>
          <t>Claim from answer</t>
        </is>
      </c>
      <c r="C39" s="11" t="inlineStr">
        <is>
          <t>Citation used</t>
        </is>
      </c>
      <c r="D39" s="11" t="inlineStr">
        <is>
          <t>Expert verdict</t>
        </is>
      </c>
      <c r="E39" s="11" t="inlineStr">
        <is>
          <t>Issue type</t>
        </is>
      </c>
      <c r="F39" s="11" t="inlineStr">
        <is>
          <t>Cited passage / source note</t>
        </is>
      </c>
      <c r="G39" s="11" t="inlineStr">
        <is>
          <t>Required fix / comment</t>
        </is>
      </c>
      <c r="H39" s="11" t="inlineStr">
        <is>
          <t>Reviewer</t>
        </is>
      </c>
      <c r="I39" s="11" t="n"/>
      <c r="J39" s="11" t="n"/>
    </row>
    <row r="40" ht="54" customHeight="1">
      <c r="A40" s="4" t="n">
        <v>1</v>
      </c>
      <c r="B40" s="4" t="n"/>
      <c r="C40" s="4" t="n"/>
      <c r="D40" s="4" t="n"/>
      <c r="E40" s="4" t="n"/>
      <c r="F40" s="4" t="n"/>
      <c r="G40" s="4" t="n"/>
      <c r="H40" s="4" t="n"/>
      <c r="I40" s="3" t="n"/>
      <c r="J40" s="3" t="n"/>
    </row>
    <row r="41" ht="54" customHeight="1">
      <c r="A41" s="4" t="n">
        <v>2</v>
      </c>
      <c r="B41" s="4" t="n"/>
      <c r="C41" s="4" t="n"/>
      <c r="D41" s="4" t="n"/>
      <c r="E41" s="4" t="n"/>
      <c r="F41" s="4" t="n"/>
      <c r="G41" s="4" t="n"/>
      <c r="H41" s="4" t="n"/>
      <c r="I41" s="3" t="n"/>
      <c r="J41" s="3" t="n"/>
    </row>
    <row r="42" ht="54" customHeight="1">
      <c r="A42" s="4" t="n">
        <v>3</v>
      </c>
      <c r="B42" s="4" t="n"/>
      <c r="C42" s="4" t="n"/>
      <c r="D42" s="4" t="n"/>
      <c r="E42" s="4" t="n"/>
      <c r="F42" s="4" t="n"/>
      <c r="G42" s="4" t="n"/>
      <c r="H42" s="4" t="n"/>
      <c r="I42" s="3" t="n"/>
      <c r="J42" s="3" t="n"/>
    </row>
    <row r="43" ht="54" customHeight="1">
      <c r="A43" s="4" t="n">
        <v>4</v>
      </c>
      <c r="B43" s="4" t="n"/>
      <c r="C43" s="4" t="n"/>
      <c r="D43" s="4" t="n"/>
      <c r="E43" s="4" t="n"/>
      <c r="F43" s="4" t="n"/>
      <c r="G43" s="4" t="n"/>
      <c r="H43" s="4" t="n"/>
      <c r="I43" s="3" t="n"/>
      <c r="J43" s="3" t="n"/>
    </row>
    <row r="44" ht="54" customHeight="1">
      <c r="A44" s="4" t="n">
        <v>5</v>
      </c>
      <c r="B44" s="4" t="n"/>
      <c r="C44" s="4" t="n"/>
      <c r="D44" s="4" t="n"/>
      <c r="E44" s="4" t="n"/>
      <c r="F44" s="4" t="n"/>
      <c r="G44" s="4" t="n"/>
      <c r="H44" s="4" t="n"/>
      <c r="I44" s="3" t="n"/>
      <c r="J44" s="3" t="n"/>
    </row>
    <row r="45" ht="54" customHeight="1">
      <c r="A45" s="4" t="n">
        <v>6</v>
      </c>
      <c r="B45" s="4" t="n"/>
      <c r="C45" s="4" t="n"/>
      <c r="D45" s="4" t="n"/>
      <c r="E45" s="4" t="n"/>
      <c r="F45" s="4" t="n"/>
      <c r="G45" s="4" t="n"/>
      <c r="H45" s="4" t="n"/>
      <c r="I45" s="3" t="n"/>
      <c r="J45" s="3" t="n"/>
    </row>
    <row r="46" ht="54" customHeight="1">
      <c r="A46" s="4" t="n">
        <v>7</v>
      </c>
      <c r="B46" s="4" t="n"/>
      <c r="C46" s="4" t="n"/>
      <c r="D46" s="4" t="n"/>
      <c r="E46" s="4" t="n"/>
      <c r="F46" s="4" t="n"/>
      <c r="G46" s="4" t="n"/>
      <c r="H46" s="4" t="n"/>
      <c r="I46" s="3" t="n"/>
      <c r="J46" s="3" t="n"/>
    </row>
    <row r="47" ht="54" customHeight="1">
      <c r="A47" s="4" t="n">
        <v>8</v>
      </c>
      <c r="B47" s="4" t="n"/>
      <c r="C47" s="4" t="n"/>
      <c r="D47" s="4" t="n"/>
      <c r="E47" s="4" t="n"/>
      <c r="F47" s="4" t="n"/>
      <c r="G47" s="4" t="n"/>
      <c r="H47" s="4" t="n"/>
      <c r="I47" s="3" t="n"/>
      <c r="J47" s="3" t="n"/>
    </row>
    <row r="48" ht="54" customHeight="1">
      <c r="A48" s="4" t="n">
        <v>9</v>
      </c>
      <c r="B48" s="4" t="n"/>
      <c r="C48" s="4" t="n"/>
      <c r="D48" s="4" t="n"/>
      <c r="E48" s="4" t="n"/>
      <c r="F48" s="4" t="n"/>
      <c r="G48" s="4" t="n"/>
      <c r="H48" s="4" t="n"/>
      <c r="I48" s="3" t="n"/>
      <c r="J48" s="3" t="n"/>
    </row>
    <row r="49" ht="54" customHeight="1">
      <c r="A49" s="4" t="n">
        <v>10</v>
      </c>
      <c r="B49" s="4" t="n"/>
      <c r="C49" s="4" t="n"/>
      <c r="D49" s="4" t="n"/>
      <c r="E49" s="4" t="n"/>
      <c r="F49" s="4" t="n"/>
      <c r="G49" s="4" t="n"/>
      <c r="H49" s="4" t="n"/>
      <c r="I49" s="3" t="n"/>
      <c r="J49" s="3" t="n"/>
    </row>
    <row r="50" ht="54" customHeight="1">
      <c r="A50" s="4" t="n">
        <v>11</v>
      </c>
      <c r="B50" s="4" t="n"/>
      <c r="C50" s="4" t="n"/>
      <c r="D50" s="4" t="n"/>
      <c r="E50" s="4" t="n"/>
      <c r="F50" s="4" t="n"/>
      <c r="G50" s="4" t="n"/>
      <c r="H50" s="4" t="n"/>
      <c r="I50" s="3" t="n"/>
      <c r="J50" s="3" t="n"/>
    </row>
    <row r="51" ht="54" customHeight="1">
      <c r="A51" s="4" t="n">
        <v>12</v>
      </c>
      <c r="B51" s="4" t="n"/>
      <c r="C51" s="4" t="n"/>
      <c r="D51" s="4" t="n"/>
      <c r="E51" s="4" t="n"/>
      <c r="F51" s="4" t="n"/>
      <c r="G51" s="4" t="n"/>
      <c r="H51" s="4" t="n"/>
      <c r="I51" s="3" t="n"/>
      <c r="J51" s="3" t="n"/>
    </row>
    <row r="52" ht="54" customHeight="1">
      <c r="A52" s="4" t="n">
        <v>13</v>
      </c>
      <c r="B52" s="4" t="n"/>
      <c r="C52" s="4" t="n"/>
      <c r="D52" s="4" t="n"/>
      <c r="E52" s="4" t="n"/>
      <c r="F52" s="4" t="n"/>
      <c r="G52" s="4" t="n"/>
      <c r="H52" s="4" t="n"/>
      <c r="I52" s="3" t="n"/>
      <c r="J52" s="3" t="n"/>
    </row>
    <row r="53" ht="54" customHeight="1">
      <c r="A53" s="4" t="n">
        <v>14</v>
      </c>
      <c r="B53" s="4" t="n"/>
      <c r="C53" s="4" t="n"/>
      <c r="D53" s="4" t="n"/>
      <c r="E53" s="4" t="n"/>
      <c r="F53" s="4" t="n"/>
      <c r="G53" s="4" t="n"/>
      <c r="H53" s="4" t="n"/>
      <c r="I53" s="3" t="n"/>
      <c r="J53" s="3" t="n"/>
    </row>
    <row r="54" ht="54" customHeight="1">
      <c r="A54" s="4" t="n">
        <v>15</v>
      </c>
      <c r="B54" s="4" t="n"/>
      <c r="C54" s="4" t="n"/>
      <c r="D54" s="4" t="n"/>
      <c r="E54" s="4" t="n"/>
      <c r="F54" s="4" t="n"/>
      <c r="G54" s="4" t="n"/>
      <c r="H54" s="4" t="n"/>
      <c r="I54" s="3" t="n"/>
      <c r="J54" s="3" t="n"/>
    </row>
    <row r="55" ht="54" customHeight="1">
      <c r="A55" s="4" t="n">
        <v>16</v>
      </c>
      <c r="B55" s="4" t="n"/>
      <c r="C55" s="4" t="n"/>
      <c r="D55" s="4" t="n"/>
      <c r="E55" s="4" t="n"/>
      <c r="F55" s="4" t="n"/>
      <c r="G55" s="4" t="n"/>
      <c r="H55" s="4" t="n"/>
      <c r="I55" s="3" t="n"/>
      <c r="J55" s="3" t="n"/>
    </row>
    <row r="56" ht="54" customHeight="1">
      <c r="A56" s="4" t="n">
        <v>17</v>
      </c>
      <c r="B56" s="4" t="n"/>
      <c r="C56" s="4" t="n"/>
      <c r="D56" s="4" t="n"/>
      <c r="E56" s="4" t="n"/>
      <c r="F56" s="4" t="n"/>
      <c r="G56" s="4" t="n"/>
      <c r="H56" s="4" t="n"/>
      <c r="I56" s="3" t="n"/>
      <c r="J56" s="3" t="n"/>
    </row>
    <row r="57" ht="54" customHeight="1">
      <c r="A57" s="4" t="n">
        <v>18</v>
      </c>
      <c r="B57" s="4" t="n"/>
      <c r="C57" s="4" t="n"/>
      <c r="D57" s="4" t="n"/>
      <c r="E57" s="4" t="n"/>
      <c r="F57" s="4" t="n"/>
      <c r="G57" s="4" t="n"/>
      <c r="H57" s="4" t="n"/>
      <c r="I57" s="3" t="n"/>
      <c r="J57" s="3" t="n"/>
    </row>
    <row r="58" ht="54" customHeight="1">
      <c r="A58" s="4" t="n">
        <v>19</v>
      </c>
      <c r="B58" s="4" t="n"/>
      <c r="C58" s="4" t="n"/>
      <c r="D58" s="4" t="n"/>
      <c r="E58" s="4" t="n"/>
      <c r="F58" s="4" t="n"/>
      <c r="G58" s="4" t="n"/>
      <c r="H58" s="4" t="n"/>
      <c r="I58" s="3" t="n"/>
      <c r="J58" s="3" t="n"/>
    </row>
    <row r="59" ht="54" customHeight="1">
      <c r="A59" s="4" t="n">
        <v>20</v>
      </c>
      <c r="B59" s="4" t="n"/>
      <c r="C59" s="4" t="n"/>
      <c r="D59" s="4" t="n"/>
      <c r="E59" s="4" t="n"/>
      <c r="F59" s="4" t="n"/>
      <c r="G59" s="4" t="n"/>
      <c r="H59" s="4" t="n"/>
      <c r="I59" s="3" t="n"/>
      <c r="J59" s="3" t="n"/>
    </row>
    <row r="60">
      <c r="A60" s="3" t="n"/>
      <c r="B60" s="3" t="n"/>
      <c r="C60" s="3" t="n"/>
      <c r="D60" s="3" t="n"/>
      <c r="E60" s="3" t="n"/>
      <c r="F60" s="3" t="n"/>
      <c r="G60" s="3" t="n"/>
      <c r="H60" s="3" t="n"/>
      <c r="I60" s="3" t="n"/>
      <c r="J60" s="3" t="n"/>
    </row>
    <row r="61">
      <c r="A61" s="8" t="inlineStr">
        <is>
          <t>Final expert verdict</t>
        </is>
      </c>
      <c r="B61" s="3" t="n"/>
      <c r="C61" s="3" t="n"/>
      <c r="D61" s="3" t="n"/>
      <c r="E61" s="3" t="n"/>
      <c r="F61" s="3" t="n"/>
      <c r="G61" s="3" t="n"/>
      <c r="H61" s="3" t="n"/>
      <c r="I61" s="3" t="n"/>
      <c r="J61" s="3" t="n"/>
    </row>
    <row r="62">
      <c r="A62" s="12" t="inlineStr">
        <is>
          <t>Is the answer acceptable?</t>
        </is>
      </c>
      <c r="B62" s="4" t="inlineStr"/>
      <c r="C62" s="4" t="n"/>
      <c r="D62" s="4" t="n"/>
      <c r="E62" s="4" t="n"/>
      <c r="F62" s="4" t="n"/>
      <c r="G62" s="4" t="n"/>
      <c r="H62" s="4" t="n"/>
      <c r="I62" s="3" t="n"/>
      <c r="J62" s="3" t="n"/>
    </row>
    <row r="63" ht="54" customHeight="1">
      <c r="A63" s="12" t="inlineStr">
        <is>
          <t>Overall comment / required fixes</t>
        </is>
      </c>
      <c r="B63" s="4" t="n"/>
      <c r="C63" s="4" t="n"/>
      <c r="D63" s="4" t="n"/>
      <c r="E63" s="4" t="n"/>
      <c r="F63" s="4" t="n"/>
      <c r="G63" s="4" t="n"/>
      <c r="H63" s="4" t="n"/>
      <c r="I63" s="3" t="n"/>
      <c r="J63" s="3" t="n"/>
    </row>
    <row r="64">
      <c r="A64" s="4" t="n"/>
      <c r="B64" s="4" t="n"/>
      <c r="C64" s="4" t="n"/>
      <c r="D64" s="4" t="n"/>
      <c r="E64" s="4" t="n"/>
      <c r="F64" s="4" t="n"/>
      <c r="G64" s="4" t="n"/>
      <c r="H64" s="4" t="n"/>
      <c r="I64" s="3" t="n"/>
      <c r="J64" s="3" t="n"/>
    </row>
    <row r="65">
      <c r="A65" s="12" t="inlineStr">
        <is>
          <t>Missing key sources?</t>
        </is>
      </c>
      <c r="B65" s="4" t="n"/>
      <c r="C65" s="4" t="n"/>
      <c r="D65" s="4" t="n"/>
      <c r="E65" s="4" t="n"/>
      <c r="F65" s="4" t="n"/>
      <c r="G65" s="4" t="n"/>
      <c r="H65" s="4" t="n"/>
      <c r="I65" s="3" t="n"/>
      <c r="J65" s="3" t="n"/>
    </row>
    <row r="66">
      <c r="A66" s="12" t="inlineStr">
        <is>
          <t>Review completed?</t>
        </is>
      </c>
      <c r="B66" s="4" t="inlineStr"/>
      <c r="C66" s="4" t="n"/>
      <c r="D66" s="4" t="n"/>
      <c r="E66" s="4" t="n"/>
      <c r="F66" s="4" t="n"/>
      <c r="G66" s="4" t="n"/>
      <c r="H66" s="4" t="n"/>
      <c r="I66" s="3" t="n"/>
      <c r="J66" s="3" t="n"/>
    </row>
    <row r="67">
      <c r="A67" s="12" t="inlineStr">
        <is>
          <t>Reviewer</t>
        </is>
      </c>
      <c r="B67" s="4" t="n"/>
      <c r="C67" s="12" t="inlineStr">
        <is>
          <t>Review date</t>
        </is>
      </c>
      <c r="D67" s="5" t="inlineStr"/>
      <c r="E67" s="4" t="n"/>
      <c r="F67" s="4" t="n"/>
      <c r="G67" s="4" t="n"/>
      <c r="H67" s="4" t="n"/>
      <c r="I67" s="3" t="n"/>
      <c r="J67" s="3" t="n"/>
    </row>
    <row r="68">
      <c r="A68" s="3" t="n"/>
      <c r="B68" s="3" t="n"/>
      <c r="C68" s="3" t="n"/>
      <c r="D68" s="3" t="n"/>
      <c r="E68" s="3" t="n"/>
      <c r="F68" s="3" t="n"/>
      <c r="G68" s="3" t="n"/>
      <c r="H68" s="3" t="n"/>
      <c r="I68" s="3" t="n"/>
      <c r="J68" s="3" t="n"/>
    </row>
    <row r="69">
      <c r="A69" s="8" t="inlineStr">
        <is>
          <t>Original source notes</t>
        </is>
      </c>
      <c r="B69" s="3" t="n"/>
      <c r="C69" s="3" t="n"/>
      <c r="D69" s="3" t="n"/>
      <c r="E69" s="3" t="n"/>
      <c r="F69" s="3" t="n"/>
      <c r="G69" s="3" t="n"/>
      <c r="H69" s="3" t="n"/>
      <c r="I69" s="3" t="n"/>
      <c r="J69" s="3" t="n"/>
    </row>
    <row r="70">
      <c r="A70" s="12" t="inlineStr">
        <is>
          <t>WAB notes</t>
        </is>
      </c>
      <c r="B70" s="4" t="inlineStr"/>
      <c r="C70" s="4" t="n"/>
      <c r="D70" s="4" t="n"/>
      <c r="E70" s="4" t="n"/>
      <c r="F70" s="4" t="n"/>
      <c r="G70" s="4" t="n"/>
      <c r="H70" s="4" t="n"/>
      <c r="I70" s="3" t="n"/>
      <c r="J70" s="3" t="n"/>
    </row>
    <row r="71" ht="54" customHeight="1">
      <c r="A71" s="12" t="inlineStr">
        <is>
          <t>Reviewer notes from question approval</t>
        </is>
      </c>
      <c r="B71" s="4" t="inlineStr">
        <is>
          <t>agreed, let's keep it.</t>
        </is>
      </c>
      <c r="C71" s="4" t="n"/>
      <c r="D71" s="4" t="n"/>
      <c r="E71" s="4" t="n"/>
      <c r="F71" s="4" t="n"/>
      <c r="G71" s="4" t="n"/>
      <c r="H71" s="4" t="n"/>
      <c r="I71" s="3" t="n"/>
      <c r="J71" s="3" t="n"/>
    </row>
    <row r="72">
      <c r="A72" s="4" t="n"/>
      <c r="B72" s="4" t="n"/>
      <c r="C72" s="4" t="n"/>
      <c r="D72" s="4" t="n"/>
      <c r="E72" s="4" t="n"/>
      <c r="F72" s="4" t="n"/>
      <c r="G72" s="4" t="n"/>
      <c r="H72" s="4" t="n"/>
      <c r="I72" s="3" t="n"/>
      <c r="J72" s="3" t="n"/>
    </row>
  </sheetData>
  <autoFilter ref="A21:J36"/>
  <mergeCells count="20">
    <mergeCell ref="B65:H65"/>
    <mergeCell ref="B71:H72"/>
    <mergeCell ref="B6:H6"/>
    <mergeCell ref="A20:J20"/>
    <mergeCell ref="A1:H1"/>
    <mergeCell ref="B5:H5"/>
    <mergeCell ref="A61:H61"/>
    <mergeCell ref="A69:H69"/>
    <mergeCell ref="B4:H4"/>
    <mergeCell ref="B62:H62"/>
    <mergeCell ref="B7:H7"/>
    <mergeCell ref="B66:H66"/>
    <mergeCell ref="A3:H3"/>
    <mergeCell ref="A16:H18"/>
    <mergeCell ref="B70:H70"/>
    <mergeCell ref="A14:H14"/>
    <mergeCell ref="B63:H64"/>
    <mergeCell ref="B8:H8"/>
    <mergeCell ref="B10:H12"/>
    <mergeCell ref="A38:H38"/>
  </mergeCells>
  <dataValidations count="9">
    <dataValidation sqref="C22:C36" showDropDown="0" showInputMessage="0" showErrorMessage="0" allowBlank="1" type="list">
      <formula1>=Lists!$F$2:$F$5</formula1>
    </dataValidation>
    <dataValidation sqref="F22:F36" showDropDown="0" showInputMessage="0" showErrorMessage="0" allowBlank="1" type="list">
      <formula1>=Lists!$G$2:$G$4</formula1>
    </dataValidation>
    <dataValidation sqref="G22:G36" showDropDown="0" showInputMessage="0" showErrorMessage="0" allowBlank="1" type="list">
      <formula1>=Lists!$G$2:$G$4</formula1>
    </dataValidation>
    <dataValidation sqref="H22:H36" showDropDown="0" showInputMessage="0" showErrorMessage="0" allowBlank="1" type="list">
      <formula1>=Lists!$G$2:$G$4</formula1>
    </dataValidation>
    <dataValidation sqref="I22:I36" showDropDown="0" showInputMessage="0" showErrorMessage="0" allowBlank="1" type="list">
      <formula1>=Lists!$H$2:$H$6</formula1>
    </dataValidation>
    <dataValidation sqref="D40:D59" showDropDown="0" showInputMessage="0" showErrorMessage="0" allowBlank="1" type="list">
      <formula1>=Lists!$D$2:$D$7</formula1>
    </dataValidation>
    <dataValidation sqref="E40:E59" showDropDown="0" showInputMessage="0" showErrorMessage="0" allowBlank="1" type="list">
      <formula1>=Lists!$E$2:$E$8</formula1>
    </dataValidation>
    <dataValidation sqref="B62" showDropDown="0" showInputMessage="0" showErrorMessage="0" allowBlank="1" type="list">
      <formula1>=Lists!$C$2:$C$4</formula1>
    </dataValidation>
    <dataValidation sqref="B66" showDropDown="0" showInputMessage="0" showErrorMessage="0" allowBlank="1" type="list">
      <formula1>=Lists!$A$2:$A$3</formula1>
    </dataValidation>
  </dataValidations>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J72"/>
  <sheetViews>
    <sheetView showGridLines="0" workbookViewId="0">
      <pane ySplit="21" topLeftCell="A22" activePane="bottomLeft" state="frozen"/>
      <selection pane="bottomLeft" activeCell="A1" sqref="A1"/>
    </sheetView>
  </sheetViews>
  <sheetFormatPr baseColWidth="8" defaultRowHeight="15"/>
  <cols>
    <col width="12" customWidth="1" min="1" max="1"/>
    <col width="34" customWidth="1" min="2" max="2"/>
    <col width="22" customWidth="1" min="3" max="3"/>
    <col width="18" customWidth="1" min="4" max="4"/>
    <col width="20" customWidth="1" min="5" max="5"/>
    <col width="30" customWidth="1" min="6" max="6"/>
    <col width="34" customWidth="1" min="7" max="7"/>
    <col width="18" customWidth="1" min="8" max="8"/>
    <col width="18" customWidth="1" min="9" max="9"/>
    <col width="30" customWidth="1" min="10" max="10"/>
  </cols>
  <sheetData>
    <row r="1" ht="28" customHeight="1">
      <c r="A1" s="6" t="inlineStr">
        <is>
          <t>Q30 — Expert Review</t>
        </is>
      </c>
      <c r="B1" s="3" t="n"/>
      <c r="C1" s="3" t="n"/>
      <c r="D1" s="3" t="n"/>
      <c r="E1" s="3" t="n"/>
      <c r="F1" s="3" t="n"/>
      <c r="G1" s="3" t="n"/>
      <c r="H1" s="3" t="n"/>
      <c r="I1" s="3" t="n"/>
      <c r="J1" s="3" t="n"/>
    </row>
    <row r="2">
      <c r="A2" s="3" t="n"/>
      <c r="B2" s="3" t="n"/>
      <c r="C2" s="3" t="n"/>
      <c r="D2" s="3" t="n"/>
      <c r="E2" s="3" t="n"/>
      <c r="F2" s="3" t="n"/>
      <c r="G2" s="3" t="n"/>
      <c r="H2" s="3" t="n"/>
      <c r="I2" s="3" t="n"/>
      <c r="J2" s="3" t="n"/>
    </row>
    <row r="3">
      <c r="A3" s="8" t="inlineStr">
        <is>
          <t>Question metadata</t>
        </is>
      </c>
      <c r="B3" s="3" t="n"/>
      <c r="C3" s="3" t="n"/>
      <c r="D3" s="3" t="n"/>
      <c r="E3" s="3" t="n"/>
      <c r="F3" s="3" t="n"/>
      <c r="G3" s="3" t="n"/>
      <c r="H3" s="3" t="n"/>
      <c r="I3" s="3" t="n"/>
      <c r="J3" s="3" t="n"/>
    </row>
    <row r="4">
      <c r="A4" s="9" t="inlineStr">
        <is>
          <t>Question ID</t>
        </is>
      </c>
      <c r="B4" s="3" t="n">
        <v>30</v>
      </c>
      <c r="C4" s="3" t="n"/>
      <c r="D4" s="3" t="n"/>
      <c r="E4" s="3" t="n"/>
      <c r="F4" s="3" t="n"/>
      <c r="G4" s="3" t="n"/>
      <c r="H4" s="3" t="n"/>
      <c r="I4" s="3" t="n"/>
      <c r="J4" s="3" t="n"/>
    </row>
    <row r="5">
      <c r="A5" s="9" t="inlineStr">
        <is>
          <t>Topic</t>
        </is>
      </c>
      <c r="B5" s="3" t="inlineStr">
        <is>
          <t>Dawn raids — the inspection decision</t>
        </is>
      </c>
      <c r="C5" s="3" t="n"/>
      <c r="D5" s="3" t="n"/>
      <c r="E5" s="3" t="n"/>
      <c r="F5" s="3" t="n"/>
      <c r="G5" s="3" t="n"/>
      <c r="H5" s="3" t="n"/>
      <c r="I5" s="3" t="n"/>
      <c r="J5" s="3" t="n"/>
    </row>
    <row r="6">
      <c r="A6" s="9" t="inlineStr">
        <is>
          <t>Scope</t>
        </is>
      </c>
      <c r="B6" s="3" t="inlineStr">
        <is>
          <t>France</t>
        </is>
      </c>
      <c r="C6" s="3" t="n"/>
      <c r="D6" s="3" t="n"/>
      <c r="E6" s="3" t="n"/>
      <c r="F6" s="3" t="n"/>
      <c r="G6" s="3" t="n"/>
      <c r="H6" s="3" t="n"/>
      <c r="I6" s="3" t="n"/>
      <c r="J6" s="3" t="n"/>
    </row>
    <row r="7">
      <c r="A7" s="9" t="inlineStr">
        <is>
          <t>Original reviewer</t>
        </is>
      </c>
      <c r="B7" s="3" t="inlineStr">
        <is>
          <t>Jeanne</t>
        </is>
      </c>
      <c r="C7" s="3" t="n"/>
      <c r="D7" s="3" t="n"/>
      <c r="E7" s="3" t="n"/>
      <c r="F7" s="3" t="n"/>
      <c r="G7" s="3" t="n"/>
      <c r="H7" s="3" t="n"/>
      <c r="I7" s="3" t="n"/>
      <c r="J7" s="3" t="n"/>
    </row>
    <row r="8">
      <c r="A8" s="9" t="inlineStr">
        <is>
          <t>Original status</t>
        </is>
      </c>
      <c r="B8" s="3" t="inlineStr">
        <is>
          <t>Approved</t>
        </is>
      </c>
      <c r="C8" s="3" t="n"/>
      <c r="D8" s="3" t="n"/>
      <c r="E8" s="3" t="n"/>
      <c r="F8" s="3" t="n"/>
      <c r="G8" s="3" t="n"/>
      <c r="H8" s="3" t="n"/>
      <c r="I8" s="3" t="n"/>
      <c r="J8" s="3" t="n"/>
    </row>
    <row r="9">
      <c r="A9" s="3" t="n"/>
      <c r="B9" s="3" t="n"/>
      <c r="C9" s="3" t="n"/>
      <c r="D9" s="3" t="n"/>
      <c r="E9" s="3" t="n"/>
      <c r="F9" s="3" t="n"/>
      <c r="G9" s="3" t="n"/>
      <c r="H9" s="3" t="n"/>
      <c r="I9" s="3" t="n"/>
      <c r="J9" s="3" t="n"/>
    </row>
    <row r="10" ht="45" customHeight="1">
      <c r="A10" s="9" t="inlineStr">
        <is>
          <t>Question</t>
        </is>
      </c>
      <c r="B10" s="3" t="inlineStr">
        <is>
          <t>How specific must a French dawn-raid authorisation be about the premises to be visited, the practices suspected, and the period covered? What has been held insufficient?</t>
        </is>
      </c>
      <c r="C10" s="3" t="n"/>
      <c r="D10" s="3" t="n"/>
      <c r="E10" s="3" t="n"/>
      <c r="F10" s="3" t="n"/>
      <c r="G10" s="3" t="n"/>
      <c r="H10" s="3" t="n"/>
      <c r="I10" s="3" t="n"/>
      <c r="J10" s="3" t="n"/>
    </row>
    <row r="11">
      <c r="A11" s="3" t="n"/>
      <c r="B11" s="3" t="n"/>
      <c r="C11" s="3" t="n"/>
      <c r="D11" s="3" t="n"/>
      <c r="E11" s="3" t="n"/>
      <c r="F11" s="3" t="n"/>
      <c r="G11" s="3" t="n"/>
      <c r="H11" s="3" t="n"/>
      <c r="I11" s="3" t="n"/>
      <c r="J11" s="3" t="n"/>
    </row>
    <row r="12">
      <c r="A12" s="3" t="n"/>
      <c r="B12" s="3" t="n"/>
      <c r="C12" s="3" t="n"/>
      <c r="D12" s="3" t="n"/>
      <c r="E12" s="3" t="n"/>
      <c r="F12" s="3" t="n"/>
      <c r="G12" s="3" t="n"/>
      <c r="H12" s="3" t="n"/>
      <c r="I12" s="3" t="n"/>
      <c r="J12" s="3" t="n"/>
    </row>
    <row r="13">
      <c r="A13" s="3" t="n"/>
      <c r="B13" s="3" t="n"/>
      <c r="C13" s="3" t="n"/>
      <c r="D13" s="3" t="n"/>
      <c r="E13" s="3" t="n"/>
      <c r="F13" s="3" t="n"/>
      <c r="G13" s="3" t="n"/>
      <c r="H13" s="3" t="n"/>
      <c r="I13" s="3" t="n"/>
      <c r="J13" s="3" t="n"/>
    </row>
    <row r="14">
      <c r="A14" s="8" t="inlineStr">
        <is>
          <t>Generated answer</t>
        </is>
      </c>
      <c r="B14" s="3" t="n"/>
      <c r="C14" s="3" t="n"/>
      <c r="D14" s="3" t="n"/>
      <c r="E14" s="3" t="n"/>
      <c r="F14" s="3" t="n"/>
      <c r="G14" s="3" t="n"/>
      <c r="H14" s="3" t="n"/>
      <c r="I14" s="3" t="n"/>
      <c r="J14" s="3" t="n"/>
    </row>
    <row r="15">
      <c r="A15" s="10" t="inlineStr">
        <is>
          <t>Paste the generated answer below.</t>
        </is>
      </c>
      <c r="B15" s="3" t="n"/>
      <c r="C15" s="3" t="n"/>
      <c r="D15" s="3" t="n"/>
      <c r="E15" s="3" t="n"/>
      <c r="F15" s="3" t="n"/>
      <c r="G15" s="3" t="n"/>
      <c r="H15" s="3" t="n"/>
      <c r="I15" s="3" t="n"/>
      <c r="J15" s="3" t="n"/>
    </row>
    <row r="16" ht="90" customHeight="1">
      <c r="A16" s="3" t="inlineStr"/>
      <c r="B16" s="3" t="n"/>
      <c r="C16" s="3" t="n"/>
      <c r="D16" s="3" t="n"/>
      <c r="E16" s="3" t="n"/>
      <c r="F16" s="3" t="n"/>
      <c r="G16" s="3" t="n"/>
      <c r="H16" s="3" t="n"/>
      <c r="I16" s="3" t="n"/>
      <c r="J16" s="3" t="n"/>
    </row>
    <row r="17" ht="30" customHeight="1">
      <c r="A17" s="3" t="n"/>
      <c r="B17" s="3" t="n"/>
      <c r="C17" s="3" t="n"/>
      <c r="D17" s="3" t="n"/>
      <c r="E17" s="3" t="n"/>
      <c r="F17" s="3" t="n"/>
      <c r="G17" s="3" t="n"/>
      <c r="H17" s="3" t="n"/>
      <c r="I17" s="3" t="n"/>
      <c r="J17" s="3" t="n"/>
    </row>
    <row r="18" ht="30" customHeight="1">
      <c r="A18" s="3" t="n"/>
      <c r="B18" s="3" t="n"/>
      <c r="C18" s="3" t="n"/>
      <c r="D18" s="3" t="n"/>
      <c r="E18" s="3" t="n"/>
      <c r="F18" s="3" t="n"/>
      <c r="G18" s="3" t="n"/>
      <c r="H18" s="3" t="n"/>
      <c r="I18" s="3" t="n"/>
      <c r="J18" s="3" t="n"/>
    </row>
    <row r="19">
      <c r="A19" s="9" t="inlineStr">
        <is>
          <t>Run ID</t>
        </is>
      </c>
      <c r="B19" s="3" t="inlineStr"/>
      <c r="C19" s="9" t="inlineStr">
        <is>
          <t>Run date</t>
        </is>
      </c>
      <c r="D19" s="3" t="inlineStr"/>
      <c r="E19" s="9" t="inlineStr">
        <is>
          <t>Model / prompt version</t>
        </is>
      </c>
      <c r="F19" s="3" t="inlineStr"/>
      <c r="G19" s="9" t="inlineStr">
        <is>
          <t>Corpus snapshot</t>
        </is>
      </c>
      <c r="H19" s="3" t="inlineStr"/>
      <c r="I19" s="3" t="n"/>
      <c r="J19" s="3" t="n"/>
    </row>
    <row r="20">
      <c r="A20" s="8" t="inlineStr">
        <is>
          <t>Retrieval set review</t>
        </is>
      </c>
      <c r="B20" s="3" t="n"/>
      <c r="C20" s="3" t="n"/>
      <c r="D20" s="3" t="n"/>
      <c r="E20" s="3" t="n"/>
      <c r="F20" s="3" t="n"/>
      <c r="G20" s="3" t="n"/>
      <c r="H20" s="3" t="n"/>
      <c r="I20" s="3" t="n"/>
      <c r="J20" s="3" t="n"/>
    </row>
    <row r="21">
      <c r="A21" s="11" t="inlineStr">
        <is>
          <t>Rank</t>
        </is>
      </c>
      <c r="B21" s="11" t="inlineStr">
        <is>
          <t>Retrieved source</t>
        </is>
      </c>
      <c r="C21" s="11" t="inlineStr">
        <is>
          <t>Source type</t>
        </is>
      </c>
      <c r="D21" s="11" t="inlineStr">
        <is>
          <t>Jurisdiction</t>
        </is>
      </c>
      <c r="E21" s="11" t="inlineStr">
        <is>
          <t>URL / Document ID</t>
        </is>
      </c>
      <c r="F21" s="11" t="inlineStr">
        <is>
          <t>Returned by engine?</t>
        </is>
      </c>
      <c r="G21" s="11" t="inlineStr">
        <is>
          <t>Required source?</t>
        </is>
      </c>
      <c r="H21" s="11" t="inlineStr">
        <is>
          <t>Trap?</t>
        </is>
      </c>
      <c r="I21" s="11" t="inlineStr">
        <is>
          <t>Expert verdict</t>
        </is>
      </c>
      <c r="J21" s="11" t="inlineStr">
        <is>
          <t>Notes</t>
        </is>
      </c>
    </row>
    <row r="22" ht="44" customHeight="1">
      <c r="A22" s="4" t="n">
        <v>1</v>
      </c>
      <c r="B22" s="4" t="n"/>
      <c r="C22" s="4" t="n"/>
      <c r="D22" s="4" t="n"/>
      <c r="E22" s="4" t="n"/>
      <c r="F22" s="4" t="n"/>
      <c r="G22" s="4" t="n"/>
      <c r="H22" s="4" t="n"/>
      <c r="I22" s="4" t="n"/>
      <c r="J22" s="4" t="n"/>
    </row>
    <row r="23" ht="44" customHeight="1">
      <c r="A23" s="4" t="n">
        <v>2</v>
      </c>
      <c r="B23" s="4" t="n"/>
      <c r="C23" s="4" t="n"/>
      <c r="D23" s="4" t="n"/>
      <c r="E23" s="4" t="n"/>
      <c r="F23" s="4" t="n"/>
      <c r="G23" s="4" t="n"/>
      <c r="H23" s="4" t="n"/>
      <c r="I23" s="4" t="n"/>
      <c r="J23" s="4" t="n"/>
    </row>
    <row r="24" ht="44" customHeight="1">
      <c r="A24" s="4" t="n">
        <v>3</v>
      </c>
      <c r="B24" s="4" t="n"/>
      <c r="C24" s="4" t="n"/>
      <c r="D24" s="4" t="n"/>
      <c r="E24" s="4" t="n"/>
      <c r="F24" s="4" t="n"/>
      <c r="G24" s="4" t="n"/>
      <c r="H24" s="4" t="n"/>
      <c r="I24" s="4" t="n"/>
      <c r="J24" s="4" t="n"/>
    </row>
    <row r="25" ht="44" customHeight="1">
      <c r="A25" s="4" t="n">
        <v>4</v>
      </c>
      <c r="B25" s="4" t="n"/>
      <c r="C25" s="4" t="n"/>
      <c r="D25" s="4" t="n"/>
      <c r="E25" s="4" t="n"/>
      <c r="F25" s="4" t="n"/>
      <c r="G25" s="4" t="n"/>
      <c r="H25" s="4" t="n"/>
      <c r="I25" s="4" t="n"/>
      <c r="J25" s="4" t="n"/>
    </row>
    <row r="26" ht="44" customHeight="1">
      <c r="A26" s="4" t="n">
        <v>5</v>
      </c>
      <c r="B26" s="4" t="n"/>
      <c r="C26" s="4" t="n"/>
      <c r="D26" s="4" t="n"/>
      <c r="E26" s="4" t="n"/>
      <c r="F26" s="4" t="n"/>
      <c r="G26" s="4" t="n"/>
      <c r="H26" s="4" t="n"/>
      <c r="I26" s="4" t="n"/>
      <c r="J26" s="4" t="n"/>
    </row>
    <row r="27" ht="44" customHeight="1">
      <c r="A27" s="4" t="n">
        <v>6</v>
      </c>
      <c r="B27" s="4" t="n"/>
      <c r="C27" s="4" t="n"/>
      <c r="D27" s="4" t="n"/>
      <c r="E27" s="4" t="n"/>
      <c r="F27" s="4" t="n"/>
      <c r="G27" s="4" t="n"/>
      <c r="H27" s="4" t="n"/>
      <c r="I27" s="4" t="n"/>
      <c r="J27" s="4" t="n"/>
    </row>
    <row r="28" ht="44" customHeight="1">
      <c r="A28" s="4" t="n">
        <v>7</v>
      </c>
      <c r="B28" s="4" t="n"/>
      <c r="C28" s="4" t="n"/>
      <c r="D28" s="4" t="n"/>
      <c r="E28" s="4" t="n"/>
      <c r="F28" s="4" t="n"/>
      <c r="G28" s="4" t="n"/>
      <c r="H28" s="4" t="n"/>
      <c r="I28" s="4" t="n"/>
      <c r="J28" s="4" t="n"/>
    </row>
    <row r="29" ht="44" customHeight="1">
      <c r="A29" s="4" t="n">
        <v>8</v>
      </c>
      <c r="B29" s="4" t="n"/>
      <c r="C29" s="4" t="n"/>
      <c r="D29" s="4" t="n"/>
      <c r="E29" s="4" t="n"/>
      <c r="F29" s="4" t="n"/>
      <c r="G29" s="4" t="n"/>
      <c r="H29" s="4" t="n"/>
      <c r="I29" s="4" t="n"/>
      <c r="J29" s="4" t="n"/>
    </row>
    <row r="30" ht="44" customHeight="1">
      <c r="A30" s="4" t="n">
        <v>9</v>
      </c>
      <c r="B30" s="4" t="n"/>
      <c r="C30" s="4" t="n"/>
      <c r="D30" s="4" t="n"/>
      <c r="E30" s="4" t="n"/>
      <c r="F30" s="4" t="n"/>
      <c r="G30" s="4" t="n"/>
      <c r="H30" s="4" t="n"/>
      <c r="I30" s="4" t="n"/>
      <c r="J30" s="4" t="n"/>
    </row>
    <row r="31" ht="44" customHeight="1">
      <c r="A31" s="4" t="n">
        <v>10</v>
      </c>
      <c r="B31" s="4" t="n"/>
      <c r="C31" s="4" t="n"/>
      <c r="D31" s="4" t="n"/>
      <c r="E31" s="4" t="n"/>
      <c r="F31" s="4" t="n"/>
      <c r="G31" s="4" t="n"/>
      <c r="H31" s="4" t="n"/>
      <c r="I31" s="4" t="n"/>
      <c r="J31" s="4" t="n"/>
    </row>
    <row r="32" ht="44" customHeight="1">
      <c r="A32" s="4" t="n">
        <v>11</v>
      </c>
      <c r="B32" s="4" t="n"/>
      <c r="C32" s="4" t="n"/>
      <c r="D32" s="4" t="n"/>
      <c r="E32" s="4" t="n"/>
      <c r="F32" s="4" t="n"/>
      <c r="G32" s="4" t="n"/>
      <c r="H32" s="4" t="n"/>
      <c r="I32" s="4" t="n"/>
      <c r="J32" s="4" t="n"/>
    </row>
    <row r="33" ht="44" customHeight="1">
      <c r="A33" s="4" t="n">
        <v>12</v>
      </c>
      <c r="B33" s="4" t="n"/>
      <c r="C33" s="4" t="n"/>
      <c r="D33" s="4" t="n"/>
      <c r="E33" s="4" t="n"/>
      <c r="F33" s="4" t="n"/>
      <c r="G33" s="4" t="n"/>
      <c r="H33" s="4" t="n"/>
      <c r="I33" s="4" t="n"/>
      <c r="J33" s="4" t="n"/>
    </row>
    <row r="34" ht="44" customHeight="1">
      <c r="A34" s="4" t="n">
        <v>13</v>
      </c>
      <c r="B34" s="4" t="n"/>
      <c r="C34" s="4" t="n"/>
      <c r="D34" s="4" t="n"/>
      <c r="E34" s="4" t="n"/>
      <c r="F34" s="4" t="n"/>
      <c r="G34" s="4" t="n"/>
      <c r="H34" s="4" t="n"/>
      <c r="I34" s="4" t="n"/>
      <c r="J34" s="4" t="n"/>
    </row>
    <row r="35" ht="44" customHeight="1">
      <c r="A35" s="4" t="n">
        <v>14</v>
      </c>
      <c r="B35" s="4" t="n"/>
      <c r="C35" s="4" t="n"/>
      <c r="D35" s="4" t="n"/>
      <c r="E35" s="4" t="n"/>
      <c r="F35" s="4" t="n"/>
      <c r="G35" s="4" t="n"/>
      <c r="H35" s="4" t="n"/>
      <c r="I35" s="4" t="n"/>
      <c r="J35" s="4" t="n"/>
    </row>
    <row r="36" ht="44" customHeight="1">
      <c r="A36" s="4" t="n">
        <v>15</v>
      </c>
      <c r="B36" s="4" t="n"/>
      <c r="C36" s="4" t="n"/>
      <c r="D36" s="4" t="n"/>
      <c r="E36" s="4" t="n"/>
      <c r="F36" s="4" t="n"/>
      <c r="G36" s="4" t="n"/>
      <c r="H36" s="4" t="n"/>
      <c r="I36" s="4" t="n"/>
      <c r="J36" s="4" t="n"/>
    </row>
    <row r="37">
      <c r="A37" s="3" t="n"/>
      <c r="B37" s="3" t="n"/>
      <c r="C37" s="3" t="n"/>
      <c r="D37" s="3" t="n"/>
      <c r="E37" s="3" t="n"/>
      <c r="F37" s="3" t="n"/>
      <c r="G37" s="3" t="n"/>
      <c r="H37" s="3" t="n"/>
      <c r="I37" s="3" t="n"/>
      <c r="J37" s="3" t="n"/>
    </row>
    <row r="38">
      <c r="A38" s="8" t="inlineStr">
        <is>
          <t>Claim-by-claim review</t>
        </is>
      </c>
      <c r="B38" s="3" t="n"/>
      <c r="C38" s="3" t="n"/>
      <c r="D38" s="3" t="n"/>
      <c r="E38" s="3" t="n"/>
      <c r="F38" s="3" t="n"/>
      <c r="G38" s="3" t="n"/>
      <c r="H38" s="3" t="n"/>
      <c r="I38" s="3" t="n"/>
      <c r="J38" s="3" t="n"/>
    </row>
    <row r="39">
      <c r="A39" s="11" t="inlineStr">
        <is>
          <t>Claim ID</t>
        </is>
      </c>
      <c r="B39" s="11" t="inlineStr">
        <is>
          <t>Claim from answer</t>
        </is>
      </c>
      <c r="C39" s="11" t="inlineStr">
        <is>
          <t>Citation used</t>
        </is>
      </c>
      <c r="D39" s="11" t="inlineStr">
        <is>
          <t>Expert verdict</t>
        </is>
      </c>
      <c r="E39" s="11" t="inlineStr">
        <is>
          <t>Issue type</t>
        </is>
      </c>
      <c r="F39" s="11" t="inlineStr">
        <is>
          <t>Cited passage / source note</t>
        </is>
      </c>
      <c r="G39" s="11" t="inlineStr">
        <is>
          <t>Required fix / comment</t>
        </is>
      </c>
      <c r="H39" s="11" t="inlineStr">
        <is>
          <t>Reviewer</t>
        </is>
      </c>
      <c r="I39" s="11" t="n"/>
      <c r="J39" s="11" t="n"/>
    </row>
    <row r="40" ht="54" customHeight="1">
      <c r="A40" s="4" t="n">
        <v>1</v>
      </c>
      <c r="B40" s="4" t="n"/>
      <c r="C40" s="4" t="n"/>
      <c r="D40" s="4" t="n"/>
      <c r="E40" s="4" t="n"/>
      <c r="F40" s="4" t="n"/>
      <c r="G40" s="4" t="n"/>
      <c r="H40" s="4" t="n"/>
      <c r="I40" s="3" t="n"/>
      <c r="J40" s="3" t="n"/>
    </row>
    <row r="41" ht="54" customHeight="1">
      <c r="A41" s="4" t="n">
        <v>2</v>
      </c>
      <c r="B41" s="4" t="n"/>
      <c r="C41" s="4" t="n"/>
      <c r="D41" s="4" t="n"/>
      <c r="E41" s="4" t="n"/>
      <c r="F41" s="4" t="n"/>
      <c r="G41" s="4" t="n"/>
      <c r="H41" s="4" t="n"/>
      <c r="I41" s="3" t="n"/>
      <c r="J41" s="3" t="n"/>
    </row>
    <row r="42" ht="54" customHeight="1">
      <c r="A42" s="4" t="n">
        <v>3</v>
      </c>
      <c r="B42" s="4" t="n"/>
      <c r="C42" s="4" t="n"/>
      <c r="D42" s="4" t="n"/>
      <c r="E42" s="4" t="n"/>
      <c r="F42" s="4" t="n"/>
      <c r="G42" s="4" t="n"/>
      <c r="H42" s="4" t="n"/>
      <c r="I42" s="3" t="n"/>
      <c r="J42" s="3" t="n"/>
    </row>
    <row r="43" ht="54" customHeight="1">
      <c r="A43" s="4" t="n">
        <v>4</v>
      </c>
      <c r="B43" s="4" t="n"/>
      <c r="C43" s="4" t="n"/>
      <c r="D43" s="4" t="n"/>
      <c r="E43" s="4" t="n"/>
      <c r="F43" s="4" t="n"/>
      <c r="G43" s="4" t="n"/>
      <c r="H43" s="4" t="n"/>
      <c r="I43" s="3" t="n"/>
      <c r="J43" s="3" t="n"/>
    </row>
    <row r="44" ht="54" customHeight="1">
      <c r="A44" s="4" t="n">
        <v>5</v>
      </c>
      <c r="B44" s="4" t="n"/>
      <c r="C44" s="4" t="n"/>
      <c r="D44" s="4" t="n"/>
      <c r="E44" s="4" t="n"/>
      <c r="F44" s="4" t="n"/>
      <c r="G44" s="4" t="n"/>
      <c r="H44" s="4" t="n"/>
      <c r="I44" s="3" t="n"/>
      <c r="J44" s="3" t="n"/>
    </row>
    <row r="45" ht="54" customHeight="1">
      <c r="A45" s="4" t="n">
        <v>6</v>
      </c>
      <c r="B45" s="4" t="n"/>
      <c r="C45" s="4" t="n"/>
      <c r="D45" s="4" t="n"/>
      <c r="E45" s="4" t="n"/>
      <c r="F45" s="4" t="n"/>
      <c r="G45" s="4" t="n"/>
      <c r="H45" s="4" t="n"/>
      <c r="I45" s="3" t="n"/>
      <c r="J45" s="3" t="n"/>
    </row>
    <row r="46" ht="54" customHeight="1">
      <c r="A46" s="4" t="n">
        <v>7</v>
      </c>
      <c r="B46" s="4" t="n"/>
      <c r="C46" s="4" t="n"/>
      <c r="D46" s="4" t="n"/>
      <c r="E46" s="4" t="n"/>
      <c r="F46" s="4" t="n"/>
      <c r="G46" s="4" t="n"/>
      <c r="H46" s="4" t="n"/>
      <c r="I46" s="3" t="n"/>
      <c r="J46" s="3" t="n"/>
    </row>
    <row r="47" ht="54" customHeight="1">
      <c r="A47" s="4" t="n">
        <v>8</v>
      </c>
      <c r="B47" s="4" t="n"/>
      <c r="C47" s="4" t="n"/>
      <c r="D47" s="4" t="n"/>
      <c r="E47" s="4" t="n"/>
      <c r="F47" s="4" t="n"/>
      <c r="G47" s="4" t="n"/>
      <c r="H47" s="4" t="n"/>
      <c r="I47" s="3" t="n"/>
      <c r="J47" s="3" t="n"/>
    </row>
    <row r="48" ht="54" customHeight="1">
      <c r="A48" s="4" t="n">
        <v>9</v>
      </c>
      <c r="B48" s="4" t="n"/>
      <c r="C48" s="4" t="n"/>
      <c r="D48" s="4" t="n"/>
      <c r="E48" s="4" t="n"/>
      <c r="F48" s="4" t="n"/>
      <c r="G48" s="4" t="n"/>
      <c r="H48" s="4" t="n"/>
      <c r="I48" s="3" t="n"/>
      <c r="J48" s="3" t="n"/>
    </row>
    <row r="49" ht="54" customHeight="1">
      <c r="A49" s="4" t="n">
        <v>10</v>
      </c>
      <c r="B49" s="4" t="n"/>
      <c r="C49" s="4" t="n"/>
      <c r="D49" s="4" t="n"/>
      <c r="E49" s="4" t="n"/>
      <c r="F49" s="4" t="n"/>
      <c r="G49" s="4" t="n"/>
      <c r="H49" s="4" t="n"/>
      <c r="I49" s="3" t="n"/>
      <c r="J49" s="3" t="n"/>
    </row>
    <row r="50" ht="54" customHeight="1">
      <c r="A50" s="4" t="n">
        <v>11</v>
      </c>
      <c r="B50" s="4" t="n"/>
      <c r="C50" s="4" t="n"/>
      <c r="D50" s="4" t="n"/>
      <c r="E50" s="4" t="n"/>
      <c r="F50" s="4" t="n"/>
      <c r="G50" s="4" t="n"/>
      <c r="H50" s="4" t="n"/>
      <c r="I50" s="3" t="n"/>
      <c r="J50" s="3" t="n"/>
    </row>
    <row r="51" ht="54" customHeight="1">
      <c r="A51" s="4" t="n">
        <v>12</v>
      </c>
      <c r="B51" s="4" t="n"/>
      <c r="C51" s="4" t="n"/>
      <c r="D51" s="4" t="n"/>
      <c r="E51" s="4" t="n"/>
      <c r="F51" s="4" t="n"/>
      <c r="G51" s="4" t="n"/>
      <c r="H51" s="4" t="n"/>
      <c r="I51" s="3" t="n"/>
      <c r="J51" s="3" t="n"/>
    </row>
    <row r="52" ht="54" customHeight="1">
      <c r="A52" s="4" t="n">
        <v>13</v>
      </c>
      <c r="B52" s="4" t="n"/>
      <c r="C52" s="4" t="n"/>
      <c r="D52" s="4" t="n"/>
      <c r="E52" s="4" t="n"/>
      <c r="F52" s="4" t="n"/>
      <c r="G52" s="4" t="n"/>
      <c r="H52" s="4" t="n"/>
      <c r="I52" s="3" t="n"/>
      <c r="J52" s="3" t="n"/>
    </row>
    <row r="53" ht="54" customHeight="1">
      <c r="A53" s="4" t="n">
        <v>14</v>
      </c>
      <c r="B53" s="4" t="n"/>
      <c r="C53" s="4" t="n"/>
      <c r="D53" s="4" t="n"/>
      <c r="E53" s="4" t="n"/>
      <c r="F53" s="4" t="n"/>
      <c r="G53" s="4" t="n"/>
      <c r="H53" s="4" t="n"/>
      <c r="I53" s="3" t="n"/>
      <c r="J53" s="3" t="n"/>
    </row>
    <row r="54" ht="54" customHeight="1">
      <c r="A54" s="4" t="n">
        <v>15</v>
      </c>
      <c r="B54" s="4" t="n"/>
      <c r="C54" s="4" t="n"/>
      <c r="D54" s="4" t="n"/>
      <c r="E54" s="4" t="n"/>
      <c r="F54" s="4" t="n"/>
      <c r="G54" s="4" t="n"/>
      <c r="H54" s="4" t="n"/>
      <c r="I54" s="3" t="n"/>
      <c r="J54" s="3" t="n"/>
    </row>
    <row r="55" ht="54" customHeight="1">
      <c r="A55" s="4" t="n">
        <v>16</v>
      </c>
      <c r="B55" s="4" t="n"/>
      <c r="C55" s="4" t="n"/>
      <c r="D55" s="4" t="n"/>
      <c r="E55" s="4" t="n"/>
      <c r="F55" s="4" t="n"/>
      <c r="G55" s="4" t="n"/>
      <c r="H55" s="4" t="n"/>
      <c r="I55" s="3" t="n"/>
      <c r="J55" s="3" t="n"/>
    </row>
    <row r="56" ht="54" customHeight="1">
      <c r="A56" s="4" t="n">
        <v>17</v>
      </c>
      <c r="B56" s="4" t="n"/>
      <c r="C56" s="4" t="n"/>
      <c r="D56" s="4" t="n"/>
      <c r="E56" s="4" t="n"/>
      <c r="F56" s="4" t="n"/>
      <c r="G56" s="4" t="n"/>
      <c r="H56" s="4" t="n"/>
      <c r="I56" s="3" t="n"/>
      <c r="J56" s="3" t="n"/>
    </row>
    <row r="57" ht="54" customHeight="1">
      <c r="A57" s="4" t="n">
        <v>18</v>
      </c>
      <c r="B57" s="4" t="n"/>
      <c r="C57" s="4" t="n"/>
      <c r="D57" s="4" t="n"/>
      <c r="E57" s="4" t="n"/>
      <c r="F57" s="4" t="n"/>
      <c r="G57" s="4" t="n"/>
      <c r="H57" s="4" t="n"/>
      <c r="I57" s="3" t="n"/>
      <c r="J57" s="3" t="n"/>
    </row>
    <row r="58" ht="54" customHeight="1">
      <c r="A58" s="4" t="n">
        <v>19</v>
      </c>
      <c r="B58" s="4" t="n"/>
      <c r="C58" s="4" t="n"/>
      <c r="D58" s="4" t="n"/>
      <c r="E58" s="4" t="n"/>
      <c r="F58" s="4" t="n"/>
      <c r="G58" s="4" t="n"/>
      <c r="H58" s="4" t="n"/>
      <c r="I58" s="3" t="n"/>
      <c r="J58" s="3" t="n"/>
    </row>
    <row r="59" ht="54" customHeight="1">
      <c r="A59" s="4" t="n">
        <v>20</v>
      </c>
      <c r="B59" s="4" t="n"/>
      <c r="C59" s="4" t="n"/>
      <c r="D59" s="4" t="n"/>
      <c r="E59" s="4" t="n"/>
      <c r="F59" s="4" t="n"/>
      <c r="G59" s="4" t="n"/>
      <c r="H59" s="4" t="n"/>
      <c r="I59" s="3" t="n"/>
      <c r="J59" s="3" t="n"/>
    </row>
    <row r="60">
      <c r="A60" s="3" t="n"/>
      <c r="B60" s="3" t="n"/>
      <c r="C60" s="3" t="n"/>
      <c r="D60" s="3" t="n"/>
      <c r="E60" s="3" t="n"/>
      <c r="F60" s="3" t="n"/>
      <c r="G60" s="3" t="n"/>
      <c r="H60" s="3" t="n"/>
      <c r="I60" s="3" t="n"/>
      <c r="J60" s="3" t="n"/>
    </row>
    <row r="61">
      <c r="A61" s="8" t="inlineStr">
        <is>
          <t>Final expert verdict</t>
        </is>
      </c>
      <c r="B61" s="3" t="n"/>
      <c r="C61" s="3" t="n"/>
      <c r="D61" s="3" t="n"/>
      <c r="E61" s="3" t="n"/>
      <c r="F61" s="3" t="n"/>
      <c r="G61" s="3" t="n"/>
      <c r="H61" s="3" t="n"/>
      <c r="I61" s="3" t="n"/>
      <c r="J61" s="3" t="n"/>
    </row>
    <row r="62">
      <c r="A62" s="12" t="inlineStr">
        <is>
          <t>Is the answer acceptable?</t>
        </is>
      </c>
      <c r="B62" s="4" t="inlineStr"/>
      <c r="C62" s="4" t="n"/>
      <c r="D62" s="4" t="n"/>
      <c r="E62" s="4" t="n"/>
      <c r="F62" s="4" t="n"/>
      <c r="G62" s="4" t="n"/>
      <c r="H62" s="4" t="n"/>
      <c r="I62" s="3" t="n"/>
      <c r="J62" s="3" t="n"/>
    </row>
    <row r="63" ht="54" customHeight="1">
      <c r="A63" s="12" t="inlineStr">
        <is>
          <t>Overall comment / required fixes</t>
        </is>
      </c>
      <c r="B63" s="4" t="n"/>
      <c r="C63" s="4" t="n"/>
      <c r="D63" s="4" t="n"/>
      <c r="E63" s="4" t="n"/>
      <c r="F63" s="4" t="n"/>
      <c r="G63" s="4" t="n"/>
      <c r="H63" s="4" t="n"/>
      <c r="I63" s="3" t="n"/>
      <c r="J63" s="3" t="n"/>
    </row>
    <row r="64">
      <c r="A64" s="4" t="n"/>
      <c r="B64" s="4" t="n"/>
      <c r="C64" s="4" t="n"/>
      <c r="D64" s="4" t="n"/>
      <c r="E64" s="4" t="n"/>
      <c r="F64" s="4" t="n"/>
      <c r="G64" s="4" t="n"/>
      <c r="H64" s="4" t="n"/>
      <c r="I64" s="3" t="n"/>
      <c r="J64" s="3" t="n"/>
    </row>
    <row r="65">
      <c r="A65" s="12" t="inlineStr">
        <is>
          <t>Missing key sources?</t>
        </is>
      </c>
      <c r="B65" s="4" t="n"/>
      <c r="C65" s="4" t="n"/>
      <c r="D65" s="4" t="n"/>
      <c r="E65" s="4" t="n"/>
      <c r="F65" s="4" t="n"/>
      <c r="G65" s="4" t="n"/>
      <c r="H65" s="4" t="n"/>
      <c r="I65" s="3" t="n"/>
      <c r="J65" s="3" t="n"/>
    </row>
    <row r="66">
      <c r="A66" s="12" t="inlineStr">
        <is>
          <t>Review completed?</t>
        </is>
      </c>
      <c r="B66" s="4" t="inlineStr"/>
      <c r="C66" s="4" t="n"/>
      <c r="D66" s="4" t="n"/>
      <c r="E66" s="4" t="n"/>
      <c r="F66" s="4" t="n"/>
      <c r="G66" s="4" t="n"/>
      <c r="H66" s="4" t="n"/>
      <c r="I66" s="3" t="n"/>
      <c r="J66" s="3" t="n"/>
    </row>
    <row r="67">
      <c r="A67" s="12" t="inlineStr">
        <is>
          <t>Reviewer</t>
        </is>
      </c>
      <c r="B67" s="4" t="n"/>
      <c r="C67" s="12" t="inlineStr">
        <is>
          <t>Review date</t>
        </is>
      </c>
      <c r="D67" s="5" t="inlineStr"/>
      <c r="E67" s="4" t="n"/>
      <c r="F67" s="4" t="n"/>
      <c r="G67" s="4" t="n"/>
      <c r="H67" s="4" t="n"/>
      <c r="I67" s="3" t="n"/>
      <c r="J67" s="3" t="n"/>
    </row>
    <row r="68">
      <c r="A68" s="3" t="n"/>
      <c r="B68" s="3" t="n"/>
      <c r="C68" s="3" t="n"/>
      <c r="D68" s="3" t="n"/>
      <c r="E68" s="3" t="n"/>
      <c r="F68" s="3" t="n"/>
      <c r="G68" s="3" t="n"/>
      <c r="H68" s="3" t="n"/>
      <c r="I68" s="3" t="n"/>
      <c r="J68" s="3" t="n"/>
    </row>
    <row r="69">
      <c r="A69" s="8" t="inlineStr">
        <is>
          <t>Original source notes</t>
        </is>
      </c>
      <c r="B69" s="3" t="n"/>
      <c r="C69" s="3" t="n"/>
      <c r="D69" s="3" t="n"/>
      <c r="E69" s="3" t="n"/>
      <c r="F69" s="3" t="n"/>
      <c r="G69" s="3" t="n"/>
      <c r="H69" s="3" t="n"/>
      <c r="I69" s="3" t="n"/>
      <c r="J69" s="3" t="n"/>
    </row>
    <row r="70">
      <c r="A70" s="12" t="inlineStr">
        <is>
          <t>WAB notes</t>
        </is>
      </c>
      <c r="B70" s="4" t="inlineStr">
        <is>
          <t>Possible overlap with question 33.</t>
        </is>
      </c>
      <c r="C70" s="4" t="n"/>
      <c r="D70" s="4" t="n"/>
      <c r="E70" s="4" t="n"/>
      <c r="F70" s="4" t="n"/>
      <c r="G70" s="4" t="n"/>
      <c r="H70" s="4" t="n"/>
      <c r="I70" s="3" t="n"/>
      <c r="J70" s="3" t="n"/>
    </row>
    <row r="71" ht="54" customHeight="1">
      <c r="A71" s="12" t="inlineStr">
        <is>
          <t>Reviewer notes from question approval</t>
        </is>
      </c>
      <c r="B71" s="4" t="inlineStr">
        <is>
          <t xml:space="preserve">no overlap with question 33, we can keep the question. </t>
        </is>
      </c>
      <c r="C71" s="4" t="n"/>
      <c r="D71" s="4" t="n"/>
      <c r="E71" s="4" t="n"/>
      <c r="F71" s="4" t="n"/>
      <c r="G71" s="4" t="n"/>
      <c r="H71" s="4" t="n"/>
      <c r="I71" s="3" t="n"/>
      <c r="J71" s="3" t="n"/>
    </row>
    <row r="72">
      <c r="A72" s="4" t="n"/>
      <c r="B72" s="4" t="n"/>
      <c r="C72" s="4" t="n"/>
      <c r="D72" s="4" t="n"/>
      <c r="E72" s="4" t="n"/>
      <c r="F72" s="4" t="n"/>
      <c r="G72" s="4" t="n"/>
      <c r="H72" s="4" t="n"/>
      <c r="I72" s="3" t="n"/>
      <c r="J72" s="3" t="n"/>
    </row>
  </sheetData>
  <autoFilter ref="A21:J36"/>
  <mergeCells count="20">
    <mergeCell ref="B65:H65"/>
    <mergeCell ref="B71:H72"/>
    <mergeCell ref="B6:H6"/>
    <mergeCell ref="A20:J20"/>
    <mergeCell ref="A1:H1"/>
    <mergeCell ref="B5:H5"/>
    <mergeCell ref="A61:H61"/>
    <mergeCell ref="A69:H69"/>
    <mergeCell ref="B4:H4"/>
    <mergeCell ref="B62:H62"/>
    <mergeCell ref="B7:H7"/>
    <mergeCell ref="B66:H66"/>
    <mergeCell ref="A3:H3"/>
    <mergeCell ref="A16:H18"/>
    <mergeCell ref="B70:H70"/>
    <mergeCell ref="A14:H14"/>
    <mergeCell ref="B63:H64"/>
    <mergeCell ref="B8:H8"/>
    <mergeCell ref="B10:H12"/>
    <mergeCell ref="A38:H38"/>
  </mergeCells>
  <dataValidations count="9">
    <dataValidation sqref="C22:C36" showDropDown="0" showInputMessage="0" showErrorMessage="0" allowBlank="1" type="list">
      <formula1>=Lists!$F$2:$F$5</formula1>
    </dataValidation>
    <dataValidation sqref="F22:F36" showDropDown="0" showInputMessage="0" showErrorMessage="0" allowBlank="1" type="list">
      <formula1>=Lists!$G$2:$G$4</formula1>
    </dataValidation>
    <dataValidation sqref="G22:G36" showDropDown="0" showInputMessage="0" showErrorMessage="0" allowBlank="1" type="list">
      <formula1>=Lists!$G$2:$G$4</formula1>
    </dataValidation>
    <dataValidation sqref="H22:H36" showDropDown="0" showInputMessage="0" showErrorMessage="0" allowBlank="1" type="list">
      <formula1>=Lists!$G$2:$G$4</formula1>
    </dataValidation>
    <dataValidation sqref="I22:I36" showDropDown="0" showInputMessage="0" showErrorMessage="0" allowBlank="1" type="list">
      <formula1>=Lists!$H$2:$H$6</formula1>
    </dataValidation>
    <dataValidation sqref="D40:D59" showDropDown="0" showInputMessage="0" showErrorMessage="0" allowBlank="1" type="list">
      <formula1>=Lists!$D$2:$D$7</formula1>
    </dataValidation>
    <dataValidation sqref="E40:E59" showDropDown="0" showInputMessage="0" showErrorMessage="0" allowBlank="1" type="list">
      <formula1>=Lists!$E$2:$E$8</formula1>
    </dataValidation>
    <dataValidation sqref="B62" showDropDown="0" showInputMessage="0" showErrorMessage="0" allowBlank="1" type="list">
      <formula1>=Lists!$C$2:$C$4</formula1>
    </dataValidation>
    <dataValidation sqref="B66" showDropDown="0" showInputMessage="0" showErrorMessage="0" allowBlank="1" type="list">
      <formula1>=Lists!$A$2:$A$3</formula1>
    </dataValidation>
  </dataValidations>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J72"/>
  <sheetViews>
    <sheetView showGridLines="0" workbookViewId="0">
      <pane ySplit="21" topLeftCell="A22" activePane="bottomLeft" state="frozen"/>
      <selection pane="bottomLeft" activeCell="A1" sqref="A1"/>
    </sheetView>
  </sheetViews>
  <sheetFormatPr baseColWidth="8" defaultRowHeight="15"/>
  <cols>
    <col width="12" customWidth="1" min="1" max="1"/>
    <col width="34" customWidth="1" min="2" max="2"/>
    <col width="22" customWidth="1" min="3" max="3"/>
    <col width="18" customWidth="1" min="4" max="4"/>
    <col width="20" customWidth="1" min="5" max="5"/>
    <col width="30" customWidth="1" min="6" max="6"/>
    <col width="34" customWidth="1" min="7" max="7"/>
    <col width="18" customWidth="1" min="8" max="8"/>
    <col width="18" customWidth="1" min="9" max="9"/>
    <col width="30" customWidth="1" min="10" max="10"/>
  </cols>
  <sheetData>
    <row r="1" ht="28" customHeight="1">
      <c r="A1" s="6" t="inlineStr">
        <is>
          <t>Q34 — Expert Review</t>
        </is>
      </c>
      <c r="B1" s="3" t="n"/>
      <c r="C1" s="3" t="n"/>
      <c r="D1" s="3" t="n"/>
      <c r="E1" s="3" t="n"/>
      <c r="F1" s="3" t="n"/>
      <c r="G1" s="3" t="n"/>
      <c r="H1" s="3" t="n"/>
      <c r="I1" s="3" t="n"/>
      <c r="J1" s="3" t="n"/>
    </row>
    <row r="2">
      <c r="A2" s="3" t="n"/>
      <c r="B2" s="3" t="n"/>
      <c r="C2" s="3" t="n"/>
      <c r="D2" s="3" t="n"/>
      <c r="E2" s="3" t="n"/>
      <c r="F2" s="3" t="n"/>
      <c r="G2" s="3" t="n"/>
      <c r="H2" s="3" t="n"/>
      <c r="I2" s="3" t="n"/>
      <c r="J2" s="3" t="n"/>
    </row>
    <row r="3">
      <c r="A3" s="8" t="inlineStr">
        <is>
          <t>Question metadata</t>
        </is>
      </c>
      <c r="B3" s="3" t="n"/>
      <c r="C3" s="3" t="n"/>
      <c r="D3" s="3" t="n"/>
      <c r="E3" s="3" t="n"/>
      <c r="F3" s="3" t="n"/>
      <c r="G3" s="3" t="n"/>
      <c r="H3" s="3" t="n"/>
      <c r="I3" s="3" t="n"/>
      <c r="J3" s="3" t="n"/>
    </row>
    <row r="4">
      <c r="A4" s="9" t="inlineStr">
        <is>
          <t>Question ID</t>
        </is>
      </c>
      <c r="B4" s="3" t="n">
        <v>34</v>
      </c>
      <c r="C4" s="3" t="n"/>
      <c r="D4" s="3" t="n"/>
      <c r="E4" s="3" t="n"/>
      <c r="F4" s="3" t="n"/>
      <c r="G4" s="3" t="n"/>
      <c r="H4" s="3" t="n"/>
      <c r="I4" s="3" t="n"/>
      <c r="J4" s="3" t="n"/>
    </row>
    <row r="5">
      <c r="A5" s="9" t="inlineStr">
        <is>
          <t>Topic</t>
        </is>
      </c>
      <c r="B5" s="3" t="inlineStr">
        <is>
          <t>Dawn raids — obstruction and seals</t>
        </is>
      </c>
      <c r="C5" s="3" t="n"/>
      <c r="D5" s="3" t="n"/>
      <c r="E5" s="3" t="n"/>
      <c r="F5" s="3" t="n"/>
      <c r="G5" s="3" t="n"/>
      <c r="H5" s="3" t="n"/>
      <c r="I5" s="3" t="n"/>
      <c r="J5" s="3" t="n"/>
    </row>
    <row r="6">
      <c r="A6" s="9" t="inlineStr">
        <is>
          <t>Scope</t>
        </is>
      </c>
      <c r="B6" s="3" t="inlineStr">
        <is>
          <t>EU</t>
        </is>
      </c>
      <c r="C6" s="3" t="n"/>
      <c r="D6" s="3" t="n"/>
      <c r="E6" s="3" t="n"/>
      <c r="F6" s="3" t="n"/>
      <c r="G6" s="3" t="n"/>
      <c r="H6" s="3" t="n"/>
      <c r="I6" s="3" t="n"/>
      <c r="J6" s="3" t="n"/>
    </row>
    <row r="7">
      <c r="A7" s="9" t="inlineStr">
        <is>
          <t>Original reviewer</t>
        </is>
      </c>
      <c r="B7" s="3" t="inlineStr">
        <is>
          <t>Carolina</t>
        </is>
      </c>
      <c r="C7" s="3" t="n"/>
      <c r="D7" s="3" t="n"/>
      <c r="E7" s="3" t="n"/>
      <c r="F7" s="3" t="n"/>
      <c r="G7" s="3" t="n"/>
      <c r="H7" s="3" t="n"/>
      <c r="I7" s="3" t="n"/>
      <c r="J7" s="3" t="n"/>
    </row>
    <row r="8">
      <c r="A8" s="9" t="inlineStr">
        <is>
          <t>Original status</t>
        </is>
      </c>
      <c r="B8" s="3" t="inlineStr">
        <is>
          <t>Approved</t>
        </is>
      </c>
      <c r="C8" s="3" t="n"/>
      <c r="D8" s="3" t="n"/>
      <c r="E8" s="3" t="n"/>
      <c r="F8" s="3" t="n"/>
      <c r="G8" s="3" t="n"/>
      <c r="H8" s="3" t="n"/>
      <c r="I8" s="3" t="n"/>
      <c r="J8" s="3" t="n"/>
    </row>
    <row r="9">
      <c r="A9" s="3" t="n"/>
      <c r="B9" s="3" t="n"/>
      <c r="C9" s="3" t="n"/>
      <c r="D9" s="3" t="n"/>
      <c r="E9" s="3" t="n"/>
      <c r="F9" s="3" t="n"/>
      <c r="G9" s="3" t="n"/>
      <c r="H9" s="3" t="n"/>
      <c r="I9" s="3" t="n"/>
      <c r="J9" s="3" t="n"/>
    </row>
    <row r="10" ht="45" customHeight="1">
      <c r="A10" s="9" t="inlineStr">
        <is>
          <t>Question</t>
        </is>
      </c>
      <c r="B10" s="3" t="inlineStr">
        <is>
          <t>Does the obstruction regime of Article 23(1) of Regulation 1/2003 — conceived for physical records and corporate email — still fit an environment of ephemeral, encrypted messaging on employees' personal devices? Where does the deletion of a WhatsApp or Signal message during or ahead of an inspection cross from ordinary personal housekeeping into a sanctionable procedural infringement, and how must intent and attribution be established when the device and the account belong to the individual rather than the undertaking?</t>
        </is>
      </c>
      <c r="C10" s="3" t="n"/>
      <c r="D10" s="3" t="n"/>
      <c r="E10" s="3" t="n"/>
      <c r="F10" s="3" t="n"/>
      <c r="G10" s="3" t="n"/>
      <c r="H10" s="3" t="n"/>
      <c r="I10" s="3" t="n"/>
      <c r="J10" s="3" t="n"/>
    </row>
    <row r="11">
      <c r="A11" s="3" t="n"/>
      <c r="B11" s="3" t="n"/>
      <c r="C11" s="3" t="n"/>
      <c r="D11" s="3" t="n"/>
      <c r="E11" s="3" t="n"/>
      <c r="F11" s="3" t="n"/>
      <c r="G11" s="3" t="n"/>
      <c r="H11" s="3" t="n"/>
      <c r="I11" s="3" t="n"/>
      <c r="J11" s="3" t="n"/>
    </row>
    <row r="12">
      <c r="A12" s="3" t="n"/>
      <c r="B12" s="3" t="n"/>
      <c r="C12" s="3" t="n"/>
      <c r="D12" s="3" t="n"/>
      <c r="E12" s="3" t="n"/>
      <c r="F12" s="3" t="n"/>
      <c r="G12" s="3" t="n"/>
      <c r="H12" s="3" t="n"/>
      <c r="I12" s="3" t="n"/>
      <c r="J12" s="3" t="n"/>
    </row>
    <row r="13">
      <c r="A13" s="3" t="n"/>
      <c r="B13" s="3" t="n"/>
      <c r="C13" s="3" t="n"/>
      <c r="D13" s="3" t="n"/>
      <c r="E13" s="3" t="n"/>
      <c r="F13" s="3" t="n"/>
      <c r="G13" s="3" t="n"/>
      <c r="H13" s="3" t="n"/>
      <c r="I13" s="3" t="n"/>
      <c r="J13" s="3" t="n"/>
    </row>
    <row r="14">
      <c r="A14" s="8" t="inlineStr">
        <is>
          <t>Generated answer</t>
        </is>
      </c>
      <c r="B14" s="3" t="n"/>
      <c r="C14" s="3" t="n"/>
      <c r="D14" s="3" t="n"/>
      <c r="E14" s="3" t="n"/>
      <c r="F14" s="3" t="n"/>
      <c r="G14" s="3" t="n"/>
      <c r="H14" s="3" t="n"/>
      <c r="I14" s="3" t="n"/>
      <c r="J14" s="3" t="n"/>
    </row>
    <row r="15">
      <c r="A15" s="10" t="inlineStr">
        <is>
          <t>Paste the generated answer below.</t>
        </is>
      </c>
      <c r="B15" s="3" t="n"/>
      <c r="C15" s="3" t="n"/>
      <c r="D15" s="3" t="n"/>
      <c r="E15" s="3" t="n"/>
      <c r="F15" s="3" t="n"/>
      <c r="G15" s="3" t="n"/>
      <c r="H15" s="3" t="n"/>
      <c r="I15" s="3" t="n"/>
      <c r="J15" s="3" t="n"/>
    </row>
    <row r="16" ht="90" customHeight="1">
      <c r="A16" s="3" t="inlineStr"/>
      <c r="B16" s="3" t="n"/>
      <c r="C16" s="3" t="n"/>
      <c r="D16" s="3" t="n"/>
      <c r="E16" s="3" t="n"/>
      <c r="F16" s="3" t="n"/>
      <c r="G16" s="3" t="n"/>
      <c r="H16" s="3" t="n"/>
      <c r="I16" s="3" t="n"/>
      <c r="J16" s="3" t="n"/>
    </row>
    <row r="17" ht="30" customHeight="1">
      <c r="A17" s="3" t="n"/>
      <c r="B17" s="3" t="n"/>
      <c r="C17" s="3" t="n"/>
      <c r="D17" s="3" t="n"/>
      <c r="E17" s="3" t="n"/>
      <c r="F17" s="3" t="n"/>
      <c r="G17" s="3" t="n"/>
      <c r="H17" s="3" t="n"/>
      <c r="I17" s="3" t="n"/>
      <c r="J17" s="3" t="n"/>
    </row>
    <row r="18" ht="30" customHeight="1">
      <c r="A18" s="3" t="n"/>
      <c r="B18" s="3" t="n"/>
      <c r="C18" s="3" t="n"/>
      <c r="D18" s="3" t="n"/>
      <c r="E18" s="3" t="n"/>
      <c r="F18" s="3" t="n"/>
      <c r="G18" s="3" t="n"/>
      <c r="H18" s="3" t="n"/>
      <c r="I18" s="3" t="n"/>
      <c r="J18" s="3" t="n"/>
    </row>
    <row r="19">
      <c r="A19" s="9" t="inlineStr">
        <is>
          <t>Run ID</t>
        </is>
      </c>
      <c r="B19" s="3" t="inlineStr"/>
      <c r="C19" s="9" t="inlineStr">
        <is>
          <t>Run date</t>
        </is>
      </c>
      <c r="D19" s="3" t="inlineStr"/>
      <c r="E19" s="9" t="inlineStr">
        <is>
          <t>Model / prompt version</t>
        </is>
      </c>
      <c r="F19" s="3" t="inlineStr"/>
      <c r="G19" s="9" t="inlineStr">
        <is>
          <t>Corpus snapshot</t>
        </is>
      </c>
      <c r="H19" s="3" t="inlineStr"/>
      <c r="I19" s="3" t="n"/>
      <c r="J19" s="3" t="n"/>
    </row>
    <row r="20">
      <c r="A20" s="8" t="inlineStr">
        <is>
          <t>Retrieval set review</t>
        </is>
      </c>
      <c r="B20" s="3" t="n"/>
      <c r="C20" s="3" t="n"/>
      <c r="D20" s="3" t="n"/>
      <c r="E20" s="3" t="n"/>
      <c r="F20" s="3" t="n"/>
      <c r="G20" s="3" t="n"/>
      <c r="H20" s="3" t="n"/>
      <c r="I20" s="3" t="n"/>
      <c r="J20" s="3" t="n"/>
    </row>
    <row r="21">
      <c r="A21" s="11" t="inlineStr">
        <is>
          <t>Rank</t>
        </is>
      </c>
      <c r="B21" s="11" t="inlineStr">
        <is>
          <t>Retrieved source</t>
        </is>
      </c>
      <c r="C21" s="11" t="inlineStr">
        <is>
          <t>Source type</t>
        </is>
      </c>
      <c r="D21" s="11" t="inlineStr">
        <is>
          <t>Jurisdiction</t>
        </is>
      </c>
      <c r="E21" s="11" t="inlineStr">
        <is>
          <t>URL / Document ID</t>
        </is>
      </c>
      <c r="F21" s="11" t="inlineStr">
        <is>
          <t>Returned by engine?</t>
        </is>
      </c>
      <c r="G21" s="11" t="inlineStr">
        <is>
          <t>Required source?</t>
        </is>
      </c>
      <c r="H21" s="11" t="inlineStr">
        <is>
          <t>Trap?</t>
        </is>
      </c>
      <c r="I21" s="11" t="inlineStr">
        <is>
          <t>Expert verdict</t>
        </is>
      </c>
      <c r="J21" s="11" t="inlineStr">
        <is>
          <t>Notes</t>
        </is>
      </c>
    </row>
    <row r="22" ht="44" customHeight="1">
      <c r="A22" s="4" t="n">
        <v>1</v>
      </c>
      <c r="B22" s="4" t="n"/>
      <c r="C22" s="4" t="n"/>
      <c r="D22" s="4" t="n"/>
      <c r="E22" s="4" t="n"/>
      <c r="F22" s="4" t="n"/>
      <c r="G22" s="4" t="n"/>
      <c r="H22" s="4" t="n"/>
      <c r="I22" s="4" t="n"/>
      <c r="J22" s="4" t="n"/>
    </row>
    <row r="23" ht="44" customHeight="1">
      <c r="A23" s="4" t="n">
        <v>2</v>
      </c>
      <c r="B23" s="4" t="n"/>
      <c r="C23" s="4" t="n"/>
      <c r="D23" s="4" t="n"/>
      <c r="E23" s="4" t="n"/>
      <c r="F23" s="4" t="n"/>
      <c r="G23" s="4" t="n"/>
      <c r="H23" s="4" t="n"/>
      <c r="I23" s="4" t="n"/>
      <c r="J23" s="4" t="n"/>
    </row>
    <row r="24" ht="44" customHeight="1">
      <c r="A24" s="4" t="n">
        <v>3</v>
      </c>
      <c r="B24" s="4" t="n"/>
      <c r="C24" s="4" t="n"/>
      <c r="D24" s="4" t="n"/>
      <c r="E24" s="4" t="n"/>
      <c r="F24" s="4" t="n"/>
      <c r="G24" s="4" t="n"/>
      <c r="H24" s="4" t="n"/>
      <c r="I24" s="4" t="n"/>
      <c r="J24" s="4" t="n"/>
    </row>
    <row r="25" ht="44" customHeight="1">
      <c r="A25" s="4" t="n">
        <v>4</v>
      </c>
      <c r="B25" s="4" t="n"/>
      <c r="C25" s="4" t="n"/>
      <c r="D25" s="4" t="n"/>
      <c r="E25" s="4" t="n"/>
      <c r="F25" s="4" t="n"/>
      <c r="G25" s="4" t="n"/>
      <c r="H25" s="4" t="n"/>
      <c r="I25" s="4" t="n"/>
      <c r="J25" s="4" t="n"/>
    </row>
    <row r="26" ht="44" customHeight="1">
      <c r="A26" s="4" t="n">
        <v>5</v>
      </c>
      <c r="B26" s="4" t="n"/>
      <c r="C26" s="4" t="n"/>
      <c r="D26" s="4" t="n"/>
      <c r="E26" s="4" t="n"/>
      <c r="F26" s="4" t="n"/>
      <c r="G26" s="4" t="n"/>
      <c r="H26" s="4" t="n"/>
      <c r="I26" s="4" t="n"/>
      <c r="J26" s="4" t="n"/>
    </row>
    <row r="27" ht="44" customHeight="1">
      <c r="A27" s="4" t="n">
        <v>6</v>
      </c>
      <c r="B27" s="4" t="n"/>
      <c r="C27" s="4" t="n"/>
      <c r="D27" s="4" t="n"/>
      <c r="E27" s="4" t="n"/>
      <c r="F27" s="4" t="n"/>
      <c r="G27" s="4" t="n"/>
      <c r="H27" s="4" t="n"/>
      <c r="I27" s="4" t="n"/>
      <c r="J27" s="4" t="n"/>
    </row>
    <row r="28" ht="44" customHeight="1">
      <c r="A28" s="4" t="n">
        <v>7</v>
      </c>
      <c r="B28" s="4" t="n"/>
      <c r="C28" s="4" t="n"/>
      <c r="D28" s="4" t="n"/>
      <c r="E28" s="4" t="n"/>
      <c r="F28" s="4" t="n"/>
      <c r="G28" s="4" t="n"/>
      <c r="H28" s="4" t="n"/>
      <c r="I28" s="4" t="n"/>
      <c r="J28" s="4" t="n"/>
    </row>
    <row r="29" ht="44" customHeight="1">
      <c r="A29" s="4" t="n">
        <v>8</v>
      </c>
      <c r="B29" s="4" t="n"/>
      <c r="C29" s="4" t="n"/>
      <c r="D29" s="4" t="n"/>
      <c r="E29" s="4" t="n"/>
      <c r="F29" s="4" t="n"/>
      <c r="G29" s="4" t="n"/>
      <c r="H29" s="4" t="n"/>
      <c r="I29" s="4" t="n"/>
      <c r="J29" s="4" t="n"/>
    </row>
    <row r="30" ht="44" customHeight="1">
      <c r="A30" s="4" t="n">
        <v>9</v>
      </c>
      <c r="B30" s="4" t="n"/>
      <c r="C30" s="4" t="n"/>
      <c r="D30" s="4" t="n"/>
      <c r="E30" s="4" t="n"/>
      <c r="F30" s="4" t="n"/>
      <c r="G30" s="4" t="n"/>
      <c r="H30" s="4" t="n"/>
      <c r="I30" s="4" t="n"/>
      <c r="J30" s="4" t="n"/>
    </row>
    <row r="31" ht="44" customHeight="1">
      <c r="A31" s="4" t="n">
        <v>10</v>
      </c>
      <c r="B31" s="4" t="n"/>
      <c r="C31" s="4" t="n"/>
      <c r="D31" s="4" t="n"/>
      <c r="E31" s="4" t="n"/>
      <c r="F31" s="4" t="n"/>
      <c r="G31" s="4" t="n"/>
      <c r="H31" s="4" t="n"/>
      <c r="I31" s="4" t="n"/>
      <c r="J31" s="4" t="n"/>
    </row>
    <row r="32" ht="44" customHeight="1">
      <c r="A32" s="4" t="n">
        <v>11</v>
      </c>
      <c r="B32" s="4" t="n"/>
      <c r="C32" s="4" t="n"/>
      <c r="D32" s="4" t="n"/>
      <c r="E32" s="4" t="n"/>
      <c r="F32" s="4" t="n"/>
      <c r="G32" s="4" t="n"/>
      <c r="H32" s="4" t="n"/>
      <c r="I32" s="4" t="n"/>
      <c r="J32" s="4" t="n"/>
    </row>
    <row r="33" ht="44" customHeight="1">
      <c r="A33" s="4" t="n">
        <v>12</v>
      </c>
      <c r="B33" s="4" t="n"/>
      <c r="C33" s="4" t="n"/>
      <c r="D33" s="4" t="n"/>
      <c r="E33" s="4" t="n"/>
      <c r="F33" s="4" t="n"/>
      <c r="G33" s="4" t="n"/>
      <c r="H33" s="4" t="n"/>
      <c r="I33" s="4" t="n"/>
      <c r="J33" s="4" t="n"/>
    </row>
    <row r="34" ht="44" customHeight="1">
      <c r="A34" s="4" t="n">
        <v>13</v>
      </c>
      <c r="B34" s="4" t="n"/>
      <c r="C34" s="4" t="n"/>
      <c r="D34" s="4" t="n"/>
      <c r="E34" s="4" t="n"/>
      <c r="F34" s="4" t="n"/>
      <c r="G34" s="4" t="n"/>
      <c r="H34" s="4" t="n"/>
      <c r="I34" s="4" t="n"/>
      <c r="J34" s="4" t="n"/>
    </row>
    <row r="35" ht="44" customHeight="1">
      <c r="A35" s="4" t="n">
        <v>14</v>
      </c>
      <c r="B35" s="4" t="n"/>
      <c r="C35" s="4" t="n"/>
      <c r="D35" s="4" t="n"/>
      <c r="E35" s="4" t="n"/>
      <c r="F35" s="4" t="n"/>
      <c r="G35" s="4" t="n"/>
      <c r="H35" s="4" t="n"/>
      <c r="I35" s="4" t="n"/>
      <c r="J35" s="4" t="n"/>
    </row>
    <row r="36" ht="44" customHeight="1">
      <c r="A36" s="4" t="n">
        <v>15</v>
      </c>
      <c r="B36" s="4" t="n"/>
      <c r="C36" s="4" t="n"/>
      <c r="D36" s="4" t="n"/>
      <c r="E36" s="4" t="n"/>
      <c r="F36" s="4" t="n"/>
      <c r="G36" s="4" t="n"/>
      <c r="H36" s="4" t="n"/>
      <c r="I36" s="4" t="n"/>
      <c r="J36" s="4" t="n"/>
    </row>
    <row r="37">
      <c r="A37" s="3" t="n"/>
      <c r="B37" s="3" t="n"/>
      <c r="C37" s="3" t="n"/>
      <c r="D37" s="3" t="n"/>
      <c r="E37" s="3" t="n"/>
      <c r="F37" s="3" t="n"/>
      <c r="G37" s="3" t="n"/>
      <c r="H37" s="3" t="n"/>
      <c r="I37" s="3" t="n"/>
      <c r="J37" s="3" t="n"/>
    </row>
    <row r="38">
      <c r="A38" s="8" t="inlineStr">
        <is>
          <t>Claim-by-claim review</t>
        </is>
      </c>
      <c r="B38" s="3" t="n"/>
      <c r="C38" s="3" t="n"/>
      <c r="D38" s="3" t="n"/>
      <c r="E38" s="3" t="n"/>
      <c r="F38" s="3" t="n"/>
      <c r="G38" s="3" t="n"/>
      <c r="H38" s="3" t="n"/>
      <c r="I38" s="3" t="n"/>
      <c r="J38" s="3" t="n"/>
    </row>
    <row r="39">
      <c r="A39" s="11" t="inlineStr">
        <is>
          <t>Claim ID</t>
        </is>
      </c>
      <c r="B39" s="11" t="inlineStr">
        <is>
          <t>Claim from answer</t>
        </is>
      </c>
      <c r="C39" s="11" t="inlineStr">
        <is>
          <t>Citation used</t>
        </is>
      </c>
      <c r="D39" s="11" t="inlineStr">
        <is>
          <t>Expert verdict</t>
        </is>
      </c>
      <c r="E39" s="11" t="inlineStr">
        <is>
          <t>Issue type</t>
        </is>
      </c>
      <c r="F39" s="11" t="inlineStr">
        <is>
          <t>Cited passage / source note</t>
        </is>
      </c>
      <c r="G39" s="11" t="inlineStr">
        <is>
          <t>Required fix / comment</t>
        </is>
      </c>
      <c r="H39" s="11" t="inlineStr">
        <is>
          <t>Reviewer</t>
        </is>
      </c>
      <c r="I39" s="11" t="n"/>
      <c r="J39" s="11" t="n"/>
    </row>
    <row r="40" ht="54" customHeight="1">
      <c r="A40" s="4" t="n">
        <v>1</v>
      </c>
      <c r="B40" s="4" t="n"/>
      <c r="C40" s="4" t="n"/>
      <c r="D40" s="4" t="n"/>
      <c r="E40" s="4" t="n"/>
      <c r="F40" s="4" t="n"/>
      <c r="G40" s="4" t="n"/>
      <c r="H40" s="4" t="n"/>
      <c r="I40" s="3" t="n"/>
      <c r="J40" s="3" t="n"/>
    </row>
    <row r="41" ht="54" customHeight="1">
      <c r="A41" s="4" t="n">
        <v>2</v>
      </c>
      <c r="B41" s="4" t="n"/>
      <c r="C41" s="4" t="n"/>
      <c r="D41" s="4" t="n"/>
      <c r="E41" s="4" t="n"/>
      <c r="F41" s="4" t="n"/>
      <c r="G41" s="4" t="n"/>
      <c r="H41" s="4" t="n"/>
      <c r="I41" s="3" t="n"/>
      <c r="J41" s="3" t="n"/>
    </row>
    <row r="42" ht="54" customHeight="1">
      <c r="A42" s="4" t="n">
        <v>3</v>
      </c>
      <c r="B42" s="4" t="n"/>
      <c r="C42" s="4" t="n"/>
      <c r="D42" s="4" t="n"/>
      <c r="E42" s="4" t="n"/>
      <c r="F42" s="4" t="n"/>
      <c r="G42" s="4" t="n"/>
      <c r="H42" s="4" t="n"/>
      <c r="I42" s="3" t="n"/>
      <c r="J42" s="3" t="n"/>
    </row>
    <row r="43" ht="54" customHeight="1">
      <c r="A43" s="4" t="n">
        <v>4</v>
      </c>
      <c r="B43" s="4" t="n"/>
      <c r="C43" s="4" t="n"/>
      <c r="D43" s="4" t="n"/>
      <c r="E43" s="4" t="n"/>
      <c r="F43" s="4" t="n"/>
      <c r="G43" s="4" t="n"/>
      <c r="H43" s="4" t="n"/>
      <c r="I43" s="3" t="n"/>
      <c r="J43" s="3" t="n"/>
    </row>
    <row r="44" ht="54" customHeight="1">
      <c r="A44" s="4" t="n">
        <v>5</v>
      </c>
      <c r="B44" s="4" t="n"/>
      <c r="C44" s="4" t="n"/>
      <c r="D44" s="4" t="n"/>
      <c r="E44" s="4" t="n"/>
      <c r="F44" s="4" t="n"/>
      <c r="G44" s="4" t="n"/>
      <c r="H44" s="4" t="n"/>
      <c r="I44" s="3" t="n"/>
      <c r="J44" s="3" t="n"/>
    </row>
    <row r="45" ht="54" customHeight="1">
      <c r="A45" s="4" t="n">
        <v>6</v>
      </c>
      <c r="B45" s="4" t="n"/>
      <c r="C45" s="4" t="n"/>
      <c r="D45" s="4" t="n"/>
      <c r="E45" s="4" t="n"/>
      <c r="F45" s="4" t="n"/>
      <c r="G45" s="4" t="n"/>
      <c r="H45" s="4" t="n"/>
      <c r="I45" s="3" t="n"/>
      <c r="J45" s="3" t="n"/>
    </row>
    <row r="46" ht="54" customHeight="1">
      <c r="A46" s="4" t="n">
        <v>7</v>
      </c>
      <c r="B46" s="4" t="n"/>
      <c r="C46" s="4" t="n"/>
      <c r="D46" s="4" t="n"/>
      <c r="E46" s="4" t="n"/>
      <c r="F46" s="4" t="n"/>
      <c r="G46" s="4" t="n"/>
      <c r="H46" s="4" t="n"/>
      <c r="I46" s="3" t="n"/>
      <c r="J46" s="3" t="n"/>
    </row>
    <row r="47" ht="54" customHeight="1">
      <c r="A47" s="4" t="n">
        <v>8</v>
      </c>
      <c r="B47" s="4" t="n"/>
      <c r="C47" s="4" t="n"/>
      <c r="D47" s="4" t="n"/>
      <c r="E47" s="4" t="n"/>
      <c r="F47" s="4" t="n"/>
      <c r="G47" s="4" t="n"/>
      <c r="H47" s="4" t="n"/>
      <c r="I47" s="3" t="n"/>
      <c r="J47" s="3" t="n"/>
    </row>
    <row r="48" ht="54" customHeight="1">
      <c r="A48" s="4" t="n">
        <v>9</v>
      </c>
      <c r="B48" s="4" t="n"/>
      <c r="C48" s="4" t="n"/>
      <c r="D48" s="4" t="n"/>
      <c r="E48" s="4" t="n"/>
      <c r="F48" s="4" t="n"/>
      <c r="G48" s="4" t="n"/>
      <c r="H48" s="4" t="n"/>
      <c r="I48" s="3" t="n"/>
      <c r="J48" s="3" t="n"/>
    </row>
    <row r="49" ht="54" customHeight="1">
      <c r="A49" s="4" t="n">
        <v>10</v>
      </c>
      <c r="B49" s="4" t="n"/>
      <c r="C49" s="4" t="n"/>
      <c r="D49" s="4" t="n"/>
      <c r="E49" s="4" t="n"/>
      <c r="F49" s="4" t="n"/>
      <c r="G49" s="4" t="n"/>
      <c r="H49" s="4" t="n"/>
      <c r="I49" s="3" t="n"/>
      <c r="J49" s="3" t="n"/>
    </row>
    <row r="50" ht="54" customHeight="1">
      <c r="A50" s="4" t="n">
        <v>11</v>
      </c>
      <c r="B50" s="4" t="n"/>
      <c r="C50" s="4" t="n"/>
      <c r="D50" s="4" t="n"/>
      <c r="E50" s="4" t="n"/>
      <c r="F50" s="4" t="n"/>
      <c r="G50" s="4" t="n"/>
      <c r="H50" s="4" t="n"/>
      <c r="I50" s="3" t="n"/>
      <c r="J50" s="3" t="n"/>
    </row>
    <row r="51" ht="54" customHeight="1">
      <c r="A51" s="4" t="n">
        <v>12</v>
      </c>
      <c r="B51" s="4" t="n"/>
      <c r="C51" s="4" t="n"/>
      <c r="D51" s="4" t="n"/>
      <c r="E51" s="4" t="n"/>
      <c r="F51" s="4" t="n"/>
      <c r="G51" s="4" t="n"/>
      <c r="H51" s="4" t="n"/>
      <c r="I51" s="3" t="n"/>
      <c r="J51" s="3" t="n"/>
    </row>
    <row r="52" ht="54" customHeight="1">
      <c r="A52" s="4" t="n">
        <v>13</v>
      </c>
      <c r="B52" s="4" t="n"/>
      <c r="C52" s="4" t="n"/>
      <c r="D52" s="4" t="n"/>
      <c r="E52" s="4" t="n"/>
      <c r="F52" s="4" t="n"/>
      <c r="G52" s="4" t="n"/>
      <c r="H52" s="4" t="n"/>
      <c r="I52" s="3" t="n"/>
      <c r="J52" s="3" t="n"/>
    </row>
    <row r="53" ht="54" customHeight="1">
      <c r="A53" s="4" t="n">
        <v>14</v>
      </c>
      <c r="B53" s="4" t="n"/>
      <c r="C53" s="4" t="n"/>
      <c r="D53" s="4" t="n"/>
      <c r="E53" s="4" t="n"/>
      <c r="F53" s="4" t="n"/>
      <c r="G53" s="4" t="n"/>
      <c r="H53" s="4" t="n"/>
      <c r="I53" s="3" t="n"/>
      <c r="J53" s="3" t="n"/>
    </row>
    <row r="54" ht="54" customHeight="1">
      <c r="A54" s="4" t="n">
        <v>15</v>
      </c>
      <c r="B54" s="4" t="n"/>
      <c r="C54" s="4" t="n"/>
      <c r="D54" s="4" t="n"/>
      <c r="E54" s="4" t="n"/>
      <c r="F54" s="4" t="n"/>
      <c r="G54" s="4" t="n"/>
      <c r="H54" s="4" t="n"/>
      <c r="I54" s="3" t="n"/>
      <c r="J54" s="3" t="n"/>
    </row>
    <row r="55" ht="54" customHeight="1">
      <c r="A55" s="4" t="n">
        <v>16</v>
      </c>
      <c r="B55" s="4" t="n"/>
      <c r="C55" s="4" t="n"/>
      <c r="D55" s="4" t="n"/>
      <c r="E55" s="4" t="n"/>
      <c r="F55" s="4" t="n"/>
      <c r="G55" s="4" t="n"/>
      <c r="H55" s="4" t="n"/>
      <c r="I55" s="3" t="n"/>
      <c r="J55" s="3" t="n"/>
    </row>
    <row r="56" ht="54" customHeight="1">
      <c r="A56" s="4" t="n">
        <v>17</v>
      </c>
      <c r="B56" s="4" t="n"/>
      <c r="C56" s="4" t="n"/>
      <c r="D56" s="4" t="n"/>
      <c r="E56" s="4" t="n"/>
      <c r="F56" s="4" t="n"/>
      <c r="G56" s="4" t="n"/>
      <c r="H56" s="4" t="n"/>
      <c r="I56" s="3" t="n"/>
      <c r="J56" s="3" t="n"/>
    </row>
    <row r="57" ht="54" customHeight="1">
      <c r="A57" s="4" t="n">
        <v>18</v>
      </c>
      <c r="B57" s="4" t="n"/>
      <c r="C57" s="4" t="n"/>
      <c r="D57" s="4" t="n"/>
      <c r="E57" s="4" t="n"/>
      <c r="F57" s="4" t="n"/>
      <c r="G57" s="4" t="n"/>
      <c r="H57" s="4" t="n"/>
      <c r="I57" s="3" t="n"/>
      <c r="J57" s="3" t="n"/>
    </row>
    <row r="58" ht="54" customHeight="1">
      <c r="A58" s="4" t="n">
        <v>19</v>
      </c>
      <c r="B58" s="4" t="n"/>
      <c r="C58" s="4" t="n"/>
      <c r="D58" s="4" t="n"/>
      <c r="E58" s="4" t="n"/>
      <c r="F58" s="4" t="n"/>
      <c r="G58" s="4" t="n"/>
      <c r="H58" s="4" t="n"/>
      <c r="I58" s="3" t="n"/>
      <c r="J58" s="3" t="n"/>
    </row>
    <row r="59" ht="54" customHeight="1">
      <c r="A59" s="4" t="n">
        <v>20</v>
      </c>
      <c r="B59" s="4" t="n"/>
      <c r="C59" s="4" t="n"/>
      <c r="D59" s="4" t="n"/>
      <c r="E59" s="4" t="n"/>
      <c r="F59" s="4" t="n"/>
      <c r="G59" s="4" t="n"/>
      <c r="H59" s="4" t="n"/>
      <c r="I59" s="3" t="n"/>
      <c r="J59" s="3" t="n"/>
    </row>
    <row r="60">
      <c r="A60" s="3" t="n"/>
      <c r="B60" s="3" t="n"/>
      <c r="C60" s="3" t="n"/>
      <c r="D60" s="3" t="n"/>
      <c r="E60" s="3" t="n"/>
      <c r="F60" s="3" t="n"/>
      <c r="G60" s="3" t="n"/>
      <c r="H60" s="3" t="n"/>
      <c r="I60" s="3" t="n"/>
      <c r="J60" s="3" t="n"/>
    </row>
    <row r="61">
      <c r="A61" s="8" t="inlineStr">
        <is>
          <t>Final expert verdict</t>
        </is>
      </c>
      <c r="B61" s="3" t="n"/>
      <c r="C61" s="3" t="n"/>
      <c r="D61" s="3" t="n"/>
      <c r="E61" s="3" t="n"/>
      <c r="F61" s="3" t="n"/>
      <c r="G61" s="3" t="n"/>
      <c r="H61" s="3" t="n"/>
      <c r="I61" s="3" t="n"/>
      <c r="J61" s="3" t="n"/>
    </row>
    <row r="62">
      <c r="A62" s="12" t="inlineStr">
        <is>
          <t>Is the answer acceptable?</t>
        </is>
      </c>
      <c r="B62" s="4" t="inlineStr"/>
      <c r="C62" s="4" t="n"/>
      <c r="D62" s="4" t="n"/>
      <c r="E62" s="4" t="n"/>
      <c r="F62" s="4" t="n"/>
      <c r="G62" s="4" t="n"/>
      <c r="H62" s="4" t="n"/>
      <c r="I62" s="3" t="n"/>
      <c r="J62" s="3" t="n"/>
    </row>
    <row r="63" ht="54" customHeight="1">
      <c r="A63" s="12" t="inlineStr">
        <is>
          <t>Overall comment / required fixes</t>
        </is>
      </c>
      <c r="B63" s="4" t="n"/>
      <c r="C63" s="4" t="n"/>
      <c r="D63" s="4" t="n"/>
      <c r="E63" s="4" t="n"/>
      <c r="F63" s="4" t="n"/>
      <c r="G63" s="4" t="n"/>
      <c r="H63" s="4" t="n"/>
      <c r="I63" s="3" t="n"/>
      <c r="J63" s="3" t="n"/>
    </row>
    <row r="64">
      <c r="A64" s="4" t="n"/>
      <c r="B64" s="4" t="n"/>
      <c r="C64" s="4" t="n"/>
      <c r="D64" s="4" t="n"/>
      <c r="E64" s="4" t="n"/>
      <c r="F64" s="4" t="n"/>
      <c r="G64" s="4" t="n"/>
      <c r="H64" s="4" t="n"/>
      <c r="I64" s="3" t="n"/>
      <c r="J64" s="3" t="n"/>
    </row>
    <row r="65">
      <c r="A65" s="12" t="inlineStr">
        <is>
          <t>Missing key sources?</t>
        </is>
      </c>
      <c r="B65" s="4" t="n"/>
      <c r="C65" s="4" t="n"/>
      <c r="D65" s="4" t="n"/>
      <c r="E65" s="4" t="n"/>
      <c r="F65" s="4" t="n"/>
      <c r="G65" s="4" t="n"/>
      <c r="H65" s="4" t="n"/>
      <c r="I65" s="3" t="n"/>
      <c r="J65" s="3" t="n"/>
    </row>
    <row r="66">
      <c r="A66" s="12" t="inlineStr">
        <is>
          <t>Review completed?</t>
        </is>
      </c>
      <c r="B66" s="4" t="inlineStr"/>
      <c r="C66" s="4" t="n"/>
      <c r="D66" s="4" t="n"/>
      <c r="E66" s="4" t="n"/>
      <c r="F66" s="4" t="n"/>
      <c r="G66" s="4" t="n"/>
      <c r="H66" s="4" t="n"/>
      <c r="I66" s="3" t="n"/>
      <c r="J66" s="3" t="n"/>
    </row>
    <row r="67">
      <c r="A67" s="12" t="inlineStr">
        <is>
          <t>Reviewer</t>
        </is>
      </c>
      <c r="B67" s="4" t="n"/>
      <c r="C67" s="12" t="inlineStr">
        <is>
          <t>Review date</t>
        </is>
      </c>
      <c r="D67" s="5" t="inlineStr"/>
      <c r="E67" s="4" t="n"/>
      <c r="F67" s="4" t="n"/>
      <c r="G67" s="4" t="n"/>
      <c r="H67" s="4" t="n"/>
      <c r="I67" s="3" t="n"/>
      <c r="J67" s="3" t="n"/>
    </row>
    <row r="68">
      <c r="A68" s="3" t="n"/>
      <c r="B68" s="3" t="n"/>
      <c r="C68" s="3" t="n"/>
      <c r="D68" s="3" t="n"/>
      <c r="E68" s="3" t="n"/>
      <c r="F68" s="3" t="n"/>
      <c r="G68" s="3" t="n"/>
      <c r="H68" s="3" t="n"/>
      <c r="I68" s="3" t="n"/>
      <c r="J68" s="3" t="n"/>
    </row>
    <row r="69">
      <c r="A69" s="8" t="inlineStr">
        <is>
          <t>Original source notes</t>
        </is>
      </c>
      <c r="B69" s="3" t="n"/>
      <c r="C69" s="3" t="n"/>
      <c r="D69" s="3" t="n"/>
      <c r="E69" s="3" t="n"/>
      <c r="F69" s="3" t="n"/>
      <c r="G69" s="3" t="n"/>
      <c r="H69" s="3" t="n"/>
      <c r="I69" s="3" t="n"/>
      <c r="J69" s="3" t="n"/>
    </row>
    <row r="70">
      <c r="A70" s="12" t="inlineStr">
        <is>
          <t>WAB notes</t>
        </is>
      </c>
      <c r="B70" s="4" t="inlineStr"/>
      <c r="C70" s="4" t="n"/>
      <c r="D70" s="4" t="n"/>
      <c r="E70" s="4" t="n"/>
      <c r="F70" s="4" t="n"/>
      <c r="G70" s="4" t="n"/>
      <c r="H70" s="4" t="n"/>
      <c r="I70" s="3" t="n"/>
      <c r="J70" s="3" t="n"/>
    </row>
    <row r="71" ht="54" customHeight="1">
      <c r="A71" s="12" t="inlineStr">
        <is>
          <t>Reviewer notes from question approval</t>
        </is>
      </c>
      <c r="B71" s="4" t="inlineStr">
        <is>
          <t>Carolina's note: let's use this question instead "Does the obstruction regime of Article 23(1) of Regulation 1/2003 — conceived for physical records and corporate email — still fit an environment of ephemeral, encrypted messaging on employees' personal devices? Where does the deletion of a WhatsApp or Signal message during or ahead of an inspection cross from ordinary personal housekeeping into a sanctionable procedural infringement, and how must intent and attribution be established when the device and the account belong to the individual rather than the undertaking?"</t>
        </is>
      </c>
      <c r="C71" s="4" t="n"/>
      <c r="D71" s="4" t="n"/>
      <c r="E71" s="4" t="n"/>
      <c r="F71" s="4" t="n"/>
      <c r="G71" s="4" t="n"/>
      <c r="H71" s="4" t="n"/>
      <c r="I71" s="3" t="n"/>
      <c r="J71" s="3" t="n"/>
    </row>
    <row r="72">
      <c r="A72" s="4" t="n"/>
      <c r="B72" s="4" t="n"/>
      <c r="C72" s="4" t="n"/>
      <c r="D72" s="4" t="n"/>
      <c r="E72" s="4" t="n"/>
      <c r="F72" s="4" t="n"/>
      <c r="G72" s="4" t="n"/>
      <c r="H72" s="4" t="n"/>
      <c r="I72" s="3" t="n"/>
      <c r="J72" s="3" t="n"/>
    </row>
  </sheetData>
  <autoFilter ref="A21:J36"/>
  <mergeCells count="20">
    <mergeCell ref="B65:H65"/>
    <mergeCell ref="B71:H72"/>
    <mergeCell ref="B6:H6"/>
    <mergeCell ref="A20:J20"/>
    <mergeCell ref="A1:H1"/>
    <mergeCell ref="B5:H5"/>
    <mergeCell ref="A61:H61"/>
    <mergeCell ref="A69:H69"/>
    <mergeCell ref="B4:H4"/>
    <mergeCell ref="B62:H62"/>
    <mergeCell ref="B7:H7"/>
    <mergeCell ref="B66:H66"/>
    <mergeCell ref="A3:H3"/>
    <mergeCell ref="A16:H18"/>
    <mergeCell ref="B70:H70"/>
    <mergeCell ref="A14:H14"/>
    <mergeCell ref="B63:H64"/>
    <mergeCell ref="B8:H8"/>
    <mergeCell ref="B10:H12"/>
    <mergeCell ref="A38:H38"/>
  </mergeCells>
  <dataValidations count="9">
    <dataValidation sqref="C22:C36" showDropDown="0" showInputMessage="0" showErrorMessage="0" allowBlank="1" type="list">
      <formula1>=Lists!$F$2:$F$5</formula1>
    </dataValidation>
    <dataValidation sqref="F22:F36" showDropDown="0" showInputMessage="0" showErrorMessage="0" allowBlank="1" type="list">
      <formula1>=Lists!$G$2:$G$4</formula1>
    </dataValidation>
    <dataValidation sqref="G22:G36" showDropDown="0" showInputMessage="0" showErrorMessage="0" allowBlank="1" type="list">
      <formula1>=Lists!$G$2:$G$4</formula1>
    </dataValidation>
    <dataValidation sqref="H22:H36" showDropDown="0" showInputMessage="0" showErrorMessage="0" allowBlank="1" type="list">
      <formula1>=Lists!$G$2:$G$4</formula1>
    </dataValidation>
    <dataValidation sqref="I22:I36" showDropDown="0" showInputMessage="0" showErrorMessage="0" allowBlank="1" type="list">
      <formula1>=Lists!$H$2:$H$6</formula1>
    </dataValidation>
    <dataValidation sqref="D40:D59" showDropDown="0" showInputMessage="0" showErrorMessage="0" allowBlank="1" type="list">
      <formula1>=Lists!$D$2:$D$7</formula1>
    </dataValidation>
    <dataValidation sqref="E40:E59" showDropDown="0" showInputMessage="0" showErrorMessage="0" allowBlank="1" type="list">
      <formula1>=Lists!$E$2:$E$8</formula1>
    </dataValidation>
    <dataValidation sqref="B62" showDropDown="0" showInputMessage="0" showErrorMessage="0" allowBlank="1" type="list">
      <formula1>=Lists!$C$2:$C$4</formula1>
    </dataValidation>
    <dataValidation sqref="B66" showDropDown="0" showInputMessage="0" showErrorMessage="0" allowBlank="1" type="list">
      <formula1>=Lists!$A$2:$A$3</formula1>
    </dataValidation>
  </dataValidations>
  <pageMargins left="0.75" right="0.75" top="1" bottom="1" header="0.5" footer="0.5"/>
</worksheet>
</file>

<file path=xl/worksheets/sheet33.xml><?xml version="1.0" encoding="utf-8"?>
<worksheet xmlns="http://schemas.openxmlformats.org/spreadsheetml/2006/main">
  <sheetPr>
    <outlinePr summaryBelow="1" summaryRight="1"/>
    <pageSetUpPr/>
  </sheetPr>
  <dimension ref="A1:J72"/>
  <sheetViews>
    <sheetView showGridLines="0" workbookViewId="0">
      <pane ySplit="21" topLeftCell="A22" activePane="bottomLeft" state="frozen"/>
      <selection pane="bottomLeft" activeCell="A1" sqref="A1"/>
    </sheetView>
  </sheetViews>
  <sheetFormatPr baseColWidth="8" defaultRowHeight="15"/>
  <cols>
    <col width="12" customWidth="1" min="1" max="1"/>
    <col width="34" customWidth="1" min="2" max="2"/>
    <col width="22" customWidth="1" min="3" max="3"/>
    <col width="18" customWidth="1" min="4" max="4"/>
    <col width="20" customWidth="1" min="5" max="5"/>
    <col width="30" customWidth="1" min="6" max="6"/>
    <col width="34" customWidth="1" min="7" max="7"/>
    <col width="18" customWidth="1" min="8" max="8"/>
    <col width="18" customWidth="1" min="9" max="9"/>
    <col width="30" customWidth="1" min="10" max="10"/>
  </cols>
  <sheetData>
    <row r="1" ht="28" customHeight="1">
      <c r="A1" s="6" t="inlineStr">
        <is>
          <t>Q35 — Expert Review</t>
        </is>
      </c>
      <c r="B1" s="3" t="n"/>
      <c r="C1" s="3" t="n"/>
      <c r="D1" s="3" t="n"/>
      <c r="E1" s="3" t="n"/>
      <c r="F1" s="3" t="n"/>
      <c r="G1" s="3" t="n"/>
      <c r="H1" s="3" t="n"/>
      <c r="I1" s="3" t="n"/>
      <c r="J1" s="3" t="n"/>
    </row>
    <row r="2">
      <c r="A2" s="3" t="n"/>
      <c r="B2" s="3" t="n"/>
      <c r="C2" s="3" t="n"/>
      <c r="D2" s="3" t="n"/>
      <c r="E2" s="3" t="n"/>
      <c r="F2" s="3" t="n"/>
      <c r="G2" s="3" t="n"/>
      <c r="H2" s="3" t="n"/>
      <c r="I2" s="3" t="n"/>
      <c r="J2" s="3" t="n"/>
    </row>
    <row r="3">
      <c r="A3" s="8" t="inlineStr">
        <is>
          <t>Question metadata</t>
        </is>
      </c>
      <c r="B3" s="3" t="n"/>
      <c r="C3" s="3" t="n"/>
      <c r="D3" s="3" t="n"/>
      <c r="E3" s="3" t="n"/>
      <c r="F3" s="3" t="n"/>
      <c r="G3" s="3" t="n"/>
      <c r="H3" s="3" t="n"/>
      <c r="I3" s="3" t="n"/>
      <c r="J3" s="3" t="n"/>
    </row>
    <row r="4">
      <c r="A4" s="9" t="inlineStr">
        <is>
          <t>Question ID</t>
        </is>
      </c>
      <c r="B4" s="3" t="n">
        <v>35</v>
      </c>
      <c r="C4" s="3" t="n"/>
      <c r="D4" s="3" t="n"/>
      <c r="E4" s="3" t="n"/>
      <c r="F4" s="3" t="n"/>
      <c r="G4" s="3" t="n"/>
      <c r="H4" s="3" t="n"/>
      <c r="I4" s="3" t="n"/>
      <c r="J4" s="3" t="n"/>
    </row>
    <row r="5">
      <c r="A5" s="9" t="inlineStr">
        <is>
          <t>Topic</t>
        </is>
      </c>
      <c r="B5" s="3" t="inlineStr">
        <is>
          <t>Dawn raids — obstruction and seals</t>
        </is>
      </c>
      <c r="C5" s="3" t="n"/>
      <c r="D5" s="3" t="n"/>
      <c r="E5" s="3" t="n"/>
      <c r="F5" s="3" t="n"/>
      <c r="G5" s="3" t="n"/>
      <c r="H5" s="3" t="n"/>
      <c r="I5" s="3" t="n"/>
      <c r="J5" s="3" t="n"/>
    </row>
    <row r="6">
      <c r="A6" s="9" t="inlineStr">
        <is>
          <t>Scope</t>
        </is>
      </c>
      <c r="B6" s="3" t="inlineStr">
        <is>
          <t>EU</t>
        </is>
      </c>
      <c r="C6" s="3" t="n"/>
      <c r="D6" s="3" t="n"/>
      <c r="E6" s="3" t="n"/>
      <c r="F6" s="3" t="n"/>
      <c r="G6" s="3" t="n"/>
      <c r="H6" s="3" t="n"/>
      <c r="I6" s="3" t="n"/>
      <c r="J6" s="3" t="n"/>
    </row>
    <row r="7">
      <c r="A7" s="9" t="inlineStr">
        <is>
          <t>Original reviewer</t>
        </is>
      </c>
      <c r="B7" s="3" t="inlineStr">
        <is>
          <t>Carolina</t>
        </is>
      </c>
      <c r="C7" s="3" t="n"/>
      <c r="D7" s="3" t="n"/>
      <c r="E7" s="3" t="n"/>
      <c r="F7" s="3" t="n"/>
      <c r="G7" s="3" t="n"/>
      <c r="H7" s="3" t="n"/>
      <c r="I7" s="3" t="n"/>
      <c r="J7" s="3" t="n"/>
    </row>
    <row r="8">
      <c r="A8" s="9" t="inlineStr">
        <is>
          <t>Original status</t>
        </is>
      </c>
      <c r="B8" s="3" t="inlineStr">
        <is>
          <t>Approved</t>
        </is>
      </c>
      <c r="C8" s="3" t="n"/>
      <c r="D8" s="3" t="n"/>
      <c r="E8" s="3" t="n"/>
      <c r="F8" s="3" t="n"/>
      <c r="G8" s="3" t="n"/>
      <c r="H8" s="3" t="n"/>
      <c r="I8" s="3" t="n"/>
      <c r="J8" s="3" t="n"/>
    </row>
    <row r="9">
      <c r="A9" s="3" t="n"/>
      <c r="B9" s="3" t="n"/>
      <c r="C9" s="3" t="n"/>
      <c r="D9" s="3" t="n"/>
      <c r="E9" s="3" t="n"/>
      <c r="F9" s="3" t="n"/>
      <c r="G9" s="3" t="n"/>
      <c r="H9" s="3" t="n"/>
      <c r="I9" s="3" t="n"/>
      <c r="J9" s="3" t="n"/>
    </row>
    <row r="10" ht="45" customHeight="1">
      <c r="A10" s="9" t="inlineStr">
        <is>
          <t>Question</t>
        </is>
      </c>
      <c r="B10" s="3" t="inlineStr">
        <is>
          <t>To what extent may an undertaking be fined for the breaking of a seal in the absence of any fault or intent, and how is that reconciled with the presumption of innocence?</t>
        </is>
      </c>
      <c r="C10" s="3" t="n"/>
      <c r="D10" s="3" t="n"/>
      <c r="E10" s="3" t="n"/>
      <c r="F10" s="3" t="n"/>
      <c r="G10" s="3" t="n"/>
      <c r="H10" s="3" t="n"/>
      <c r="I10" s="3" t="n"/>
      <c r="J10" s="3" t="n"/>
    </row>
    <row r="11">
      <c r="A11" s="3" t="n"/>
      <c r="B11" s="3" t="n"/>
      <c r="C11" s="3" t="n"/>
      <c r="D11" s="3" t="n"/>
      <c r="E11" s="3" t="n"/>
      <c r="F11" s="3" t="n"/>
      <c r="G11" s="3" t="n"/>
      <c r="H11" s="3" t="n"/>
      <c r="I11" s="3" t="n"/>
      <c r="J11" s="3" t="n"/>
    </row>
    <row r="12">
      <c r="A12" s="3" t="n"/>
      <c r="B12" s="3" t="n"/>
      <c r="C12" s="3" t="n"/>
      <c r="D12" s="3" t="n"/>
      <c r="E12" s="3" t="n"/>
      <c r="F12" s="3" t="n"/>
      <c r="G12" s="3" t="n"/>
      <c r="H12" s="3" t="n"/>
      <c r="I12" s="3" t="n"/>
      <c r="J12" s="3" t="n"/>
    </row>
    <row r="13">
      <c r="A13" s="3" t="n"/>
      <c r="B13" s="3" t="n"/>
      <c r="C13" s="3" t="n"/>
      <c r="D13" s="3" t="n"/>
      <c r="E13" s="3" t="n"/>
      <c r="F13" s="3" t="n"/>
      <c r="G13" s="3" t="n"/>
      <c r="H13" s="3" t="n"/>
      <c r="I13" s="3" t="n"/>
      <c r="J13" s="3" t="n"/>
    </row>
    <row r="14">
      <c r="A14" s="8" t="inlineStr">
        <is>
          <t>Generated answer</t>
        </is>
      </c>
      <c r="B14" s="3" t="n"/>
      <c r="C14" s="3" t="n"/>
      <c r="D14" s="3" t="n"/>
      <c r="E14" s="3" t="n"/>
      <c r="F14" s="3" t="n"/>
      <c r="G14" s="3" t="n"/>
      <c r="H14" s="3" t="n"/>
      <c r="I14" s="3" t="n"/>
      <c r="J14" s="3" t="n"/>
    </row>
    <row r="15">
      <c r="A15" s="10" t="inlineStr">
        <is>
          <t>Paste the generated answer below.</t>
        </is>
      </c>
      <c r="B15" s="3" t="n"/>
      <c r="C15" s="3" t="n"/>
      <c r="D15" s="3" t="n"/>
      <c r="E15" s="3" t="n"/>
      <c r="F15" s="3" t="n"/>
      <c r="G15" s="3" t="n"/>
      <c r="H15" s="3" t="n"/>
      <c r="I15" s="3" t="n"/>
      <c r="J15" s="3" t="n"/>
    </row>
    <row r="16" ht="90" customHeight="1">
      <c r="A16" s="3" t="inlineStr"/>
      <c r="B16" s="3" t="n"/>
      <c r="C16" s="3" t="n"/>
      <c r="D16" s="3" t="n"/>
      <c r="E16" s="3" t="n"/>
      <c r="F16" s="3" t="n"/>
      <c r="G16" s="3" t="n"/>
      <c r="H16" s="3" t="n"/>
      <c r="I16" s="3" t="n"/>
      <c r="J16" s="3" t="n"/>
    </row>
    <row r="17" ht="30" customHeight="1">
      <c r="A17" s="3" t="n"/>
      <c r="B17" s="3" t="n"/>
      <c r="C17" s="3" t="n"/>
      <c r="D17" s="3" t="n"/>
      <c r="E17" s="3" t="n"/>
      <c r="F17" s="3" t="n"/>
      <c r="G17" s="3" t="n"/>
      <c r="H17" s="3" t="n"/>
      <c r="I17" s="3" t="n"/>
      <c r="J17" s="3" t="n"/>
    </row>
    <row r="18" ht="30" customHeight="1">
      <c r="A18" s="3" t="n"/>
      <c r="B18" s="3" t="n"/>
      <c r="C18" s="3" t="n"/>
      <c r="D18" s="3" t="n"/>
      <c r="E18" s="3" t="n"/>
      <c r="F18" s="3" t="n"/>
      <c r="G18" s="3" t="n"/>
      <c r="H18" s="3" t="n"/>
      <c r="I18" s="3" t="n"/>
      <c r="J18" s="3" t="n"/>
    </row>
    <row r="19">
      <c r="A19" s="9" t="inlineStr">
        <is>
          <t>Run ID</t>
        </is>
      </c>
      <c r="B19" s="3" t="inlineStr"/>
      <c r="C19" s="9" t="inlineStr">
        <is>
          <t>Run date</t>
        </is>
      </c>
      <c r="D19" s="3" t="inlineStr"/>
      <c r="E19" s="9" t="inlineStr">
        <is>
          <t>Model / prompt version</t>
        </is>
      </c>
      <c r="F19" s="3" t="inlineStr"/>
      <c r="G19" s="9" t="inlineStr">
        <is>
          <t>Corpus snapshot</t>
        </is>
      </c>
      <c r="H19" s="3" t="inlineStr"/>
      <c r="I19" s="3" t="n"/>
      <c r="J19" s="3" t="n"/>
    </row>
    <row r="20">
      <c r="A20" s="8" t="inlineStr">
        <is>
          <t>Retrieval set review</t>
        </is>
      </c>
      <c r="B20" s="3" t="n"/>
      <c r="C20" s="3" t="n"/>
      <c r="D20" s="3" t="n"/>
      <c r="E20" s="3" t="n"/>
      <c r="F20" s="3" t="n"/>
      <c r="G20" s="3" t="n"/>
      <c r="H20" s="3" t="n"/>
      <c r="I20" s="3" t="n"/>
      <c r="J20" s="3" t="n"/>
    </row>
    <row r="21">
      <c r="A21" s="11" t="inlineStr">
        <is>
          <t>Rank</t>
        </is>
      </c>
      <c r="B21" s="11" t="inlineStr">
        <is>
          <t>Retrieved source</t>
        </is>
      </c>
      <c r="C21" s="11" t="inlineStr">
        <is>
          <t>Source type</t>
        </is>
      </c>
      <c r="D21" s="11" t="inlineStr">
        <is>
          <t>Jurisdiction</t>
        </is>
      </c>
      <c r="E21" s="11" t="inlineStr">
        <is>
          <t>URL / Document ID</t>
        </is>
      </c>
      <c r="F21" s="11" t="inlineStr">
        <is>
          <t>Returned by engine?</t>
        </is>
      </c>
      <c r="G21" s="11" t="inlineStr">
        <is>
          <t>Required source?</t>
        </is>
      </c>
      <c r="H21" s="11" t="inlineStr">
        <is>
          <t>Trap?</t>
        </is>
      </c>
      <c r="I21" s="11" t="inlineStr">
        <is>
          <t>Expert verdict</t>
        </is>
      </c>
      <c r="J21" s="11" t="inlineStr">
        <is>
          <t>Notes</t>
        </is>
      </c>
    </row>
    <row r="22" ht="44" customHeight="1">
      <c r="A22" s="4" t="n">
        <v>1</v>
      </c>
      <c r="B22" s="4" t="n"/>
      <c r="C22" s="4" t="n"/>
      <c r="D22" s="4" t="n"/>
      <c r="E22" s="4" t="n"/>
      <c r="F22" s="4" t="n"/>
      <c r="G22" s="4" t="n"/>
      <c r="H22" s="4" t="n"/>
      <c r="I22" s="4" t="n"/>
      <c r="J22" s="4" t="n"/>
    </row>
    <row r="23" ht="44" customHeight="1">
      <c r="A23" s="4" t="n">
        <v>2</v>
      </c>
      <c r="B23" s="4" t="n"/>
      <c r="C23" s="4" t="n"/>
      <c r="D23" s="4" t="n"/>
      <c r="E23" s="4" t="n"/>
      <c r="F23" s="4" t="n"/>
      <c r="G23" s="4" t="n"/>
      <c r="H23" s="4" t="n"/>
      <c r="I23" s="4" t="n"/>
      <c r="J23" s="4" t="n"/>
    </row>
    <row r="24" ht="44" customHeight="1">
      <c r="A24" s="4" t="n">
        <v>3</v>
      </c>
      <c r="B24" s="4" t="n"/>
      <c r="C24" s="4" t="n"/>
      <c r="D24" s="4" t="n"/>
      <c r="E24" s="4" t="n"/>
      <c r="F24" s="4" t="n"/>
      <c r="G24" s="4" t="n"/>
      <c r="H24" s="4" t="n"/>
      <c r="I24" s="4" t="n"/>
      <c r="J24" s="4" t="n"/>
    </row>
    <row r="25" ht="44" customHeight="1">
      <c r="A25" s="4" t="n">
        <v>4</v>
      </c>
      <c r="B25" s="4" t="n"/>
      <c r="C25" s="4" t="n"/>
      <c r="D25" s="4" t="n"/>
      <c r="E25" s="4" t="n"/>
      <c r="F25" s="4" t="n"/>
      <c r="G25" s="4" t="n"/>
      <c r="H25" s="4" t="n"/>
      <c r="I25" s="4" t="n"/>
      <c r="J25" s="4" t="n"/>
    </row>
    <row r="26" ht="44" customHeight="1">
      <c r="A26" s="4" t="n">
        <v>5</v>
      </c>
      <c r="B26" s="4" t="n"/>
      <c r="C26" s="4" t="n"/>
      <c r="D26" s="4" t="n"/>
      <c r="E26" s="4" t="n"/>
      <c r="F26" s="4" t="n"/>
      <c r="G26" s="4" t="n"/>
      <c r="H26" s="4" t="n"/>
      <c r="I26" s="4" t="n"/>
      <c r="J26" s="4" t="n"/>
    </row>
    <row r="27" ht="44" customHeight="1">
      <c r="A27" s="4" t="n">
        <v>6</v>
      </c>
      <c r="B27" s="4" t="n"/>
      <c r="C27" s="4" t="n"/>
      <c r="D27" s="4" t="n"/>
      <c r="E27" s="4" t="n"/>
      <c r="F27" s="4" t="n"/>
      <c r="G27" s="4" t="n"/>
      <c r="H27" s="4" t="n"/>
      <c r="I27" s="4" t="n"/>
      <c r="J27" s="4" t="n"/>
    </row>
    <row r="28" ht="44" customHeight="1">
      <c r="A28" s="4" t="n">
        <v>7</v>
      </c>
      <c r="B28" s="4" t="n"/>
      <c r="C28" s="4" t="n"/>
      <c r="D28" s="4" t="n"/>
      <c r="E28" s="4" t="n"/>
      <c r="F28" s="4" t="n"/>
      <c r="G28" s="4" t="n"/>
      <c r="H28" s="4" t="n"/>
      <c r="I28" s="4" t="n"/>
      <c r="J28" s="4" t="n"/>
    </row>
    <row r="29" ht="44" customHeight="1">
      <c r="A29" s="4" t="n">
        <v>8</v>
      </c>
      <c r="B29" s="4" t="n"/>
      <c r="C29" s="4" t="n"/>
      <c r="D29" s="4" t="n"/>
      <c r="E29" s="4" t="n"/>
      <c r="F29" s="4" t="n"/>
      <c r="G29" s="4" t="n"/>
      <c r="H29" s="4" t="n"/>
      <c r="I29" s="4" t="n"/>
      <c r="J29" s="4" t="n"/>
    </row>
    <row r="30" ht="44" customHeight="1">
      <c r="A30" s="4" t="n">
        <v>9</v>
      </c>
      <c r="B30" s="4" t="n"/>
      <c r="C30" s="4" t="n"/>
      <c r="D30" s="4" t="n"/>
      <c r="E30" s="4" t="n"/>
      <c r="F30" s="4" t="n"/>
      <c r="G30" s="4" t="n"/>
      <c r="H30" s="4" t="n"/>
      <c r="I30" s="4" t="n"/>
      <c r="J30" s="4" t="n"/>
    </row>
    <row r="31" ht="44" customHeight="1">
      <c r="A31" s="4" t="n">
        <v>10</v>
      </c>
      <c r="B31" s="4" t="n"/>
      <c r="C31" s="4" t="n"/>
      <c r="D31" s="4" t="n"/>
      <c r="E31" s="4" t="n"/>
      <c r="F31" s="4" t="n"/>
      <c r="G31" s="4" t="n"/>
      <c r="H31" s="4" t="n"/>
      <c r="I31" s="4" t="n"/>
      <c r="J31" s="4" t="n"/>
    </row>
    <row r="32" ht="44" customHeight="1">
      <c r="A32" s="4" t="n">
        <v>11</v>
      </c>
      <c r="B32" s="4" t="n"/>
      <c r="C32" s="4" t="n"/>
      <c r="D32" s="4" t="n"/>
      <c r="E32" s="4" t="n"/>
      <c r="F32" s="4" t="n"/>
      <c r="G32" s="4" t="n"/>
      <c r="H32" s="4" t="n"/>
      <c r="I32" s="4" t="n"/>
      <c r="J32" s="4" t="n"/>
    </row>
    <row r="33" ht="44" customHeight="1">
      <c r="A33" s="4" t="n">
        <v>12</v>
      </c>
      <c r="B33" s="4" t="n"/>
      <c r="C33" s="4" t="n"/>
      <c r="D33" s="4" t="n"/>
      <c r="E33" s="4" t="n"/>
      <c r="F33" s="4" t="n"/>
      <c r="G33" s="4" t="n"/>
      <c r="H33" s="4" t="n"/>
      <c r="I33" s="4" t="n"/>
      <c r="J33" s="4" t="n"/>
    </row>
    <row r="34" ht="44" customHeight="1">
      <c r="A34" s="4" t="n">
        <v>13</v>
      </c>
      <c r="B34" s="4" t="n"/>
      <c r="C34" s="4" t="n"/>
      <c r="D34" s="4" t="n"/>
      <c r="E34" s="4" t="n"/>
      <c r="F34" s="4" t="n"/>
      <c r="G34" s="4" t="n"/>
      <c r="H34" s="4" t="n"/>
      <c r="I34" s="4" t="n"/>
      <c r="J34" s="4" t="n"/>
    </row>
    <row r="35" ht="44" customHeight="1">
      <c r="A35" s="4" t="n">
        <v>14</v>
      </c>
      <c r="B35" s="4" t="n"/>
      <c r="C35" s="4" t="n"/>
      <c r="D35" s="4" t="n"/>
      <c r="E35" s="4" t="n"/>
      <c r="F35" s="4" t="n"/>
      <c r="G35" s="4" t="n"/>
      <c r="H35" s="4" t="n"/>
      <c r="I35" s="4" t="n"/>
      <c r="J35" s="4" t="n"/>
    </row>
    <row r="36" ht="44" customHeight="1">
      <c r="A36" s="4" t="n">
        <v>15</v>
      </c>
      <c r="B36" s="4" t="n"/>
      <c r="C36" s="4" t="n"/>
      <c r="D36" s="4" t="n"/>
      <c r="E36" s="4" t="n"/>
      <c r="F36" s="4" t="n"/>
      <c r="G36" s="4" t="n"/>
      <c r="H36" s="4" t="n"/>
      <c r="I36" s="4" t="n"/>
      <c r="J36" s="4" t="n"/>
    </row>
    <row r="37">
      <c r="A37" s="3" t="n"/>
      <c r="B37" s="3" t="n"/>
      <c r="C37" s="3" t="n"/>
      <c r="D37" s="3" t="n"/>
      <c r="E37" s="3" t="n"/>
      <c r="F37" s="3" t="n"/>
      <c r="G37" s="3" t="n"/>
      <c r="H37" s="3" t="n"/>
      <c r="I37" s="3" t="n"/>
      <c r="J37" s="3" t="n"/>
    </row>
    <row r="38">
      <c r="A38" s="8" t="inlineStr">
        <is>
          <t>Claim-by-claim review</t>
        </is>
      </c>
      <c r="B38" s="3" t="n"/>
      <c r="C38" s="3" t="n"/>
      <c r="D38" s="3" t="n"/>
      <c r="E38" s="3" t="n"/>
      <c r="F38" s="3" t="n"/>
      <c r="G38" s="3" t="n"/>
      <c r="H38" s="3" t="n"/>
      <c r="I38" s="3" t="n"/>
      <c r="J38" s="3" t="n"/>
    </row>
    <row r="39">
      <c r="A39" s="11" t="inlineStr">
        <is>
          <t>Claim ID</t>
        </is>
      </c>
      <c r="B39" s="11" t="inlineStr">
        <is>
          <t>Claim from answer</t>
        </is>
      </c>
      <c r="C39" s="11" t="inlineStr">
        <is>
          <t>Citation used</t>
        </is>
      </c>
      <c r="D39" s="11" t="inlineStr">
        <is>
          <t>Expert verdict</t>
        </is>
      </c>
      <c r="E39" s="11" t="inlineStr">
        <is>
          <t>Issue type</t>
        </is>
      </c>
      <c r="F39" s="11" t="inlineStr">
        <is>
          <t>Cited passage / source note</t>
        </is>
      </c>
      <c r="G39" s="11" t="inlineStr">
        <is>
          <t>Required fix / comment</t>
        </is>
      </c>
      <c r="H39" s="11" t="inlineStr">
        <is>
          <t>Reviewer</t>
        </is>
      </c>
      <c r="I39" s="11" t="n"/>
      <c r="J39" s="11" t="n"/>
    </row>
    <row r="40" ht="54" customHeight="1">
      <c r="A40" s="4" t="n">
        <v>1</v>
      </c>
      <c r="B40" s="4" t="n"/>
      <c r="C40" s="4" t="n"/>
      <c r="D40" s="4" t="n"/>
      <c r="E40" s="4" t="n"/>
      <c r="F40" s="4" t="n"/>
      <c r="G40" s="4" t="n"/>
      <c r="H40" s="4" t="n"/>
      <c r="I40" s="3" t="n"/>
      <c r="J40" s="3" t="n"/>
    </row>
    <row r="41" ht="54" customHeight="1">
      <c r="A41" s="4" t="n">
        <v>2</v>
      </c>
      <c r="B41" s="4" t="n"/>
      <c r="C41" s="4" t="n"/>
      <c r="D41" s="4" t="n"/>
      <c r="E41" s="4" t="n"/>
      <c r="F41" s="4" t="n"/>
      <c r="G41" s="4" t="n"/>
      <c r="H41" s="4" t="n"/>
      <c r="I41" s="3" t="n"/>
      <c r="J41" s="3" t="n"/>
    </row>
    <row r="42" ht="54" customHeight="1">
      <c r="A42" s="4" t="n">
        <v>3</v>
      </c>
      <c r="B42" s="4" t="n"/>
      <c r="C42" s="4" t="n"/>
      <c r="D42" s="4" t="n"/>
      <c r="E42" s="4" t="n"/>
      <c r="F42" s="4" t="n"/>
      <c r="G42" s="4" t="n"/>
      <c r="H42" s="4" t="n"/>
      <c r="I42" s="3" t="n"/>
      <c r="J42" s="3" t="n"/>
    </row>
    <row r="43" ht="54" customHeight="1">
      <c r="A43" s="4" t="n">
        <v>4</v>
      </c>
      <c r="B43" s="4" t="n"/>
      <c r="C43" s="4" t="n"/>
      <c r="D43" s="4" t="n"/>
      <c r="E43" s="4" t="n"/>
      <c r="F43" s="4" t="n"/>
      <c r="G43" s="4" t="n"/>
      <c r="H43" s="4" t="n"/>
      <c r="I43" s="3" t="n"/>
      <c r="J43" s="3" t="n"/>
    </row>
    <row r="44" ht="54" customHeight="1">
      <c r="A44" s="4" t="n">
        <v>5</v>
      </c>
      <c r="B44" s="4" t="n"/>
      <c r="C44" s="4" t="n"/>
      <c r="D44" s="4" t="n"/>
      <c r="E44" s="4" t="n"/>
      <c r="F44" s="4" t="n"/>
      <c r="G44" s="4" t="n"/>
      <c r="H44" s="4" t="n"/>
      <c r="I44" s="3" t="n"/>
      <c r="J44" s="3" t="n"/>
    </row>
    <row r="45" ht="54" customHeight="1">
      <c r="A45" s="4" t="n">
        <v>6</v>
      </c>
      <c r="B45" s="4" t="n"/>
      <c r="C45" s="4" t="n"/>
      <c r="D45" s="4" t="n"/>
      <c r="E45" s="4" t="n"/>
      <c r="F45" s="4" t="n"/>
      <c r="G45" s="4" t="n"/>
      <c r="H45" s="4" t="n"/>
      <c r="I45" s="3" t="n"/>
      <c r="J45" s="3" t="n"/>
    </row>
    <row r="46" ht="54" customHeight="1">
      <c r="A46" s="4" t="n">
        <v>7</v>
      </c>
      <c r="B46" s="4" t="n"/>
      <c r="C46" s="4" t="n"/>
      <c r="D46" s="4" t="n"/>
      <c r="E46" s="4" t="n"/>
      <c r="F46" s="4" t="n"/>
      <c r="G46" s="4" t="n"/>
      <c r="H46" s="4" t="n"/>
      <c r="I46" s="3" t="n"/>
      <c r="J46" s="3" t="n"/>
    </row>
    <row r="47" ht="54" customHeight="1">
      <c r="A47" s="4" t="n">
        <v>8</v>
      </c>
      <c r="B47" s="4" t="n"/>
      <c r="C47" s="4" t="n"/>
      <c r="D47" s="4" t="n"/>
      <c r="E47" s="4" t="n"/>
      <c r="F47" s="4" t="n"/>
      <c r="G47" s="4" t="n"/>
      <c r="H47" s="4" t="n"/>
      <c r="I47" s="3" t="n"/>
      <c r="J47" s="3" t="n"/>
    </row>
    <row r="48" ht="54" customHeight="1">
      <c r="A48" s="4" t="n">
        <v>9</v>
      </c>
      <c r="B48" s="4" t="n"/>
      <c r="C48" s="4" t="n"/>
      <c r="D48" s="4" t="n"/>
      <c r="E48" s="4" t="n"/>
      <c r="F48" s="4" t="n"/>
      <c r="G48" s="4" t="n"/>
      <c r="H48" s="4" t="n"/>
      <c r="I48" s="3" t="n"/>
      <c r="J48" s="3" t="n"/>
    </row>
    <row r="49" ht="54" customHeight="1">
      <c r="A49" s="4" t="n">
        <v>10</v>
      </c>
      <c r="B49" s="4" t="n"/>
      <c r="C49" s="4" t="n"/>
      <c r="D49" s="4" t="n"/>
      <c r="E49" s="4" t="n"/>
      <c r="F49" s="4" t="n"/>
      <c r="G49" s="4" t="n"/>
      <c r="H49" s="4" t="n"/>
      <c r="I49" s="3" t="n"/>
      <c r="J49" s="3" t="n"/>
    </row>
    <row r="50" ht="54" customHeight="1">
      <c r="A50" s="4" t="n">
        <v>11</v>
      </c>
      <c r="B50" s="4" t="n"/>
      <c r="C50" s="4" t="n"/>
      <c r="D50" s="4" t="n"/>
      <c r="E50" s="4" t="n"/>
      <c r="F50" s="4" t="n"/>
      <c r="G50" s="4" t="n"/>
      <c r="H50" s="4" t="n"/>
      <c r="I50" s="3" t="n"/>
      <c r="J50" s="3" t="n"/>
    </row>
    <row r="51" ht="54" customHeight="1">
      <c r="A51" s="4" t="n">
        <v>12</v>
      </c>
      <c r="B51" s="4" t="n"/>
      <c r="C51" s="4" t="n"/>
      <c r="D51" s="4" t="n"/>
      <c r="E51" s="4" t="n"/>
      <c r="F51" s="4" t="n"/>
      <c r="G51" s="4" t="n"/>
      <c r="H51" s="4" t="n"/>
      <c r="I51" s="3" t="n"/>
      <c r="J51" s="3" t="n"/>
    </row>
    <row r="52" ht="54" customHeight="1">
      <c r="A52" s="4" t="n">
        <v>13</v>
      </c>
      <c r="B52" s="4" t="n"/>
      <c r="C52" s="4" t="n"/>
      <c r="D52" s="4" t="n"/>
      <c r="E52" s="4" t="n"/>
      <c r="F52" s="4" t="n"/>
      <c r="G52" s="4" t="n"/>
      <c r="H52" s="4" t="n"/>
      <c r="I52" s="3" t="n"/>
      <c r="J52" s="3" t="n"/>
    </row>
    <row r="53" ht="54" customHeight="1">
      <c r="A53" s="4" t="n">
        <v>14</v>
      </c>
      <c r="B53" s="4" t="n"/>
      <c r="C53" s="4" t="n"/>
      <c r="D53" s="4" t="n"/>
      <c r="E53" s="4" t="n"/>
      <c r="F53" s="4" t="n"/>
      <c r="G53" s="4" t="n"/>
      <c r="H53" s="4" t="n"/>
      <c r="I53" s="3" t="n"/>
      <c r="J53" s="3" t="n"/>
    </row>
    <row r="54" ht="54" customHeight="1">
      <c r="A54" s="4" t="n">
        <v>15</v>
      </c>
      <c r="B54" s="4" t="n"/>
      <c r="C54" s="4" t="n"/>
      <c r="D54" s="4" t="n"/>
      <c r="E54" s="4" t="n"/>
      <c r="F54" s="4" t="n"/>
      <c r="G54" s="4" t="n"/>
      <c r="H54" s="4" t="n"/>
      <c r="I54" s="3" t="n"/>
      <c r="J54" s="3" t="n"/>
    </row>
    <row r="55" ht="54" customHeight="1">
      <c r="A55" s="4" t="n">
        <v>16</v>
      </c>
      <c r="B55" s="4" t="n"/>
      <c r="C55" s="4" t="n"/>
      <c r="D55" s="4" t="n"/>
      <c r="E55" s="4" t="n"/>
      <c r="F55" s="4" t="n"/>
      <c r="G55" s="4" t="n"/>
      <c r="H55" s="4" t="n"/>
      <c r="I55" s="3" t="n"/>
      <c r="J55" s="3" t="n"/>
    </row>
    <row r="56" ht="54" customHeight="1">
      <c r="A56" s="4" t="n">
        <v>17</v>
      </c>
      <c r="B56" s="4" t="n"/>
      <c r="C56" s="4" t="n"/>
      <c r="D56" s="4" t="n"/>
      <c r="E56" s="4" t="n"/>
      <c r="F56" s="4" t="n"/>
      <c r="G56" s="4" t="n"/>
      <c r="H56" s="4" t="n"/>
      <c r="I56" s="3" t="n"/>
      <c r="J56" s="3" t="n"/>
    </row>
    <row r="57" ht="54" customHeight="1">
      <c r="A57" s="4" t="n">
        <v>18</v>
      </c>
      <c r="B57" s="4" t="n"/>
      <c r="C57" s="4" t="n"/>
      <c r="D57" s="4" t="n"/>
      <c r="E57" s="4" t="n"/>
      <c r="F57" s="4" t="n"/>
      <c r="G57" s="4" t="n"/>
      <c r="H57" s="4" t="n"/>
      <c r="I57" s="3" t="n"/>
      <c r="J57" s="3" t="n"/>
    </row>
    <row r="58" ht="54" customHeight="1">
      <c r="A58" s="4" t="n">
        <v>19</v>
      </c>
      <c r="B58" s="4" t="n"/>
      <c r="C58" s="4" t="n"/>
      <c r="D58" s="4" t="n"/>
      <c r="E58" s="4" t="n"/>
      <c r="F58" s="4" t="n"/>
      <c r="G58" s="4" t="n"/>
      <c r="H58" s="4" t="n"/>
      <c r="I58" s="3" t="n"/>
      <c r="J58" s="3" t="n"/>
    </row>
    <row r="59" ht="54" customHeight="1">
      <c r="A59" s="4" t="n">
        <v>20</v>
      </c>
      <c r="B59" s="4" t="n"/>
      <c r="C59" s="4" t="n"/>
      <c r="D59" s="4" t="n"/>
      <c r="E59" s="4" t="n"/>
      <c r="F59" s="4" t="n"/>
      <c r="G59" s="4" t="n"/>
      <c r="H59" s="4" t="n"/>
      <c r="I59" s="3" t="n"/>
      <c r="J59" s="3" t="n"/>
    </row>
    <row r="60">
      <c r="A60" s="3" t="n"/>
      <c r="B60" s="3" t="n"/>
      <c r="C60" s="3" t="n"/>
      <c r="D60" s="3" t="n"/>
      <c r="E60" s="3" t="n"/>
      <c r="F60" s="3" t="n"/>
      <c r="G60" s="3" t="n"/>
      <c r="H60" s="3" t="n"/>
      <c r="I60" s="3" t="n"/>
      <c r="J60" s="3" t="n"/>
    </row>
    <row r="61">
      <c r="A61" s="8" t="inlineStr">
        <is>
          <t>Final expert verdict</t>
        </is>
      </c>
      <c r="B61" s="3" t="n"/>
      <c r="C61" s="3" t="n"/>
      <c r="D61" s="3" t="n"/>
      <c r="E61" s="3" t="n"/>
      <c r="F61" s="3" t="n"/>
      <c r="G61" s="3" t="n"/>
      <c r="H61" s="3" t="n"/>
      <c r="I61" s="3" t="n"/>
      <c r="J61" s="3" t="n"/>
    </row>
    <row r="62">
      <c r="A62" s="12" t="inlineStr">
        <is>
          <t>Is the answer acceptable?</t>
        </is>
      </c>
      <c r="B62" s="4" t="inlineStr"/>
      <c r="C62" s="4" t="n"/>
      <c r="D62" s="4" t="n"/>
      <c r="E62" s="4" t="n"/>
      <c r="F62" s="4" t="n"/>
      <c r="G62" s="4" t="n"/>
      <c r="H62" s="4" t="n"/>
      <c r="I62" s="3" t="n"/>
      <c r="J62" s="3" t="n"/>
    </row>
    <row r="63" ht="54" customHeight="1">
      <c r="A63" s="12" t="inlineStr">
        <is>
          <t>Overall comment / required fixes</t>
        </is>
      </c>
      <c r="B63" s="4" t="n"/>
      <c r="C63" s="4" t="n"/>
      <c r="D63" s="4" t="n"/>
      <c r="E63" s="4" t="n"/>
      <c r="F63" s="4" t="n"/>
      <c r="G63" s="4" t="n"/>
      <c r="H63" s="4" t="n"/>
      <c r="I63" s="3" t="n"/>
      <c r="J63" s="3" t="n"/>
    </row>
    <row r="64">
      <c r="A64" s="4" t="n"/>
      <c r="B64" s="4" t="n"/>
      <c r="C64" s="4" t="n"/>
      <c r="D64" s="4" t="n"/>
      <c r="E64" s="4" t="n"/>
      <c r="F64" s="4" t="n"/>
      <c r="G64" s="4" t="n"/>
      <c r="H64" s="4" t="n"/>
      <c r="I64" s="3" t="n"/>
      <c r="J64" s="3" t="n"/>
    </row>
    <row r="65">
      <c r="A65" s="12" t="inlineStr">
        <is>
          <t>Missing key sources?</t>
        </is>
      </c>
      <c r="B65" s="4" t="n"/>
      <c r="C65" s="4" t="n"/>
      <c r="D65" s="4" t="n"/>
      <c r="E65" s="4" t="n"/>
      <c r="F65" s="4" t="n"/>
      <c r="G65" s="4" t="n"/>
      <c r="H65" s="4" t="n"/>
      <c r="I65" s="3" t="n"/>
      <c r="J65" s="3" t="n"/>
    </row>
    <row r="66">
      <c r="A66" s="12" t="inlineStr">
        <is>
          <t>Review completed?</t>
        </is>
      </c>
      <c r="B66" s="4" t="inlineStr"/>
      <c r="C66" s="4" t="n"/>
      <c r="D66" s="4" t="n"/>
      <c r="E66" s="4" t="n"/>
      <c r="F66" s="4" t="n"/>
      <c r="G66" s="4" t="n"/>
      <c r="H66" s="4" t="n"/>
      <c r="I66" s="3" t="n"/>
      <c r="J66" s="3" t="n"/>
    </row>
    <row r="67">
      <c r="A67" s="12" t="inlineStr">
        <is>
          <t>Reviewer</t>
        </is>
      </c>
      <c r="B67" s="4" t="n"/>
      <c r="C67" s="12" t="inlineStr">
        <is>
          <t>Review date</t>
        </is>
      </c>
      <c r="D67" s="5" t="inlineStr"/>
      <c r="E67" s="4" t="n"/>
      <c r="F67" s="4" t="n"/>
      <c r="G67" s="4" t="n"/>
      <c r="H67" s="4" t="n"/>
      <c r="I67" s="3" t="n"/>
      <c r="J67" s="3" t="n"/>
    </row>
    <row r="68">
      <c r="A68" s="3" t="n"/>
      <c r="B68" s="3" t="n"/>
      <c r="C68" s="3" t="n"/>
      <c r="D68" s="3" t="n"/>
      <c r="E68" s="3" t="n"/>
      <c r="F68" s="3" t="n"/>
      <c r="G68" s="3" t="n"/>
      <c r="H68" s="3" t="n"/>
      <c r="I68" s="3" t="n"/>
      <c r="J68" s="3" t="n"/>
    </row>
    <row r="69">
      <c r="A69" s="8" t="inlineStr">
        <is>
          <t>Original source notes</t>
        </is>
      </c>
      <c r="B69" s="3" t="n"/>
      <c r="C69" s="3" t="n"/>
      <c r="D69" s="3" t="n"/>
      <c r="E69" s="3" t="n"/>
      <c r="F69" s="3" t="n"/>
      <c r="G69" s="3" t="n"/>
      <c r="H69" s="3" t="n"/>
      <c r="I69" s="3" t="n"/>
      <c r="J69" s="3" t="n"/>
    </row>
    <row r="70">
      <c r="A70" s="12" t="inlineStr">
        <is>
          <t>WAB notes</t>
        </is>
      </c>
      <c r="B70" s="4" t="inlineStr"/>
      <c r="C70" s="4" t="n"/>
      <c r="D70" s="4" t="n"/>
      <c r="E70" s="4" t="n"/>
      <c r="F70" s="4" t="n"/>
      <c r="G70" s="4" t="n"/>
      <c r="H70" s="4" t="n"/>
      <c r="I70" s="3" t="n"/>
      <c r="J70" s="3" t="n"/>
    </row>
    <row r="71" ht="54" customHeight="1">
      <c r="A71" s="12" t="inlineStr">
        <is>
          <t>Reviewer notes from question approval</t>
        </is>
      </c>
      <c r="B71" s="4" t="inlineStr">
        <is>
          <t>agreed on the substance but let's frame it in the following way "To what extent may an undertaking be fined for the breaking of a seal in the absence of any fault or intent, and how is that reconciled with the presumption of innocence?"</t>
        </is>
      </c>
      <c r="C71" s="4" t="n"/>
      <c r="D71" s="4" t="n"/>
      <c r="E71" s="4" t="n"/>
      <c r="F71" s="4" t="n"/>
      <c r="G71" s="4" t="n"/>
      <c r="H71" s="4" t="n"/>
      <c r="I71" s="3" t="n"/>
      <c r="J71" s="3" t="n"/>
    </row>
    <row r="72">
      <c r="A72" s="4" t="n"/>
      <c r="B72" s="4" t="n"/>
      <c r="C72" s="4" t="n"/>
      <c r="D72" s="4" t="n"/>
      <c r="E72" s="4" t="n"/>
      <c r="F72" s="4" t="n"/>
      <c r="G72" s="4" t="n"/>
      <c r="H72" s="4" t="n"/>
      <c r="I72" s="3" t="n"/>
      <c r="J72" s="3" t="n"/>
    </row>
  </sheetData>
  <autoFilter ref="A21:J36"/>
  <mergeCells count="20">
    <mergeCell ref="B65:H65"/>
    <mergeCell ref="B71:H72"/>
    <mergeCell ref="B6:H6"/>
    <mergeCell ref="A20:J20"/>
    <mergeCell ref="A1:H1"/>
    <mergeCell ref="B5:H5"/>
    <mergeCell ref="A61:H61"/>
    <mergeCell ref="A69:H69"/>
    <mergeCell ref="B4:H4"/>
    <mergeCell ref="B62:H62"/>
    <mergeCell ref="B7:H7"/>
    <mergeCell ref="B66:H66"/>
    <mergeCell ref="A3:H3"/>
    <mergeCell ref="A16:H18"/>
    <mergeCell ref="B70:H70"/>
    <mergeCell ref="A14:H14"/>
    <mergeCell ref="B63:H64"/>
    <mergeCell ref="B8:H8"/>
    <mergeCell ref="B10:H12"/>
    <mergeCell ref="A38:H38"/>
  </mergeCells>
  <dataValidations count="9">
    <dataValidation sqref="C22:C36" showDropDown="0" showInputMessage="0" showErrorMessage="0" allowBlank="1" type="list">
      <formula1>=Lists!$F$2:$F$5</formula1>
    </dataValidation>
    <dataValidation sqref="F22:F36" showDropDown="0" showInputMessage="0" showErrorMessage="0" allowBlank="1" type="list">
      <formula1>=Lists!$G$2:$G$4</formula1>
    </dataValidation>
    <dataValidation sqref="G22:G36" showDropDown="0" showInputMessage="0" showErrorMessage="0" allowBlank="1" type="list">
      <formula1>=Lists!$G$2:$G$4</formula1>
    </dataValidation>
    <dataValidation sqref="H22:H36" showDropDown="0" showInputMessage="0" showErrorMessage="0" allowBlank="1" type="list">
      <formula1>=Lists!$G$2:$G$4</formula1>
    </dataValidation>
    <dataValidation sqref="I22:I36" showDropDown="0" showInputMessage="0" showErrorMessage="0" allowBlank="1" type="list">
      <formula1>=Lists!$H$2:$H$6</formula1>
    </dataValidation>
    <dataValidation sqref="D40:D59" showDropDown="0" showInputMessage="0" showErrorMessage="0" allowBlank="1" type="list">
      <formula1>=Lists!$D$2:$D$7</formula1>
    </dataValidation>
    <dataValidation sqref="E40:E59" showDropDown="0" showInputMessage="0" showErrorMessage="0" allowBlank="1" type="list">
      <formula1>=Lists!$E$2:$E$8</formula1>
    </dataValidation>
    <dataValidation sqref="B62" showDropDown="0" showInputMessage="0" showErrorMessage="0" allowBlank="1" type="list">
      <formula1>=Lists!$C$2:$C$4</formula1>
    </dataValidation>
    <dataValidation sqref="B66" showDropDown="0" showInputMessage="0" showErrorMessage="0" allowBlank="1" type="list">
      <formula1>=Lists!$A$2:$A$3</formula1>
    </dataValidation>
  </dataValidations>
  <pageMargins left="0.75" right="0.75" top="1" bottom="1" header="0.5" footer="0.5"/>
</worksheet>
</file>

<file path=xl/worksheets/sheet34.xml><?xml version="1.0" encoding="utf-8"?>
<worksheet xmlns="http://schemas.openxmlformats.org/spreadsheetml/2006/main">
  <sheetPr>
    <outlinePr summaryBelow="1" summaryRight="1"/>
    <pageSetUpPr/>
  </sheetPr>
  <dimension ref="A1:J72"/>
  <sheetViews>
    <sheetView showGridLines="0" workbookViewId="0">
      <pane ySplit="21" topLeftCell="A22" activePane="bottomLeft" state="frozen"/>
      <selection pane="bottomLeft" activeCell="A1" sqref="A1"/>
    </sheetView>
  </sheetViews>
  <sheetFormatPr baseColWidth="8" defaultRowHeight="15"/>
  <cols>
    <col width="12" customWidth="1" min="1" max="1"/>
    <col width="34" customWidth="1" min="2" max="2"/>
    <col width="22" customWidth="1" min="3" max="3"/>
    <col width="18" customWidth="1" min="4" max="4"/>
    <col width="20" customWidth="1" min="5" max="5"/>
    <col width="30" customWidth="1" min="6" max="6"/>
    <col width="34" customWidth="1" min="7" max="7"/>
    <col width="18" customWidth="1" min="8" max="8"/>
    <col width="18" customWidth="1" min="9" max="9"/>
    <col width="30" customWidth="1" min="10" max="10"/>
  </cols>
  <sheetData>
    <row r="1" ht="28" customHeight="1">
      <c r="A1" s="6" t="inlineStr">
        <is>
          <t>Q36 — Expert Review</t>
        </is>
      </c>
      <c r="B1" s="3" t="n"/>
      <c r="C1" s="3" t="n"/>
      <c r="D1" s="3" t="n"/>
      <c r="E1" s="3" t="n"/>
      <c r="F1" s="3" t="n"/>
      <c r="G1" s="3" t="n"/>
      <c r="H1" s="3" t="n"/>
      <c r="I1" s="3" t="n"/>
      <c r="J1" s="3" t="n"/>
    </row>
    <row r="2">
      <c r="A2" s="3" t="n"/>
      <c r="B2" s="3" t="n"/>
      <c r="C2" s="3" t="n"/>
      <c r="D2" s="3" t="n"/>
      <c r="E2" s="3" t="n"/>
      <c r="F2" s="3" t="n"/>
      <c r="G2" s="3" t="n"/>
      <c r="H2" s="3" t="n"/>
      <c r="I2" s="3" t="n"/>
      <c r="J2" s="3" t="n"/>
    </row>
    <row r="3">
      <c r="A3" s="8" t="inlineStr">
        <is>
          <t>Question metadata</t>
        </is>
      </c>
      <c r="B3" s="3" t="n"/>
      <c r="C3" s="3" t="n"/>
      <c r="D3" s="3" t="n"/>
      <c r="E3" s="3" t="n"/>
      <c r="F3" s="3" t="n"/>
      <c r="G3" s="3" t="n"/>
      <c r="H3" s="3" t="n"/>
      <c r="I3" s="3" t="n"/>
      <c r="J3" s="3" t="n"/>
    </row>
    <row r="4">
      <c r="A4" s="9" t="inlineStr">
        <is>
          <t>Question ID</t>
        </is>
      </c>
      <c r="B4" s="3" t="n">
        <v>36</v>
      </c>
      <c r="C4" s="3" t="n"/>
      <c r="D4" s="3" t="n"/>
      <c r="E4" s="3" t="n"/>
      <c r="F4" s="3" t="n"/>
      <c r="G4" s="3" t="n"/>
      <c r="H4" s="3" t="n"/>
      <c r="I4" s="3" t="n"/>
      <c r="J4" s="3" t="n"/>
    </row>
    <row r="5">
      <c r="A5" s="9" t="inlineStr">
        <is>
          <t>Topic</t>
        </is>
      </c>
      <c r="B5" s="3" t="inlineStr">
        <is>
          <t>Dawn raids — obstruction and seals</t>
        </is>
      </c>
      <c r="C5" s="3" t="n"/>
      <c r="D5" s="3" t="n"/>
      <c r="E5" s="3" t="n"/>
      <c r="F5" s="3" t="n"/>
      <c r="G5" s="3" t="n"/>
      <c r="H5" s="3" t="n"/>
      <c r="I5" s="3" t="n"/>
      <c r="J5" s="3" t="n"/>
    </row>
    <row r="6">
      <c r="A6" s="9" t="inlineStr">
        <is>
          <t>Scope</t>
        </is>
      </c>
      <c r="B6" s="3" t="inlineStr">
        <is>
          <t>France</t>
        </is>
      </c>
      <c r="C6" s="3" t="n"/>
      <c r="D6" s="3" t="n"/>
      <c r="E6" s="3" t="n"/>
      <c r="F6" s="3" t="n"/>
      <c r="G6" s="3" t="n"/>
      <c r="H6" s="3" t="n"/>
      <c r="I6" s="3" t="n"/>
      <c r="J6" s="3" t="n"/>
    </row>
    <row r="7">
      <c r="A7" s="9" t="inlineStr">
        <is>
          <t>Original reviewer</t>
        </is>
      </c>
      <c r="B7" s="3" t="inlineStr">
        <is>
          <t>Jeanne</t>
        </is>
      </c>
      <c r="C7" s="3" t="n"/>
      <c r="D7" s="3" t="n"/>
      <c r="E7" s="3" t="n"/>
      <c r="F7" s="3" t="n"/>
      <c r="G7" s="3" t="n"/>
      <c r="H7" s="3" t="n"/>
      <c r="I7" s="3" t="n"/>
      <c r="J7" s="3" t="n"/>
    </row>
    <row r="8">
      <c r="A8" s="9" t="inlineStr">
        <is>
          <t>Original status</t>
        </is>
      </c>
      <c r="B8" s="3" t="inlineStr">
        <is>
          <t>Approved</t>
        </is>
      </c>
      <c r="C8" s="3" t="n"/>
      <c r="D8" s="3" t="n"/>
      <c r="E8" s="3" t="n"/>
      <c r="F8" s="3" t="n"/>
      <c r="G8" s="3" t="n"/>
      <c r="H8" s="3" t="n"/>
      <c r="I8" s="3" t="n"/>
      <c r="J8" s="3" t="n"/>
    </row>
    <row r="9">
      <c r="A9" s="3" t="n"/>
      <c r="B9" s="3" t="n"/>
      <c r="C9" s="3" t="n"/>
      <c r="D9" s="3" t="n"/>
      <c r="E9" s="3" t="n"/>
      <c r="F9" s="3" t="n"/>
      <c r="G9" s="3" t="n"/>
      <c r="H9" s="3" t="n"/>
      <c r="I9" s="3" t="n"/>
      <c r="J9" s="3" t="n"/>
    </row>
    <row r="10" ht="45" customHeight="1">
      <c r="A10" s="9" t="inlineStr">
        <is>
          <t>Question</t>
        </is>
      </c>
      <c r="B10" s="3" t="inlineStr">
        <is>
          <t>What behavior during a French dawn raid (OVS) exposes a company to obstruction liability, and what training precautions follow from recent enforcement?</t>
        </is>
      </c>
      <c r="C10" s="3" t="n"/>
      <c r="D10" s="3" t="n"/>
      <c r="E10" s="3" t="n"/>
      <c r="F10" s="3" t="n"/>
      <c r="G10" s="3" t="n"/>
      <c r="H10" s="3" t="n"/>
      <c r="I10" s="3" t="n"/>
      <c r="J10" s="3" t="n"/>
    </row>
    <row r="11">
      <c r="A11" s="3" t="n"/>
      <c r="B11" s="3" t="n"/>
      <c r="C11" s="3" t="n"/>
      <c r="D11" s="3" t="n"/>
      <c r="E11" s="3" t="n"/>
      <c r="F11" s="3" t="n"/>
      <c r="G11" s="3" t="n"/>
      <c r="H11" s="3" t="n"/>
      <c r="I11" s="3" t="n"/>
      <c r="J11" s="3" t="n"/>
    </row>
    <row r="12">
      <c r="A12" s="3" t="n"/>
      <c r="B12" s="3" t="n"/>
      <c r="C12" s="3" t="n"/>
      <c r="D12" s="3" t="n"/>
      <c r="E12" s="3" t="n"/>
      <c r="F12" s="3" t="n"/>
      <c r="G12" s="3" t="n"/>
      <c r="H12" s="3" t="n"/>
      <c r="I12" s="3" t="n"/>
      <c r="J12" s="3" t="n"/>
    </row>
    <row r="13">
      <c r="A13" s="3" t="n"/>
      <c r="B13" s="3" t="n"/>
      <c r="C13" s="3" t="n"/>
      <c r="D13" s="3" t="n"/>
      <c r="E13" s="3" t="n"/>
      <c r="F13" s="3" t="n"/>
      <c r="G13" s="3" t="n"/>
      <c r="H13" s="3" t="n"/>
      <c r="I13" s="3" t="n"/>
      <c r="J13" s="3" t="n"/>
    </row>
    <row r="14">
      <c r="A14" s="8" t="inlineStr">
        <is>
          <t>Generated answer</t>
        </is>
      </c>
      <c r="B14" s="3" t="n"/>
      <c r="C14" s="3" t="n"/>
      <c r="D14" s="3" t="n"/>
      <c r="E14" s="3" t="n"/>
      <c r="F14" s="3" t="n"/>
      <c r="G14" s="3" t="n"/>
      <c r="H14" s="3" t="n"/>
      <c r="I14" s="3" t="n"/>
      <c r="J14" s="3" t="n"/>
    </row>
    <row r="15">
      <c r="A15" s="10" t="inlineStr">
        <is>
          <t>Paste the generated answer below.</t>
        </is>
      </c>
      <c r="B15" s="3" t="n"/>
      <c r="C15" s="3" t="n"/>
      <c r="D15" s="3" t="n"/>
      <c r="E15" s="3" t="n"/>
      <c r="F15" s="3" t="n"/>
      <c r="G15" s="3" t="n"/>
      <c r="H15" s="3" t="n"/>
      <c r="I15" s="3" t="n"/>
      <c r="J15" s="3" t="n"/>
    </row>
    <row r="16" ht="90" customHeight="1">
      <c r="A16" s="3" t="inlineStr"/>
      <c r="B16" s="3" t="n"/>
      <c r="C16" s="3" t="n"/>
      <c r="D16" s="3" t="n"/>
      <c r="E16" s="3" t="n"/>
      <c r="F16" s="3" t="n"/>
      <c r="G16" s="3" t="n"/>
      <c r="H16" s="3" t="n"/>
      <c r="I16" s="3" t="n"/>
      <c r="J16" s="3" t="n"/>
    </row>
    <row r="17" ht="30" customHeight="1">
      <c r="A17" s="3" t="n"/>
      <c r="B17" s="3" t="n"/>
      <c r="C17" s="3" t="n"/>
      <c r="D17" s="3" t="n"/>
      <c r="E17" s="3" t="n"/>
      <c r="F17" s="3" t="n"/>
      <c r="G17" s="3" t="n"/>
      <c r="H17" s="3" t="n"/>
      <c r="I17" s="3" t="n"/>
      <c r="J17" s="3" t="n"/>
    </row>
    <row r="18" ht="30" customHeight="1">
      <c r="A18" s="3" t="n"/>
      <c r="B18" s="3" t="n"/>
      <c r="C18" s="3" t="n"/>
      <c r="D18" s="3" t="n"/>
      <c r="E18" s="3" t="n"/>
      <c r="F18" s="3" t="n"/>
      <c r="G18" s="3" t="n"/>
      <c r="H18" s="3" t="n"/>
      <c r="I18" s="3" t="n"/>
      <c r="J18" s="3" t="n"/>
    </row>
    <row r="19">
      <c r="A19" s="9" t="inlineStr">
        <is>
          <t>Run ID</t>
        </is>
      </c>
      <c r="B19" s="3" t="inlineStr"/>
      <c r="C19" s="9" t="inlineStr">
        <is>
          <t>Run date</t>
        </is>
      </c>
      <c r="D19" s="3" t="inlineStr"/>
      <c r="E19" s="9" t="inlineStr">
        <is>
          <t>Model / prompt version</t>
        </is>
      </c>
      <c r="F19" s="3" t="inlineStr"/>
      <c r="G19" s="9" t="inlineStr">
        <is>
          <t>Corpus snapshot</t>
        </is>
      </c>
      <c r="H19" s="3" t="inlineStr"/>
      <c r="I19" s="3" t="n"/>
      <c r="J19" s="3" t="n"/>
    </row>
    <row r="20">
      <c r="A20" s="8" t="inlineStr">
        <is>
          <t>Retrieval set review</t>
        </is>
      </c>
      <c r="B20" s="3" t="n"/>
      <c r="C20" s="3" t="n"/>
      <c r="D20" s="3" t="n"/>
      <c r="E20" s="3" t="n"/>
      <c r="F20" s="3" t="n"/>
      <c r="G20" s="3" t="n"/>
      <c r="H20" s="3" t="n"/>
      <c r="I20" s="3" t="n"/>
      <c r="J20" s="3" t="n"/>
    </row>
    <row r="21">
      <c r="A21" s="11" t="inlineStr">
        <is>
          <t>Rank</t>
        </is>
      </c>
      <c r="B21" s="11" t="inlineStr">
        <is>
          <t>Retrieved source</t>
        </is>
      </c>
      <c r="C21" s="11" t="inlineStr">
        <is>
          <t>Source type</t>
        </is>
      </c>
      <c r="D21" s="11" t="inlineStr">
        <is>
          <t>Jurisdiction</t>
        </is>
      </c>
      <c r="E21" s="11" t="inlineStr">
        <is>
          <t>URL / Document ID</t>
        </is>
      </c>
      <c r="F21" s="11" t="inlineStr">
        <is>
          <t>Returned by engine?</t>
        </is>
      </c>
      <c r="G21" s="11" t="inlineStr">
        <is>
          <t>Required source?</t>
        </is>
      </c>
      <c r="H21" s="11" t="inlineStr">
        <is>
          <t>Trap?</t>
        </is>
      </c>
      <c r="I21" s="11" t="inlineStr">
        <is>
          <t>Expert verdict</t>
        </is>
      </c>
      <c r="J21" s="11" t="inlineStr">
        <is>
          <t>Notes</t>
        </is>
      </c>
    </row>
    <row r="22" ht="44" customHeight="1">
      <c r="A22" s="4" t="n">
        <v>1</v>
      </c>
      <c r="B22" s="4" t="n"/>
      <c r="C22" s="4" t="n"/>
      <c r="D22" s="4" t="n"/>
      <c r="E22" s="4" t="n"/>
      <c r="F22" s="4" t="n"/>
      <c r="G22" s="4" t="n"/>
      <c r="H22" s="4" t="n"/>
      <c r="I22" s="4" t="n"/>
      <c r="J22" s="4" t="n"/>
    </row>
    <row r="23" ht="44" customHeight="1">
      <c r="A23" s="4" t="n">
        <v>2</v>
      </c>
      <c r="B23" s="4" t="n"/>
      <c r="C23" s="4" t="n"/>
      <c r="D23" s="4" t="n"/>
      <c r="E23" s="4" t="n"/>
      <c r="F23" s="4" t="n"/>
      <c r="G23" s="4" t="n"/>
      <c r="H23" s="4" t="n"/>
      <c r="I23" s="4" t="n"/>
      <c r="J23" s="4" t="n"/>
    </row>
    <row r="24" ht="44" customHeight="1">
      <c r="A24" s="4" t="n">
        <v>3</v>
      </c>
      <c r="B24" s="4" t="n"/>
      <c r="C24" s="4" t="n"/>
      <c r="D24" s="4" t="n"/>
      <c r="E24" s="4" t="n"/>
      <c r="F24" s="4" t="n"/>
      <c r="G24" s="4" t="n"/>
      <c r="H24" s="4" t="n"/>
      <c r="I24" s="4" t="n"/>
      <c r="J24" s="4" t="n"/>
    </row>
    <row r="25" ht="44" customHeight="1">
      <c r="A25" s="4" t="n">
        <v>4</v>
      </c>
      <c r="B25" s="4" t="n"/>
      <c r="C25" s="4" t="n"/>
      <c r="D25" s="4" t="n"/>
      <c r="E25" s="4" t="n"/>
      <c r="F25" s="4" t="n"/>
      <c r="G25" s="4" t="n"/>
      <c r="H25" s="4" t="n"/>
      <c r="I25" s="4" t="n"/>
      <c r="J25" s="4" t="n"/>
    </row>
    <row r="26" ht="44" customHeight="1">
      <c r="A26" s="4" t="n">
        <v>5</v>
      </c>
      <c r="B26" s="4" t="n"/>
      <c r="C26" s="4" t="n"/>
      <c r="D26" s="4" t="n"/>
      <c r="E26" s="4" t="n"/>
      <c r="F26" s="4" t="n"/>
      <c r="G26" s="4" t="n"/>
      <c r="H26" s="4" t="n"/>
      <c r="I26" s="4" t="n"/>
      <c r="J26" s="4" t="n"/>
    </row>
    <row r="27" ht="44" customHeight="1">
      <c r="A27" s="4" t="n">
        <v>6</v>
      </c>
      <c r="B27" s="4" t="n"/>
      <c r="C27" s="4" t="n"/>
      <c r="D27" s="4" t="n"/>
      <c r="E27" s="4" t="n"/>
      <c r="F27" s="4" t="n"/>
      <c r="G27" s="4" t="n"/>
      <c r="H27" s="4" t="n"/>
      <c r="I27" s="4" t="n"/>
      <c r="J27" s="4" t="n"/>
    </row>
    <row r="28" ht="44" customHeight="1">
      <c r="A28" s="4" t="n">
        <v>7</v>
      </c>
      <c r="B28" s="4" t="n"/>
      <c r="C28" s="4" t="n"/>
      <c r="D28" s="4" t="n"/>
      <c r="E28" s="4" t="n"/>
      <c r="F28" s="4" t="n"/>
      <c r="G28" s="4" t="n"/>
      <c r="H28" s="4" t="n"/>
      <c r="I28" s="4" t="n"/>
      <c r="J28" s="4" t="n"/>
    </row>
    <row r="29" ht="44" customHeight="1">
      <c r="A29" s="4" t="n">
        <v>8</v>
      </c>
      <c r="B29" s="4" t="n"/>
      <c r="C29" s="4" t="n"/>
      <c r="D29" s="4" t="n"/>
      <c r="E29" s="4" t="n"/>
      <c r="F29" s="4" t="n"/>
      <c r="G29" s="4" t="n"/>
      <c r="H29" s="4" t="n"/>
      <c r="I29" s="4" t="n"/>
      <c r="J29" s="4" t="n"/>
    </row>
    <row r="30" ht="44" customHeight="1">
      <c r="A30" s="4" t="n">
        <v>9</v>
      </c>
      <c r="B30" s="4" t="n"/>
      <c r="C30" s="4" t="n"/>
      <c r="D30" s="4" t="n"/>
      <c r="E30" s="4" t="n"/>
      <c r="F30" s="4" t="n"/>
      <c r="G30" s="4" t="n"/>
      <c r="H30" s="4" t="n"/>
      <c r="I30" s="4" t="n"/>
      <c r="J30" s="4" t="n"/>
    </row>
    <row r="31" ht="44" customHeight="1">
      <c r="A31" s="4" t="n">
        <v>10</v>
      </c>
      <c r="B31" s="4" t="n"/>
      <c r="C31" s="4" t="n"/>
      <c r="D31" s="4" t="n"/>
      <c r="E31" s="4" t="n"/>
      <c r="F31" s="4" t="n"/>
      <c r="G31" s="4" t="n"/>
      <c r="H31" s="4" t="n"/>
      <c r="I31" s="4" t="n"/>
      <c r="J31" s="4" t="n"/>
    </row>
    <row r="32" ht="44" customHeight="1">
      <c r="A32" s="4" t="n">
        <v>11</v>
      </c>
      <c r="B32" s="4" t="n"/>
      <c r="C32" s="4" t="n"/>
      <c r="D32" s="4" t="n"/>
      <c r="E32" s="4" t="n"/>
      <c r="F32" s="4" t="n"/>
      <c r="G32" s="4" t="n"/>
      <c r="H32" s="4" t="n"/>
      <c r="I32" s="4" t="n"/>
      <c r="J32" s="4" t="n"/>
    </row>
    <row r="33" ht="44" customHeight="1">
      <c r="A33" s="4" t="n">
        <v>12</v>
      </c>
      <c r="B33" s="4" t="n"/>
      <c r="C33" s="4" t="n"/>
      <c r="D33" s="4" t="n"/>
      <c r="E33" s="4" t="n"/>
      <c r="F33" s="4" t="n"/>
      <c r="G33" s="4" t="n"/>
      <c r="H33" s="4" t="n"/>
      <c r="I33" s="4" t="n"/>
      <c r="J33" s="4" t="n"/>
    </row>
    <row r="34" ht="44" customHeight="1">
      <c r="A34" s="4" t="n">
        <v>13</v>
      </c>
      <c r="B34" s="4" t="n"/>
      <c r="C34" s="4" t="n"/>
      <c r="D34" s="4" t="n"/>
      <c r="E34" s="4" t="n"/>
      <c r="F34" s="4" t="n"/>
      <c r="G34" s="4" t="n"/>
      <c r="H34" s="4" t="n"/>
      <c r="I34" s="4" t="n"/>
      <c r="J34" s="4" t="n"/>
    </row>
    <row r="35" ht="44" customHeight="1">
      <c r="A35" s="4" t="n">
        <v>14</v>
      </c>
      <c r="B35" s="4" t="n"/>
      <c r="C35" s="4" t="n"/>
      <c r="D35" s="4" t="n"/>
      <c r="E35" s="4" t="n"/>
      <c r="F35" s="4" t="n"/>
      <c r="G35" s="4" t="n"/>
      <c r="H35" s="4" t="n"/>
      <c r="I35" s="4" t="n"/>
      <c r="J35" s="4" t="n"/>
    </row>
    <row r="36" ht="44" customHeight="1">
      <c r="A36" s="4" t="n">
        <v>15</v>
      </c>
      <c r="B36" s="4" t="n"/>
      <c r="C36" s="4" t="n"/>
      <c r="D36" s="4" t="n"/>
      <c r="E36" s="4" t="n"/>
      <c r="F36" s="4" t="n"/>
      <c r="G36" s="4" t="n"/>
      <c r="H36" s="4" t="n"/>
      <c r="I36" s="4" t="n"/>
      <c r="J36" s="4" t="n"/>
    </row>
    <row r="37">
      <c r="A37" s="3" t="n"/>
      <c r="B37" s="3" t="n"/>
      <c r="C37" s="3" t="n"/>
      <c r="D37" s="3" t="n"/>
      <c r="E37" s="3" t="n"/>
      <c r="F37" s="3" t="n"/>
      <c r="G37" s="3" t="n"/>
      <c r="H37" s="3" t="n"/>
      <c r="I37" s="3" t="n"/>
      <c r="J37" s="3" t="n"/>
    </row>
    <row r="38">
      <c r="A38" s="8" t="inlineStr">
        <is>
          <t>Claim-by-claim review</t>
        </is>
      </c>
      <c r="B38" s="3" t="n"/>
      <c r="C38" s="3" t="n"/>
      <c r="D38" s="3" t="n"/>
      <c r="E38" s="3" t="n"/>
      <c r="F38" s="3" t="n"/>
      <c r="G38" s="3" t="n"/>
      <c r="H38" s="3" t="n"/>
      <c r="I38" s="3" t="n"/>
      <c r="J38" s="3" t="n"/>
    </row>
    <row r="39">
      <c r="A39" s="11" t="inlineStr">
        <is>
          <t>Claim ID</t>
        </is>
      </c>
      <c r="B39" s="11" t="inlineStr">
        <is>
          <t>Claim from answer</t>
        </is>
      </c>
      <c r="C39" s="11" t="inlineStr">
        <is>
          <t>Citation used</t>
        </is>
      </c>
      <c r="D39" s="11" t="inlineStr">
        <is>
          <t>Expert verdict</t>
        </is>
      </c>
      <c r="E39" s="11" t="inlineStr">
        <is>
          <t>Issue type</t>
        </is>
      </c>
      <c r="F39" s="11" t="inlineStr">
        <is>
          <t>Cited passage / source note</t>
        </is>
      </c>
      <c r="G39" s="11" t="inlineStr">
        <is>
          <t>Required fix / comment</t>
        </is>
      </c>
      <c r="H39" s="11" t="inlineStr">
        <is>
          <t>Reviewer</t>
        </is>
      </c>
      <c r="I39" s="11" t="n"/>
      <c r="J39" s="11" t="n"/>
    </row>
    <row r="40" ht="54" customHeight="1">
      <c r="A40" s="4" t="n">
        <v>1</v>
      </c>
      <c r="B40" s="4" t="n"/>
      <c r="C40" s="4" t="n"/>
      <c r="D40" s="4" t="n"/>
      <c r="E40" s="4" t="n"/>
      <c r="F40" s="4" t="n"/>
      <c r="G40" s="4" t="n"/>
      <c r="H40" s="4" t="n"/>
      <c r="I40" s="3" t="n"/>
      <c r="J40" s="3" t="n"/>
    </row>
    <row r="41" ht="54" customHeight="1">
      <c r="A41" s="4" t="n">
        <v>2</v>
      </c>
      <c r="B41" s="4" t="n"/>
      <c r="C41" s="4" t="n"/>
      <c r="D41" s="4" t="n"/>
      <c r="E41" s="4" t="n"/>
      <c r="F41" s="4" t="n"/>
      <c r="G41" s="4" t="n"/>
      <c r="H41" s="4" t="n"/>
      <c r="I41" s="3" t="n"/>
      <c r="J41" s="3" t="n"/>
    </row>
    <row r="42" ht="54" customHeight="1">
      <c r="A42" s="4" t="n">
        <v>3</v>
      </c>
      <c r="B42" s="4" t="n"/>
      <c r="C42" s="4" t="n"/>
      <c r="D42" s="4" t="n"/>
      <c r="E42" s="4" t="n"/>
      <c r="F42" s="4" t="n"/>
      <c r="G42" s="4" t="n"/>
      <c r="H42" s="4" t="n"/>
      <c r="I42" s="3" t="n"/>
      <c r="J42" s="3" t="n"/>
    </row>
    <row r="43" ht="54" customHeight="1">
      <c r="A43" s="4" t="n">
        <v>4</v>
      </c>
      <c r="B43" s="4" t="n"/>
      <c r="C43" s="4" t="n"/>
      <c r="D43" s="4" t="n"/>
      <c r="E43" s="4" t="n"/>
      <c r="F43" s="4" t="n"/>
      <c r="G43" s="4" t="n"/>
      <c r="H43" s="4" t="n"/>
      <c r="I43" s="3" t="n"/>
      <c r="J43" s="3" t="n"/>
    </row>
    <row r="44" ht="54" customHeight="1">
      <c r="A44" s="4" t="n">
        <v>5</v>
      </c>
      <c r="B44" s="4" t="n"/>
      <c r="C44" s="4" t="n"/>
      <c r="D44" s="4" t="n"/>
      <c r="E44" s="4" t="n"/>
      <c r="F44" s="4" t="n"/>
      <c r="G44" s="4" t="n"/>
      <c r="H44" s="4" t="n"/>
      <c r="I44" s="3" t="n"/>
      <c r="J44" s="3" t="n"/>
    </row>
    <row r="45" ht="54" customHeight="1">
      <c r="A45" s="4" t="n">
        <v>6</v>
      </c>
      <c r="B45" s="4" t="n"/>
      <c r="C45" s="4" t="n"/>
      <c r="D45" s="4" t="n"/>
      <c r="E45" s="4" t="n"/>
      <c r="F45" s="4" t="n"/>
      <c r="G45" s="4" t="n"/>
      <c r="H45" s="4" t="n"/>
      <c r="I45" s="3" t="n"/>
      <c r="J45" s="3" t="n"/>
    </row>
    <row r="46" ht="54" customHeight="1">
      <c r="A46" s="4" t="n">
        <v>7</v>
      </c>
      <c r="B46" s="4" t="n"/>
      <c r="C46" s="4" t="n"/>
      <c r="D46" s="4" t="n"/>
      <c r="E46" s="4" t="n"/>
      <c r="F46" s="4" t="n"/>
      <c r="G46" s="4" t="n"/>
      <c r="H46" s="4" t="n"/>
      <c r="I46" s="3" t="n"/>
      <c r="J46" s="3" t="n"/>
    </row>
    <row r="47" ht="54" customHeight="1">
      <c r="A47" s="4" t="n">
        <v>8</v>
      </c>
      <c r="B47" s="4" t="n"/>
      <c r="C47" s="4" t="n"/>
      <c r="D47" s="4" t="n"/>
      <c r="E47" s="4" t="n"/>
      <c r="F47" s="4" t="n"/>
      <c r="G47" s="4" t="n"/>
      <c r="H47" s="4" t="n"/>
      <c r="I47" s="3" t="n"/>
      <c r="J47" s="3" t="n"/>
    </row>
    <row r="48" ht="54" customHeight="1">
      <c r="A48" s="4" t="n">
        <v>9</v>
      </c>
      <c r="B48" s="4" t="n"/>
      <c r="C48" s="4" t="n"/>
      <c r="D48" s="4" t="n"/>
      <c r="E48" s="4" t="n"/>
      <c r="F48" s="4" t="n"/>
      <c r="G48" s="4" t="n"/>
      <c r="H48" s="4" t="n"/>
      <c r="I48" s="3" t="n"/>
      <c r="J48" s="3" t="n"/>
    </row>
    <row r="49" ht="54" customHeight="1">
      <c r="A49" s="4" t="n">
        <v>10</v>
      </c>
      <c r="B49" s="4" t="n"/>
      <c r="C49" s="4" t="n"/>
      <c r="D49" s="4" t="n"/>
      <c r="E49" s="4" t="n"/>
      <c r="F49" s="4" t="n"/>
      <c r="G49" s="4" t="n"/>
      <c r="H49" s="4" t="n"/>
      <c r="I49" s="3" t="n"/>
      <c r="J49" s="3" t="n"/>
    </row>
    <row r="50" ht="54" customHeight="1">
      <c r="A50" s="4" t="n">
        <v>11</v>
      </c>
      <c r="B50" s="4" t="n"/>
      <c r="C50" s="4" t="n"/>
      <c r="D50" s="4" t="n"/>
      <c r="E50" s="4" t="n"/>
      <c r="F50" s="4" t="n"/>
      <c r="G50" s="4" t="n"/>
      <c r="H50" s="4" t="n"/>
      <c r="I50" s="3" t="n"/>
      <c r="J50" s="3" t="n"/>
    </row>
    <row r="51" ht="54" customHeight="1">
      <c r="A51" s="4" t="n">
        <v>12</v>
      </c>
      <c r="B51" s="4" t="n"/>
      <c r="C51" s="4" t="n"/>
      <c r="D51" s="4" t="n"/>
      <c r="E51" s="4" t="n"/>
      <c r="F51" s="4" t="n"/>
      <c r="G51" s="4" t="n"/>
      <c r="H51" s="4" t="n"/>
      <c r="I51" s="3" t="n"/>
      <c r="J51" s="3" t="n"/>
    </row>
    <row r="52" ht="54" customHeight="1">
      <c r="A52" s="4" t="n">
        <v>13</v>
      </c>
      <c r="B52" s="4" t="n"/>
      <c r="C52" s="4" t="n"/>
      <c r="D52" s="4" t="n"/>
      <c r="E52" s="4" t="n"/>
      <c r="F52" s="4" t="n"/>
      <c r="G52" s="4" t="n"/>
      <c r="H52" s="4" t="n"/>
      <c r="I52" s="3" t="n"/>
      <c r="J52" s="3" t="n"/>
    </row>
    <row r="53" ht="54" customHeight="1">
      <c r="A53" s="4" t="n">
        <v>14</v>
      </c>
      <c r="B53" s="4" t="n"/>
      <c r="C53" s="4" t="n"/>
      <c r="D53" s="4" t="n"/>
      <c r="E53" s="4" t="n"/>
      <c r="F53" s="4" t="n"/>
      <c r="G53" s="4" t="n"/>
      <c r="H53" s="4" t="n"/>
      <c r="I53" s="3" t="n"/>
      <c r="J53" s="3" t="n"/>
    </row>
    <row r="54" ht="54" customHeight="1">
      <c r="A54" s="4" t="n">
        <v>15</v>
      </c>
      <c r="B54" s="4" t="n"/>
      <c r="C54" s="4" t="n"/>
      <c r="D54" s="4" t="n"/>
      <c r="E54" s="4" t="n"/>
      <c r="F54" s="4" t="n"/>
      <c r="G54" s="4" t="n"/>
      <c r="H54" s="4" t="n"/>
      <c r="I54" s="3" t="n"/>
      <c r="J54" s="3" t="n"/>
    </row>
    <row r="55" ht="54" customHeight="1">
      <c r="A55" s="4" t="n">
        <v>16</v>
      </c>
      <c r="B55" s="4" t="n"/>
      <c r="C55" s="4" t="n"/>
      <c r="D55" s="4" t="n"/>
      <c r="E55" s="4" t="n"/>
      <c r="F55" s="4" t="n"/>
      <c r="G55" s="4" t="n"/>
      <c r="H55" s="4" t="n"/>
      <c r="I55" s="3" t="n"/>
      <c r="J55" s="3" t="n"/>
    </row>
    <row r="56" ht="54" customHeight="1">
      <c r="A56" s="4" t="n">
        <v>17</v>
      </c>
      <c r="B56" s="4" t="n"/>
      <c r="C56" s="4" t="n"/>
      <c r="D56" s="4" t="n"/>
      <c r="E56" s="4" t="n"/>
      <c r="F56" s="4" t="n"/>
      <c r="G56" s="4" t="n"/>
      <c r="H56" s="4" t="n"/>
      <c r="I56" s="3" t="n"/>
      <c r="J56" s="3" t="n"/>
    </row>
    <row r="57" ht="54" customHeight="1">
      <c r="A57" s="4" t="n">
        <v>18</v>
      </c>
      <c r="B57" s="4" t="n"/>
      <c r="C57" s="4" t="n"/>
      <c r="D57" s="4" t="n"/>
      <c r="E57" s="4" t="n"/>
      <c r="F57" s="4" t="n"/>
      <c r="G57" s="4" t="n"/>
      <c r="H57" s="4" t="n"/>
      <c r="I57" s="3" t="n"/>
      <c r="J57" s="3" t="n"/>
    </row>
    <row r="58" ht="54" customHeight="1">
      <c r="A58" s="4" t="n">
        <v>19</v>
      </c>
      <c r="B58" s="4" t="n"/>
      <c r="C58" s="4" t="n"/>
      <c r="D58" s="4" t="n"/>
      <c r="E58" s="4" t="n"/>
      <c r="F58" s="4" t="n"/>
      <c r="G58" s="4" t="n"/>
      <c r="H58" s="4" t="n"/>
      <c r="I58" s="3" t="n"/>
      <c r="J58" s="3" t="n"/>
    </row>
    <row r="59" ht="54" customHeight="1">
      <c r="A59" s="4" t="n">
        <v>20</v>
      </c>
      <c r="B59" s="4" t="n"/>
      <c r="C59" s="4" t="n"/>
      <c r="D59" s="4" t="n"/>
      <c r="E59" s="4" t="n"/>
      <c r="F59" s="4" t="n"/>
      <c r="G59" s="4" t="n"/>
      <c r="H59" s="4" t="n"/>
      <c r="I59" s="3" t="n"/>
      <c r="J59" s="3" t="n"/>
    </row>
    <row r="60">
      <c r="A60" s="3" t="n"/>
      <c r="B60" s="3" t="n"/>
      <c r="C60" s="3" t="n"/>
      <c r="D60" s="3" t="n"/>
      <c r="E60" s="3" t="n"/>
      <c r="F60" s="3" t="n"/>
      <c r="G60" s="3" t="n"/>
      <c r="H60" s="3" t="n"/>
      <c r="I60" s="3" t="n"/>
      <c r="J60" s="3" t="n"/>
    </row>
    <row r="61">
      <c r="A61" s="8" t="inlineStr">
        <is>
          <t>Final expert verdict</t>
        </is>
      </c>
      <c r="B61" s="3" t="n"/>
      <c r="C61" s="3" t="n"/>
      <c r="D61" s="3" t="n"/>
      <c r="E61" s="3" t="n"/>
      <c r="F61" s="3" t="n"/>
      <c r="G61" s="3" t="n"/>
      <c r="H61" s="3" t="n"/>
      <c r="I61" s="3" t="n"/>
      <c r="J61" s="3" t="n"/>
    </row>
    <row r="62">
      <c r="A62" s="12" t="inlineStr">
        <is>
          <t>Is the answer acceptable?</t>
        </is>
      </c>
      <c r="B62" s="4" t="inlineStr"/>
      <c r="C62" s="4" t="n"/>
      <c r="D62" s="4" t="n"/>
      <c r="E62" s="4" t="n"/>
      <c r="F62" s="4" t="n"/>
      <c r="G62" s="4" t="n"/>
      <c r="H62" s="4" t="n"/>
      <c r="I62" s="3" t="n"/>
      <c r="J62" s="3" t="n"/>
    </row>
    <row r="63" ht="54" customHeight="1">
      <c r="A63" s="12" t="inlineStr">
        <is>
          <t>Overall comment / required fixes</t>
        </is>
      </c>
      <c r="B63" s="4" t="n"/>
      <c r="C63" s="4" t="n"/>
      <c r="D63" s="4" t="n"/>
      <c r="E63" s="4" t="n"/>
      <c r="F63" s="4" t="n"/>
      <c r="G63" s="4" t="n"/>
      <c r="H63" s="4" t="n"/>
      <c r="I63" s="3" t="n"/>
      <c r="J63" s="3" t="n"/>
    </row>
    <row r="64">
      <c r="A64" s="4" t="n"/>
      <c r="B64" s="4" t="n"/>
      <c r="C64" s="4" t="n"/>
      <c r="D64" s="4" t="n"/>
      <c r="E64" s="4" t="n"/>
      <c r="F64" s="4" t="n"/>
      <c r="G64" s="4" t="n"/>
      <c r="H64" s="4" t="n"/>
      <c r="I64" s="3" t="n"/>
      <c r="J64" s="3" t="n"/>
    </row>
    <row r="65">
      <c r="A65" s="12" t="inlineStr">
        <is>
          <t>Missing key sources?</t>
        </is>
      </c>
      <c r="B65" s="4" t="n"/>
      <c r="C65" s="4" t="n"/>
      <c r="D65" s="4" t="n"/>
      <c r="E65" s="4" t="n"/>
      <c r="F65" s="4" t="n"/>
      <c r="G65" s="4" t="n"/>
      <c r="H65" s="4" t="n"/>
      <c r="I65" s="3" t="n"/>
      <c r="J65" s="3" t="n"/>
    </row>
    <row r="66">
      <c r="A66" s="12" t="inlineStr">
        <is>
          <t>Review completed?</t>
        </is>
      </c>
      <c r="B66" s="4" t="inlineStr"/>
      <c r="C66" s="4" t="n"/>
      <c r="D66" s="4" t="n"/>
      <c r="E66" s="4" t="n"/>
      <c r="F66" s="4" t="n"/>
      <c r="G66" s="4" t="n"/>
      <c r="H66" s="4" t="n"/>
      <c r="I66" s="3" t="n"/>
      <c r="J66" s="3" t="n"/>
    </row>
    <row r="67">
      <c r="A67" s="12" t="inlineStr">
        <is>
          <t>Reviewer</t>
        </is>
      </c>
      <c r="B67" s="4" t="n"/>
      <c r="C67" s="12" t="inlineStr">
        <is>
          <t>Review date</t>
        </is>
      </c>
      <c r="D67" s="5" t="inlineStr"/>
      <c r="E67" s="4" t="n"/>
      <c r="F67" s="4" t="n"/>
      <c r="G67" s="4" t="n"/>
      <c r="H67" s="4" t="n"/>
      <c r="I67" s="3" t="n"/>
      <c r="J67" s="3" t="n"/>
    </row>
    <row r="68">
      <c r="A68" s="3" t="n"/>
      <c r="B68" s="3" t="n"/>
      <c r="C68" s="3" t="n"/>
      <c r="D68" s="3" t="n"/>
      <c r="E68" s="3" t="n"/>
      <c r="F68" s="3" t="n"/>
      <c r="G68" s="3" t="n"/>
      <c r="H68" s="3" t="n"/>
      <c r="I68" s="3" t="n"/>
      <c r="J68" s="3" t="n"/>
    </row>
    <row r="69">
      <c r="A69" s="8" t="inlineStr">
        <is>
          <t>Original source notes</t>
        </is>
      </c>
      <c r="B69" s="3" t="n"/>
      <c r="C69" s="3" t="n"/>
      <c r="D69" s="3" t="n"/>
      <c r="E69" s="3" t="n"/>
      <c r="F69" s="3" t="n"/>
      <c r="G69" s="3" t="n"/>
      <c r="H69" s="3" t="n"/>
      <c r="I69" s="3" t="n"/>
      <c r="J69" s="3" t="n"/>
    </row>
    <row r="70">
      <c r="A70" s="12" t="inlineStr">
        <is>
          <t>WAB notes</t>
        </is>
      </c>
      <c r="B70" s="4" t="inlineStr"/>
      <c r="C70" s="4" t="n"/>
      <c r="D70" s="4" t="n"/>
      <c r="E70" s="4" t="n"/>
      <c r="F70" s="4" t="n"/>
      <c r="G70" s="4" t="n"/>
      <c r="H70" s="4" t="n"/>
      <c r="I70" s="3" t="n"/>
      <c r="J70" s="3" t="n"/>
    </row>
    <row r="71" ht="54" customHeight="1">
      <c r="A71" s="12" t="inlineStr">
        <is>
          <t>Reviewer notes from question approval</t>
        </is>
      </c>
      <c r="B71" s="4" t="inlineStr">
        <is>
          <t>Question to be replaced by this one : What behavior during a French dawn raid (OVS) exposes a company to obstruction liability, and what training precautions follow from recent enforcement?</t>
        </is>
      </c>
      <c r="C71" s="4" t="n"/>
      <c r="D71" s="4" t="n"/>
      <c r="E71" s="4" t="n"/>
      <c r="F71" s="4" t="n"/>
      <c r="G71" s="4" t="n"/>
      <c r="H71" s="4" t="n"/>
      <c r="I71" s="3" t="n"/>
      <c r="J71" s="3" t="n"/>
    </row>
    <row r="72">
      <c r="A72" s="4" t="n"/>
      <c r="B72" s="4" t="n"/>
      <c r="C72" s="4" t="n"/>
      <c r="D72" s="4" t="n"/>
      <c r="E72" s="4" t="n"/>
      <c r="F72" s="4" t="n"/>
      <c r="G72" s="4" t="n"/>
      <c r="H72" s="4" t="n"/>
      <c r="I72" s="3" t="n"/>
      <c r="J72" s="3" t="n"/>
    </row>
  </sheetData>
  <autoFilter ref="A21:J36"/>
  <mergeCells count="20">
    <mergeCell ref="B65:H65"/>
    <mergeCell ref="B71:H72"/>
    <mergeCell ref="B6:H6"/>
    <mergeCell ref="A20:J20"/>
    <mergeCell ref="A1:H1"/>
    <mergeCell ref="B5:H5"/>
    <mergeCell ref="A61:H61"/>
    <mergeCell ref="A69:H69"/>
    <mergeCell ref="B4:H4"/>
    <mergeCell ref="B62:H62"/>
    <mergeCell ref="B7:H7"/>
    <mergeCell ref="B66:H66"/>
    <mergeCell ref="A3:H3"/>
    <mergeCell ref="A16:H18"/>
    <mergeCell ref="B70:H70"/>
    <mergeCell ref="A14:H14"/>
    <mergeCell ref="B63:H64"/>
    <mergeCell ref="B8:H8"/>
    <mergeCell ref="B10:H12"/>
    <mergeCell ref="A38:H38"/>
  </mergeCells>
  <dataValidations count="9">
    <dataValidation sqref="C22:C36" showDropDown="0" showInputMessage="0" showErrorMessage="0" allowBlank="1" type="list">
      <formula1>=Lists!$F$2:$F$5</formula1>
    </dataValidation>
    <dataValidation sqref="F22:F36" showDropDown="0" showInputMessage="0" showErrorMessage="0" allowBlank="1" type="list">
      <formula1>=Lists!$G$2:$G$4</formula1>
    </dataValidation>
    <dataValidation sqref="G22:G36" showDropDown="0" showInputMessage="0" showErrorMessage="0" allowBlank="1" type="list">
      <formula1>=Lists!$G$2:$G$4</formula1>
    </dataValidation>
    <dataValidation sqref="H22:H36" showDropDown="0" showInputMessage="0" showErrorMessage="0" allowBlank="1" type="list">
      <formula1>=Lists!$G$2:$G$4</formula1>
    </dataValidation>
    <dataValidation sqref="I22:I36" showDropDown="0" showInputMessage="0" showErrorMessage="0" allowBlank="1" type="list">
      <formula1>=Lists!$H$2:$H$6</formula1>
    </dataValidation>
    <dataValidation sqref="D40:D59" showDropDown="0" showInputMessage="0" showErrorMessage="0" allowBlank="1" type="list">
      <formula1>=Lists!$D$2:$D$7</formula1>
    </dataValidation>
    <dataValidation sqref="E40:E59" showDropDown="0" showInputMessage="0" showErrorMessage="0" allowBlank="1" type="list">
      <formula1>=Lists!$E$2:$E$8</formula1>
    </dataValidation>
    <dataValidation sqref="B62" showDropDown="0" showInputMessage="0" showErrorMessage="0" allowBlank="1" type="list">
      <formula1>=Lists!$C$2:$C$4</formula1>
    </dataValidation>
    <dataValidation sqref="B66" showDropDown="0" showInputMessage="0" showErrorMessage="0" allowBlank="1" type="list">
      <formula1>=Lists!$A$2:$A$3</formula1>
    </dataValidation>
  </dataValidations>
  <pageMargins left="0.75" right="0.75" top="1" bottom="1" header="0.5" footer="0.5"/>
</worksheet>
</file>

<file path=xl/worksheets/sheet35.xml><?xml version="1.0" encoding="utf-8"?>
<worksheet xmlns="http://schemas.openxmlformats.org/spreadsheetml/2006/main">
  <sheetPr>
    <outlinePr summaryBelow="1" summaryRight="1"/>
    <pageSetUpPr/>
  </sheetPr>
  <dimension ref="A1:J72"/>
  <sheetViews>
    <sheetView showGridLines="0" workbookViewId="0">
      <pane ySplit="21" topLeftCell="A22" activePane="bottomLeft" state="frozen"/>
      <selection pane="bottomLeft" activeCell="A1" sqref="A1"/>
    </sheetView>
  </sheetViews>
  <sheetFormatPr baseColWidth="8" defaultRowHeight="15"/>
  <cols>
    <col width="12" customWidth="1" min="1" max="1"/>
    <col width="34" customWidth="1" min="2" max="2"/>
    <col width="22" customWidth="1" min="3" max="3"/>
    <col width="18" customWidth="1" min="4" max="4"/>
    <col width="20" customWidth="1" min="5" max="5"/>
    <col width="30" customWidth="1" min="6" max="6"/>
    <col width="34" customWidth="1" min="7" max="7"/>
    <col width="18" customWidth="1" min="8" max="8"/>
    <col width="18" customWidth="1" min="9" max="9"/>
    <col width="30" customWidth="1" min="10" max="10"/>
  </cols>
  <sheetData>
    <row r="1" ht="28" customHeight="1">
      <c r="A1" s="6" t="inlineStr">
        <is>
          <t>Q38 — Expert Review</t>
        </is>
      </c>
      <c r="B1" s="3" t="n"/>
      <c r="C1" s="3" t="n"/>
      <c r="D1" s="3" t="n"/>
      <c r="E1" s="3" t="n"/>
      <c r="F1" s="3" t="n"/>
      <c r="G1" s="3" t="n"/>
      <c r="H1" s="3" t="n"/>
      <c r="I1" s="3" t="n"/>
      <c r="J1" s="3" t="n"/>
    </row>
    <row r="2">
      <c r="A2" s="3" t="n"/>
      <c r="B2" s="3" t="n"/>
      <c r="C2" s="3" t="n"/>
      <c r="D2" s="3" t="n"/>
      <c r="E2" s="3" t="n"/>
      <c r="F2" s="3" t="n"/>
      <c r="G2" s="3" t="n"/>
      <c r="H2" s="3" t="n"/>
      <c r="I2" s="3" t="n"/>
      <c r="J2" s="3" t="n"/>
    </row>
    <row r="3">
      <c r="A3" s="8" t="inlineStr">
        <is>
          <t>Question metadata</t>
        </is>
      </c>
      <c r="B3" s="3" t="n"/>
      <c r="C3" s="3" t="n"/>
      <c r="D3" s="3" t="n"/>
      <c r="E3" s="3" t="n"/>
      <c r="F3" s="3" t="n"/>
      <c r="G3" s="3" t="n"/>
      <c r="H3" s="3" t="n"/>
      <c r="I3" s="3" t="n"/>
      <c r="J3" s="3" t="n"/>
    </row>
    <row r="4">
      <c r="A4" s="9" t="inlineStr">
        <is>
          <t>Question ID</t>
        </is>
      </c>
      <c r="B4" s="3" t="n">
        <v>38</v>
      </c>
      <c r="C4" s="3" t="n"/>
      <c r="D4" s="3" t="n"/>
      <c r="E4" s="3" t="n"/>
      <c r="F4" s="3" t="n"/>
      <c r="G4" s="3" t="n"/>
      <c r="H4" s="3" t="n"/>
      <c r="I4" s="3" t="n"/>
      <c r="J4" s="3" t="n"/>
    </row>
    <row r="5">
      <c r="A5" s="9" t="inlineStr">
        <is>
          <t>Topic</t>
        </is>
      </c>
      <c r="B5" s="3" t="inlineStr">
        <is>
          <t>Dawn raids — questioning staff</t>
        </is>
      </c>
      <c r="C5" s="3" t="n"/>
      <c r="D5" s="3" t="n"/>
      <c r="E5" s="3" t="n"/>
      <c r="F5" s="3" t="n"/>
      <c r="G5" s="3" t="n"/>
      <c r="H5" s="3" t="n"/>
      <c r="I5" s="3" t="n"/>
      <c r="J5" s="3" t="n"/>
    </row>
    <row r="6">
      <c r="A6" s="9" t="inlineStr">
        <is>
          <t>Scope</t>
        </is>
      </c>
      <c r="B6" s="3" t="inlineStr">
        <is>
          <t>EU</t>
        </is>
      </c>
      <c r="C6" s="3" t="n"/>
      <c r="D6" s="3" t="n"/>
      <c r="E6" s="3" t="n"/>
      <c r="F6" s="3" t="n"/>
      <c r="G6" s="3" t="n"/>
      <c r="H6" s="3" t="n"/>
      <c r="I6" s="3" t="n"/>
      <c r="J6" s="3" t="n"/>
    </row>
    <row r="7">
      <c r="A7" s="9" t="inlineStr">
        <is>
          <t>Original reviewer</t>
        </is>
      </c>
      <c r="B7" s="3" t="inlineStr">
        <is>
          <t>Carolina</t>
        </is>
      </c>
      <c r="C7" s="3" t="n"/>
      <c r="D7" s="3" t="n"/>
      <c r="E7" s="3" t="n"/>
      <c r="F7" s="3" t="n"/>
      <c r="G7" s="3" t="n"/>
      <c r="H7" s="3" t="n"/>
      <c r="I7" s="3" t="n"/>
      <c r="J7" s="3" t="n"/>
    </row>
    <row r="8">
      <c r="A8" s="9" t="inlineStr">
        <is>
          <t>Original status</t>
        </is>
      </c>
      <c r="B8" s="3" t="inlineStr">
        <is>
          <t>Approved</t>
        </is>
      </c>
      <c r="C8" s="3" t="n"/>
      <c r="D8" s="3" t="n"/>
      <c r="E8" s="3" t="n"/>
      <c r="F8" s="3" t="n"/>
      <c r="G8" s="3" t="n"/>
      <c r="H8" s="3" t="n"/>
      <c r="I8" s="3" t="n"/>
      <c r="J8" s="3" t="n"/>
    </row>
    <row r="9">
      <c r="A9" s="3" t="n"/>
      <c r="B9" s="3" t="n"/>
      <c r="C9" s="3" t="n"/>
      <c r="D9" s="3" t="n"/>
      <c r="E9" s="3" t="n"/>
      <c r="F9" s="3" t="n"/>
      <c r="G9" s="3" t="n"/>
      <c r="H9" s="3" t="n"/>
      <c r="I9" s="3" t="n"/>
      <c r="J9" s="3" t="n"/>
    </row>
    <row r="10" ht="45" customHeight="1">
      <c r="A10" s="9" t="inlineStr">
        <is>
          <t>Question</t>
        </is>
      </c>
      <c r="B10" s="3" t="inlineStr">
        <is>
          <t>To what extent may the Commission compel answers under Article 20(2)(e) of Regulation 1/2003 before the privilege against self-incrimination intervenes — and how the distinction between answering questions of fact and admitting an infringement remain workable in practice?</t>
        </is>
      </c>
      <c r="C10" s="3" t="n"/>
      <c r="D10" s="3" t="n"/>
      <c r="E10" s="3" t="n"/>
      <c r="F10" s="3" t="n"/>
      <c r="G10" s="3" t="n"/>
      <c r="H10" s="3" t="n"/>
      <c r="I10" s="3" t="n"/>
      <c r="J10" s="3" t="n"/>
    </row>
    <row r="11">
      <c r="A11" s="3" t="n"/>
      <c r="B11" s="3" t="n"/>
      <c r="C11" s="3" t="n"/>
      <c r="D11" s="3" t="n"/>
      <c r="E11" s="3" t="n"/>
      <c r="F11" s="3" t="n"/>
      <c r="G11" s="3" t="n"/>
      <c r="H11" s="3" t="n"/>
      <c r="I11" s="3" t="n"/>
      <c r="J11" s="3" t="n"/>
    </row>
    <row r="12">
      <c r="A12" s="3" t="n"/>
      <c r="B12" s="3" t="n"/>
      <c r="C12" s="3" t="n"/>
      <c r="D12" s="3" t="n"/>
      <c r="E12" s="3" t="n"/>
      <c r="F12" s="3" t="n"/>
      <c r="G12" s="3" t="n"/>
      <c r="H12" s="3" t="n"/>
      <c r="I12" s="3" t="n"/>
      <c r="J12" s="3" t="n"/>
    </row>
    <row r="13">
      <c r="A13" s="3" t="n"/>
      <c r="B13" s="3" t="n"/>
      <c r="C13" s="3" t="n"/>
      <c r="D13" s="3" t="n"/>
      <c r="E13" s="3" t="n"/>
      <c r="F13" s="3" t="n"/>
      <c r="G13" s="3" t="n"/>
      <c r="H13" s="3" t="n"/>
      <c r="I13" s="3" t="n"/>
      <c r="J13" s="3" t="n"/>
    </row>
    <row r="14">
      <c r="A14" s="8" t="inlineStr">
        <is>
          <t>Generated answer</t>
        </is>
      </c>
      <c r="B14" s="3" t="n"/>
      <c r="C14" s="3" t="n"/>
      <c r="D14" s="3" t="n"/>
      <c r="E14" s="3" t="n"/>
      <c r="F14" s="3" t="n"/>
      <c r="G14" s="3" t="n"/>
      <c r="H14" s="3" t="n"/>
      <c r="I14" s="3" t="n"/>
      <c r="J14" s="3" t="n"/>
    </row>
    <row r="15">
      <c r="A15" s="10" t="inlineStr">
        <is>
          <t>Paste the generated answer below.</t>
        </is>
      </c>
      <c r="B15" s="3" t="n"/>
      <c r="C15" s="3" t="n"/>
      <c r="D15" s="3" t="n"/>
      <c r="E15" s="3" t="n"/>
      <c r="F15" s="3" t="n"/>
      <c r="G15" s="3" t="n"/>
      <c r="H15" s="3" t="n"/>
      <c r="I15" s="3" t="n"/>
      <c r="J15" s="3" t="n"/>
    </row>
    <row r="16" ht="90" customHeight="1">
      <c r="A16" s="3" t="inlineStr"/>
      <c r="B16" s="3" t="n"/>
      <c r="C16" s="3" t="n"/>
      <c r="D16" s="3" t="n"/>
      <c r="E16" s="3" t="n"/>
      <c r="F16" s="3" t="n"/>
      <c r="G16" s="3" t="n"/>
      <c r="H16" s="3" t="n"/>
      <c r="I16" s="3" t="n"/>
      <c r="J16" s="3" t="n"/>
    </row>
    <row r="17" ht="30" customHeight="1">
      <c r="A17" s="3" t="n"/>
      <c r="B17" s="3" t="n"/>
      <c r="C17" s="3" t="n"/>
      <c r="D17" s="3" t="n"/>
      <c r="E17" s="3" t="n"/>
      <c r="F17" s="3" t="n"/>
      <c r="G17" s="3" t="n"/>
      <c r="H17" s="3" t="n"/>
      <c r="I17" s="3" t="n"/>
      <c r="J17" s="3" t="n"/>
    </row>
    <row r="18" ht="30" customHeight="1">
      <c r="A18" s="3" t="n"/>
      <c r="B18" s="3" t="n"/>
      <c r="C18" s="3" t="n"/>
      <c r="D18" s="3" t="n"/>
      <c r="E18" s="3" t="n"/>
      <c r="F18" s="3" t="n"/>
      <c r="G18" s="3" t="n"/>
      <c r="H18" s="3" t="n"/>
      <c r="I18" s="3" t="n"/>
      <c r="J18" s="3" t="n"/>
    </row>
    <row r="19">
      <c r="A19" s="9" t="inlineStr">
        <is>
          <t>Run ID</t>
        </is>
      </c>
      <c r="B19" s="3" t="inlineStr"/>
      <c r="C19" s="9" t="inlineStr">
        <is>
          <t>Run date</t>
        </is>
      </c>
      <c r="D19" s="3" t="inlineStr"/>
      <c r="E19" s="9" t="inlineStr">
        <is>
          <t>Model / prompt version</t>
        </is>
      </c>
      <c r="F19" s="3" t="inlineStr"/>
      <c r="G19" s="9" t="inlineStr">
        <is>
          <t>Corpus snapshot</t>
        </is>
      </c>
      <c r="H19" s="3" t="inlineStr"/>
      <c r="I19" s="3" t="n"/>
      <c r="J19" s="3" t="n"/>
    </row>
    <row r="20">
      <c r="A20" s="8" t="inlineStr">
        <is>
          <t>Retrieval set review</t>
        </is>
      </c>
      <c r="B20" s="3" t="n"/>
      <c r="C20" s="3" t="n"/>
      <c r="D20" s="3" t="n"/>
      <c r="E20" s="3" t="n"/>
      <c r="F20" s="3" t="n"/>
      <c r="G20" s="3" t="n"/>
      <c r="H20" s="3" t="n"/>
      <c r="I20" s="3" t="n"/>
      <c r="J20" s="3" t="n"/>
    </row>
    <row r="21">
      <c r="A21" s="11" t="inlineStr">
        <is>
          <t>Rank</t>
        </is>
      </c>
      <c r="B21" s="11" t="inlineStr">
        <is>
          <t>Retrieved source</t>
        </is>
      </c>
      <c r="C21" s="11" t="inlineStr">
        <is>
          <t>Source type</t>
        </is>
      </c>
      <c r="D21" s="11" t="inlineStr">
        <is>
          <t>Jurisdiction</t>
        </is>
      </c>
      <c r="E21" s="11" t="inlineStr">
        <is>
          <t>URL / Document ID</t>
        </is>
      </c>
      <c r="F21" s="11" t="inlineStr">
        <is>
          <t>Returned by engine?</t>
        </is>
      </c>
      <c r="G21" s="11" t="inlineStr">
        <is>
          <t>Required source?</t>
        </is>
      </c>
      <c r="H21" s="11" t="inlineStr">
        <is>
          <t>Trap?</t>
        </is>
      </c>
      <c r="I21" s="11" t="inlineStr">
        <is>
          <t>Expert verdict</t>
        </is>
      </c>
      <c r="J21" s="11" t="inlineStr">
        <is>
          <t>Notes</t>
        </is>
      </c>
    </row>
    <row r="22" ht="44" customHeight="1">
      <c r="A22" s="4" t="n">
        <v>1</v>
      </c>
      <c r="B22" s="4" t="n"/>
      <c r="C22" s="4" t="n"/>
      <c r="D22" s="4" t="n"/>
      <c r="E22" s="4" t="n"/>
      <c r="F22" s="4" t="n"/>
      <c r="G22" s="4" t="n"/>
      <c r="H22" s="4" t="n"/>
      <c r="I22" s="4" t="n"/>
      <c r="J22" s="4" t="n"/>
    </row>
    <row r="23" ht="44" customHeight="1">
      <c r="A23" s="4" t="n">
        <v>2</v>
      </c>
      <c r="B23" s="4" t="n"/>
      <c r="C23" s="4" t="n"/>
      <c r="D23" s="4" t="n"/>
      <c r="E23" s="4" t="n"/>
      <c r="F23" s="4" t="n"/>
      <c r="G23" s="4" t="n"/>
      <c r="H23" s="4" t="n"/>
      <c r="I23" s="4" t="n"/>
      <c r="J23" s="4" t="n"/>
    </row>
    <row r="24" ht="44" customHeight="1">
      <c r="A24" s="4" t="n">
        <v>3</v>
      </c>
      <c r="B24" s="4" t="n"/>
      <c r="C24" s="4" t="n"/>
      <c r="D24" s="4" t="n"/>
      <c r="E24" s="4" t="n"/>
      <c r="F24" s="4" t="n"/>
      <c r="G24" s="4" t="n"/>
      <c r="H24" s="4" t="n"/>
      <c r="I24" s="4" t="n"/>
      <c r="J24" s="4" t="n"/>
    </row>
    <row r="25" ht="44" customHeight="1">
      <c r="A25" s="4" t="n">
        <v>4</v>
      </c>
      <c r="B25" s="4" t="n"/>
      <c r="C25" s="4" t="n"/>
      <c r="D25" s="4" t="n"/>
      <c r="E25" s="4" t="n"/>
      <c r="F25" s="4" t="n"/>
      <c r="G25" s="4" t="n"/>
      <c r="H25" s="4" t="n"/>
      <c r="I25" s="4" t="n"/>
      <c r="J25" s="4" t="n"/>
    </row>
    <row r="26" ht="44" customHeight="1">
      <c r="A26" s="4" t="n">
        <v>5</v>
      </c>
      <c r="B26" s="4" t="n"/>
      <c r="C26" s="4" t="n"/>
      <c r="D26" s="4" t="n"/>
      <c r="E26" s="4" t="n"/>
      <c r="F26" s="4" t="n"/>
      <c r="G26" s="4" t="n"/>
      <c r="H26" s="4" t="n"/>
      <c r="I26" s="4" t="n"/>
      <c r="J26" s="4" t="n"/>
    </row>
    <row r="27" ht="44" customHeight="1">
      <c r="A27" s="4" t="n">
        <v>6</v>
      </c>
      <c r="B27" s="4" t="n"/>
      <c r="C27" s="4" t="n"/>
      <c r="D27" s="4" t="n"/>
      <c r="E27" s="4" t="n"/>
      <c r="F27" s="4" t="n"/>
      <c r="G27" s="4" t="n"/>
      <c r="H27" s="4" t="n"/>
      <c r="I27" s="4" t="n"/>
      <c r="J27" s="4" t="n"/>
    </row>
    <row r="28" ht="44" customHeight="1">
      <c r="A28" s="4" t="n">
        <v>7</v>
      </c>
      <c r="B28" s="4" t="n"/>
      <c r="C28" s="4" t="n"/>
      <c r="D28" s="4" t="n"/>
      <c r="E28" s="4" t="n"/>
      <c r="F28" s="4" t="n"/>
      <c r="G28" s="4" t="n"/>
      <c r="H28" s="4" t="n"/>
      <c r="I28" s="4" t="n"/>
      <c r="J28" s="4" t="n"/>
    </row>
    <row r="29" ht="44" customHeight="1">
      <c r="A29" s="4" t="n">
        <v>8</v>
      </c>
      <c r="B29" s="4" t="n"/>
      <c r="C29" s="4" t="n"/>
      <c r="D29" s="4" t="n"/>
      <c r="E29" s="4" t="n"/>
      <c r="F29" s="4" t="n"/>
      <c r="G29" s="4" t="n"/>
      <c r="H29" s="4" t="n"/>
      <c r="I29" s="4" t="n"/>
      <c r="J29" s="4" t="n"/>
    </row>
    <row r="30" ht="44" customHeight="1">
      <c r="A30" s="4" t="n">
        <v>9</v>
      </c>
      <c r="B30" s="4" t="n"/>
      <c r="C30" s="4" t="n"/>
      <c r="D30" s="4" t="n"/>
      <c r="E30" s="4" t="n"/>
      <c r="F30" s="4" t="n"/>
      <c r="G30" s="4" t="n"/>
      <c r="H30" s="4" t="n"/>
      <c r="I30" s="4" t="n"/>
      <c r="J30" s="4" t="n"/>
    </row>
    <row r="31" ht="44" customHeight="1">
      <c r="A31" s="4" t="n">
        <v>10</v>
      </c>
      <c r="B31" s="4" t="n"/>
      <c r="C31" s="4" t="n"/>
      <c r="D31" s="4" t="n"/>
      <c r="E31" s="4" t="n"/>
      <c r="F31" s="4" t="n"/>
      <c r="G31" s="4" t="n"/>
      <c r="H31" s="4" t="n"/>
      <c r="I31" s="4" t="n"/>
      <c r="J31" s="4" t="n"/>
    </row>
    <row r="32" ht="44" customHeight="1">
      <c r="A32" s="4" t="n">
        <v>11</v>
      </c>
      <c r="B32" s="4" t="n"/>
      <c r="C32" s="4" t="n"/>
      <c r="D32" s="4" t="n"/>
      <c r="E32" s="4" t="n"/>
      <c r="F32" s="4" t="n"/>
      <c r="G32" s="4" t="n"/>
      <c r="H32" s="4" t="n"/>
      <c r="I32" s="4" t="n"/>
      <c r="J32" s="4" t="n"/>
    </row>
    <row r="33" ht="44" customHeight="1">
      <c r="A33" s="4" t="n">
        <v>12</v>
      </c>
      <c r="B33" s="4" t="n"/>
      <c r="C33" s="4" t="n"/>
      <c r="D33" s="4" t="n"/>
      <c r="E33" s="4" t="n"/>
      <c r="F33" s="4" t="n"/>
      <c r="G33" s="4" t="n"/>
      <c r="H33" s="4" t="n"/>
      <c r="I33" s="4" t="n"/>
      <c r="J33" s="4" t="n"/>
    </row>
    <row r="34" ht="44" customHeight="1">
      <c r="A34" s="4" t="n">
        <v>13</v>
      </c>
      <c r="B34" s="4" t="n"/>
      <c r="C34" s="4" t="n"/>
      <c r="D34" s="4" t="n"/>
      <c r="E34" s="4" t="n"/>
      <c r="F34" s="4" t="n"/>
      <c r="G34" s="4" t="n"/>
      <c r="H34" s="4" t="n"/>
      <c r="I34" s="4" t="n"/>
      <c r="J34" s="4" t="n"/>
    </row>
    <row r="35" ht="44" customHeight="1">
      <c r="A35" s="4" t="n">
        <v>14</v>
      </c>
      <c r="B35" s="4" t="n"/>
      <c r="C35" s="4" t="n"/>
      <c r="D35" s="4" t="n"/>
      <c r="E35" s="4" t="n"/>
      <c r="F35" s="4" t="n"/>
      <c r="G35" s="4" t="n"/>
      <c r="H35" s="4" t="n"/>
      <c r="I35" s="4" t="n"/>
      <c r="J35" s="4" t="n"/>
    </row>
    <row r="36" ht="44" customHeight="1">
      <c r="A36" s="4" t="n">
        <v>15</v>
      </c>
      <c r="B36" s="4" t="n"/>
      <c r="C36" s="4" t="n"/>
      <c r="D36" s="4" t="n"/>
      <c r="E36" s="4" t="n"/>
      <c r="F36" s="4" t="n"/>
      <c r="G36" s="4" t="n"/>
      <c r="H36" s="4" t="n"/>
      <c r="I36" s="4" t="n"/>
      <c r="J36" s="4" t="n"/>
    </row>
    <row r="37">
      <c r="A37" s="3" t="n"/>
      <c r="B37" s="3" t="n"/>
      <c r="C37" s="3" t="n"/>
      <c r="D37" s="3" t="n"/>
      <c r="E37" s="3" t="n"/>
      <c r="F37" s="3" t="n"/>
      <c r="G37" s="3" t="n"/>
      <c r="H37" s="3" t="n"/>
      <c r="I37" s="3" t="n"/>
      <c r="J37" s="3" t="n"/>
    </row>
    <row r="38">
      <c r="A38" s="8" t="inlineStr">
        <is>
          <t>Claim-by-claim review</t>
        </is>
      </c>
      <c r="B38" s="3" t="n"/>
      <c r="C38" s="3" t="n"/>
      <c r="D38" s="3" t="n"/>
      <c r="E38" s="3" t="n"/>
      <c r="F38" s="3" t="n"/>
      <c r="G38" s="3" t="n"/>
      <c r="H38" s="3" t="n"/>
      <c r="I38" s="3" t="n"/>
      <c r="J38" s="3" t="n"/>
    </row>
    <row r="39">
      <c r="A39" s="11" t="inlineStr">
        <is>
          <t>Claim ID</t>
        </is>
      </c>
      <c r="B39" s="11" t="inlineStr">
        <is>
          <t>Claim from answer</t>
        </is>
      </c>
      <c r="C39" s="11" t="inlineStr">
        <is>
          <t>Citation used</t>
        </is>
      </c>
      <c r="D39" s="11" t="inlineStr">
        <is>
          <t>Expert verdict</t>
        </is>
      </c>
      <c r="E39" s="11" t="inlineStr">
        <is>
          <t>Issue type</t>
        </is>
      </c>
      <c r="F39" s="11" t="inlineStr">
        <is>
          <t>Cited passage / source note</t>
        </is>
      </c>
      <c r="G39" s="11" t="inlineStr">
        <is>
          <t>Required fix / comment</t>
        </is>
      </c>
      <c r="H39" s="11" t="inlineStr">
        <is>
          <t>Reviewer</t>
        </is>
      </c>
      <c r="I39" s="11" t="n"/>
      <c r="J39" s="11" t="n"/>
    </row>
    <row r="40" ht="54" customHeight="1">
      <c r="A40" s="4" t="n">
        <v>1</v>
      </c>
      <c r="B40" s="4" t="n"/>
      <c r="C40" s="4" t="n"/>
      <c r="D40" s="4" t="n"/>
      <c r="E40" s="4" t="n"/>
      <c r="F40" s="4" t="n"/>
      <c r="G40" s="4" t="n"/>
      <c r="H40" s="4" t="n"/>
      <c r="I40" s="3" t="n"/>
      <c r="J40" s="3" t="n"/>
    </row>
    <row r="41" ht="54" customHeight="1">
      <c r="A41" s="4" t="n">
        <v>2</v>
      </c>
      <c r="B41" s="4" t="n"/>
      <c r="C41" s="4" t="n"/>
      <c r="D41" s="4" t="n"/>
      <c r="E41" s="4" t="n"/>
      <c r="F41" s="4" t="n"/>
      <c r="G41" s="4" t="n"/>
      <c r="H41" s="4" t="n"/>
      <c r="I41" s="3" t="n"/>
      <c r="J41" s="3" t="n"/>
    </row>
    <row r="42" ht="54" customHeight="1">
      <c r="A42" s="4" t="n">
        <v>3</v>
      </c>
      <c r="B42" s="4" t="n"/>
      <c r="C42" s="4" t="n"/>
      <c r="D42" s="4" t="n"/>
      <c r="E42" s="4" t="n"/>
      <c r="F42" s="4" t="n"/>
      <c r="G42" s="4" t="n"/>
      <c r="H42" s="4" t="n"/>
      <c r="I42" s="3" t="n"/>
      <c r="J42" s="3" t="n"/>
    </row>
    <row r="43" ht="54" customHeight="1">
      <c r="A43" s="4" t="n">
        <v>4</v>
      </c>
      <c r="B43" s="4" t="n"/>
      <c r="C43" s="4" t="n"/>
      <c r="D43" s="4" t="n"/>
      <c r="E43" s="4" t="n"/>
      <c r="F43" s="4" t="n"/>
      <c r="G43" s="4" t="n"/>
      <c r="H43" s="4" t="n"/>
      <c r="I43" s="3" t="n"/>
      <c r="J43" s="3" t="n"/>
    </row>
    <row r="44" ht="54" customHeight="1">
      <c r="A44" s="4" t="n">
        <v>5</v>
      </c>
      <c r="B44" s="4" t="n"/>
      <c r="C44" s="4" t="n"/>
      <c r="D44" s="4" t="n"/>
      <c r="E44" s="4" t="n"/>
      <c r="F44" s="4" t="n"/>
      <c r="G44" s="4" t="n"/>
      <c r="H44" s="4" t="n"/>
      <c r="I44" s="3" t="n"/>
      <c r="J44" s="3" t="n"/>
    </row>
    <row r="45" ht="54" customHeight="1">
      <c r="A45" s="4" t="n">
        <v>6</v>
      </c>
      <c r="B45" s="4" t="n"/>
      <c r="C45" s="4" t="n"/>
      <c r="D45" s="4" t="n"/>
      <c r="E45" s="4" t="n"/>
      <c r="F45" s="4" t="n"/>
      <c r="G45" s="4" t="n"/>
      <c r="H45" s="4" t="n"/>
      <c r="I45" s="3" t="n"/>
      <c r="J45" s="3" t="n"/>
    </row>
    <row r="46" ht="54" customHeight="1">
      <c r="A46" s="4" t="n">
        <v>7</v>
      </c>
      <c r="B46" s="4" t="n"/>
      <c r="C46" s="4" t="n"/>
      <c r="D46" s="4" t="n"/>
      <c r="E46" s="4" t="n"/>
      <c r="F46" s="4" t="n"/>
      <c r="G46" s="4" t="n"/>
      <c r="H46" s="4" t="n"/>
      <c r="I46" s="3" t="n"/>
      <c r="J46" s="3" t="n"/>
    </row>
    <row r="47" ht="54" customHeight="1">
      <c r="A47" s="4" t="n">
        <v>8</v>
      </c>
      <c r="B47" s="4" t="n"/>
      <c r="C47" s="4" t="n"/>
      <c r="D47" s="4" t="n"/>
      <c r="E47" s="4" t="n"/>
      <c r="F47" s="4" t="n"/>
      <c r="G47" s="4" t="n"/>
      <c r="H47" s="4" t="n"/>
      <c r="I47" s="3" t="n"/>
      <c r="J47" s="3" t="n"/>
    </row>
    <row r="48" ht="54" customHeight="1">
      <c r="A48" s="4" t="n">
        <v>9</v>
      </c>
      <c r="B48" s="4" t="n"/>
      <c r="C48" s="4" t="n"/>
      <c r="D48" s="4" t="n"/>
      <c r="E48" s="4" t="n"/>
      <c r="F48" s="4" t="n"/>
      <c r="G48" s="4" t="n"/>
      <c r="H48" s="4" t="n"/>
      <c r="I48" s="3" t="n"/>
      <c r="J48" s="3" t="n"/>
    </row>
    <row r="49" ht="54" customHeight="1">
      <c r="A49" s="4" t="n">
        <v>10</v>
      </c>
      <c r="B49" s="4" t="n"/>
      <c r="C49" s="4" t="n"/>
      <c r="D49" s="4" t="n"/>
      <c r="E49" s="4" t="n"/>
      <c r="F49" s="4" t="n"/>
      <c r="G49" s="4" t="n"/>
      <c r="H49" s="4" t="n"/>
      <c r="I49" s="3" t="n"/>
      <c r="J49" s="3" t="n"/>
    </row>
    <row r="50" ht="54" customHeight="1">
      <c r="A50" s="4" t="n">
        <v>11</v>
      </c>
      <c r="B50" s="4" t="n"/>
      <c r="C50" s="4" t="n"/>
      <c r="D50" s="4" t="n"/>
      <c r="E50" s="4" t="n"/>
      <c r="F50" s="4" t="n"/>
      <c r="G50" s="4" t="n"/>
      <c r="H50" s="4" t="n"/>
      <c r="I50" s="3" t="n"/>
      <c r="J50" s="3" t="n"/>
    </row>
    <row r="51" ht="54" customHeight="1">
      <c r="A51" s="4" t="n">
        <v>12</v>
      </c>
      <c r="B51" s="4" t="n"/>
      <c r="C51" s="4" t="n"/>
      <c r="D51" s="4" t="n"/>
      <c r="E51" s="4" t="n"/>
      <c r="F51" s="4" t="n"/>
      <c r="G51" s="4" t="n"/>
      <c r="H51" s="4" t="n"/>
      <c r="I51" s="3" t="n"/>
      <c r="J51" s="3" t="n"/>
    </row>
    <row r="52" ht="54" customHeight="1">
      <c r="A52" s="4" t="n">
        <v>13</v>
      </c>
      <c r="B52" s="4" t="n"/>
      <c r="C52" s="4" t="n"/>
      <c r="D52" s="4" t="n"/>
      <c r="E52" s="4" t="n"/>
      <c r="F52" s="4" t="n"/>
      <c r="G52" s="4" t="n"/>
      <c r="H52" s="4" t="n"/>
      <c r="I52" s="3" t="n"/>
      <c r="J52" s="3" t="n"/>
    </row>
    <row r="53" ht="54" customHeight="1">
      <c r="A53" s="4" t="n">
        <v>14</v>
      </c>
      <c r="B53" s="4" t="n"/>
      <c r="C53" s="4" t="n"/>
      <c r="D53" s="4" t="n"/>
      <c r="E53" s="4" t="n"/>
      <c r="F53" s="4" t="n"/>
      <c r="G53" s="4" t="n"/>
      <c r="H53" s="4" t="n"/>
      <c r="I53" s="3" t="n"/>
      <c r="J53" s="3" t="n"/>
    </row>
    <row r="54" ht="54" customHeight="1">
      <c r="A54" s="4" t="n">
        <v>15</v>
      </c>
      <c r="B54" s="4" t="n"/>
      <c r="C54" s="4" t="n"/>
      <c r="D54" s="4" t="n"/>
      <c r="E54" s="4" t="n"/>
      <c r="F54" s="4" t="n"/>
      <c r="G54" s="4" t="n"/>
      <c r="H54" s="4" t="n"/>
      <c r="I54" s="3" t="n"/>
      <c r="J54" s="3" t="n"/>
    </row>
    <row r="55" ht="54" customHeight="1">
      <c r="A55" s="4" t="n">
        <v>16</v>
      </c>
      <c r="B55" s="4" t="n"/>
      <c r="C55" s="4" t="n"/>
      <c r="D55" s="4" t="n"/>
      <c r="E55" s="4" t="n"/>
      <c r="F55" s="4" t="n"/>
      <c r="G55" s="4" t="n"/>
      <c r="H55" s="4" t="n"/>
      <c r="I55" s="3" t="n"/>
      <c r="J55" s="3" t="n"/>
    </row>
    <row r="56" ht="54" customHeight="1">
      <c r="A56" s="4" t="n">
        <v>17</v>
      </c>
      <c r="B56" s="4" t="n"/>
      <c r="C56" s="4" t="n"/>
      <c r="D56" s="4" t="n"/>
      <c r="E56" s="4" t="n"/>
      <c r="F56" s="4" t="n"/>
      <c r="G56" s="4" t="n"/>
      <c r="H56" s="4" t="n"/>
      <c r="I56" s="3" t="n"/>
      <c r="J56" s="3" t="n"/>
    </row>
    <row r="57" ht="54" customHeight="1">
      <c r="A57" s="4" t="n">
        <v>18</v>
      </c>
      <c r="B57" s="4" t="n"/>
      <c r="C57" s="4" t="n"/>
      <c r="D57" s="4" t="n"/>
      <c r="E57" s="4" t="n"/>
      <c r="F57" s="4" t="n"/>
      <c r="G57" s="4" t="n"/>
      <c r="H57" s="4" t="n"/>
      <c r="I57" s="3" t="n"/>
      <c r="J57" s="3" t="n"/>
    </row>
    <row r="58" ht="54" customHeight="1">
      <c r="A58" s="4" t="n">
        <v>19</v>
      </c>
      <c r="B58" s="4" t="n"/>
      <c r="C58" s="4" t="n"/>
      <c r="D58" s="4" t="n"/>
      <c r="E58" s="4" t="n"/>
      <c r="F58" s="4" t="n"/>
      <c r="G58" s="4" t="n"/>
      <c r="H58" s="4" t="n"/>
      <c r="I58" s="3" t="n"/>
      <c r="J58" s="3" t="n"/>
    </row>
    <row r="59" ht="54" customHeight="1">
      <c r="A59" s="4" t="n">
        <v>20</v>
      </c>
      <c r="B59" s="4" t="n"/>
      <c r="C59" s="4" t="n"/>
      <c r="D59" s="4" t="n"/>
      <c r="E59" s="4" t="n"/>
      <c r="F59" s="4" t="n"/>
      <c r="G59" s="4" t="n"/>
      <c r="H59" s="4" t="n"/>
      <c r="I59" s="3" t="n"/>
      <c r="J59" s="3" t="n"/>
    </row>
    <row r="60">
      <c r="A60" s="3" t="n"/>
      <c r="B60" s="3" t="n"/>
      <c r="C60" s="3" t="n"/>
      <c r="D60" s="3" t="n"/>
      <c r="E60" s="3" t="n"/>
      <c r="F60" s="3" t="n"/>
      <c r="G60" s="3" t="n"/>
      <c r="H60" s="3" t="n"/>
      <c r="I60" s="3" t="n"/>
      <c r="J60" s="3" t="n"/>
    </row>
    <row r="61">
      <c r="A61" s="8" t="inlineStr">
        <is>
          <t>Final expert verdict</t>
        </is>
      </c>
      <c r="B61" s="3" t="n"/>
      <c r="C61" s="3" t="n"/>
      <c r="D61" s="3" t="n"/>
      <c r="E61" s="3" t="n"/>
      <c r="F61" s="3" t="n"/>
      <c r="G61" s="3" t="n"/>
      <c r="H61" s="3" t="n"/>
      <c r="I61" s="3" t="n"/>
      <c r="J61" s="3" t="n"/>
    </row>
    <row r="62">
      <c r="A62" s="12" t="inlineStr">
        <is>
          <t>Is the answer acceptable?</t>
        </is>
      </c>
      <c r="B62" s="4" t="inlineStr"/>
      <c r="C62" s="4" t="n"/>
      <c r="D62" s="4" t="n"/>
      <c r="E62" s="4" t="n"/>
      <c r="F62" s="4" t="n"/>
      <c r="G62" s="4" t="n"/>
      <c r="H62" s="4" t="n"/>
      <c r="I62" s="3" t="n"/>
      <c r="J62" s="3" t="n"/>
    </row>
    <row r="63" ht="54" customHeight="1">
      <c r="A63" s="12" t="inlineStr">
        <is>
          <t>Overall comment / required fixes</t>
        </is>
      </c>
      <c r="B63" s="4" t="n"/>
      <c r="C63" s="4" t="n"/>
      <c r="D63" s="4" t="n"/>
      <c r="E63" s="4" t="n"/>
      <c r="F63" s="4" t="n"/>
      <c r="G63" s="4" t="n"/>
      <c r="H63" s="4" t="n"/>
      <c r="I63" s="3" t="n"/>
      <c r="J63" s="3" t="n"/>
    </row>
    <row r="64">
      <c r="A64" s="4" t="n"/>
      <c r="B64" s="4" t="n"/>
      <c r="C64" s="4" t="n"/>
      <c r="D64" s="4" t="n"/>
      <c r="E64" s="4" t="n"/>
      <c r="F64" s="4" t="n"/>
      <c r="G64" s="4" t="n"/>
      <c r="H64" s="4" t="n"/>
      <c r="I64" s="3" t="n"/>
      <c r="J64" s="3" t="n"/>
    </row>
    <row r="65">
      <c r="A65" s="12" t="inlineStr">
        <is>
          <t>Missing key sources?</t>
        </is>
      </c>
      <c r="B65" s="4" t="n"/>
      <c r="C65" s="4" t="n"/>
      <c r="D65" s="4" t="n"/>
      <c r="E65" s="4" t="n"/>
      <c r="F65" s="4" t="n"/>
      <c r="G65" s="4" t="n"/>
      <c r="H65" s="4" t="n"/>
      <c r="I65" s="3" t="n"/>
      <c r="J65" s="3" t="n"/>
    </row>
    <row r="66">
      <c r="A66" s="12" t="inlineStr">
        <is>
          <t>Review completed?</t>
        </is>
      </c>
      <c r="B66" s="4" t="inlineStr"/>
      <c r="C66" s="4" t="n"/>
      <c r="D66" s="4" t="n"/>
      <c r="E66" s="4" t="n"/>
      <c r="F66" s="4" t="n"/>
      <c r="G66" s="4" t="n"/>
      <c r="H66" s="4" t="n"/>
      <c r="I66" s="3" t="n"/>
      <c r="J66" s="3" t="n"/>
    </row>
    <row r="67">
      <c r="A67" s="12" t="inlineStr">
        <is>
          <t>Reviewer</t>
        </is>
      </c>
      <c r="B67" s="4" t="n"/>
      <c r="C67" s="12" t="inlineStr">
        <is>
          <t>Review date</t>
        </is>
      </c>
      <c r="D67" s="5" t="inlineStr"/>
      <c r="E67" s="4" t="n"/>
      <c r="F67" s="4" t="n"/>
      <c r="G67" s="4" t="n"/>
      <c r="H67" s="4" t="n"/>
      <c r="I67" s="3" t="n"/>
      <c r="J67" s="3" t="n"/>
    </row>
    <row r="68">
      <c r="A68" s="3" t="n"/>
      <c r="B68" s="3" t="n"/>
      <c r="C68" s="3" t="n"/>
      <c r="D68" s="3" t="n"/>
      <c r="E68" s="3" t="n"/>
      <c r="F68" s="3" t="n"/>
      <c r="G68" s="3" t="n"/>
      <c r="H68" s="3" t="n"/>
      <c r="I68" s="3" t="n"/>
      <c r="J68" s="3" t="n"/>
    </row>
    <row r="69">
      <c r="A69" s="8" t="inlineStr">
        <is>
          <t>Original source notes</t>
        </is>
      </c>
      <c r="B69" s="3" t="n"/>
      <c r="C69" s="3" t="n"/>
      <c r="D69" s="3" t="n"/>
      <c r="E69" s="3" t="n"/>
      <c r="F69" s="3" t="n"/>
      <c r="G69" s="3" t="n"/>
      <c r="H69" s="3" t="n"/>
      <c r="I69" s="3" t="n"/>
      <c r="J69" s="3" t="n"/>
    </row>
    <row r="70">
      <c r="A70" s="12" t="inlineStr">
        <is>
          <t>WAB notes</t>
        </is>
      </c>
      <c r="B70" s="4" t="inlineStr"/>
      <c r="C70" s="4" t="n"/>
      <c r="D70" s="4" t="n"/>
      <c r="E70" s="4" t="n"/>
      <c r="F70" s="4" t="n"/>
      <c r="G70" s="4" t="n"/>
      <c r="H70" s="4" t="n"/>
      <c r="I70" s="3" t="n"/>
      <c r="J70" s="3" t="n"/>
    </row>
    <row r="71" ht="54" customHeight="1">
      <c r="A71" s="12" t="inlineStr">
        <is>
          <t>Reviewer notes from question approval</t>
        </is>
      </c>
      <c r="B71" s="4" t="inlineStr">
        <is>
          <t>agreed on the substance but let's frame it in the following way: "To what extent may the Commission compel answers under Article 20(2)(e) of Regulation 1/2003 before the privilege against self-incrimination intervenes — and how the distinction between answering questions of fact and admitting an infringement remain workable in practice?"</t>
        </is>
      </c>
      <c r="C71" s="4" t="n"/>
      <c r="D71" s="4" t="n"/>
      <c r="E71" s="4" t="n"/>
      <c r="F71" s="4" t="n"/>
      <c r="G71" s="4" t="n"/>
      <c r="H71" s="4" t="n"/>
      <c r="I71" s="3" t="n"/>
      <c r="J71" s="3" t="n"/>
    </row>
    <row r="72">
      <c r="A72" s="4" t="n"/>
      <c r="B72" s="4" t="n"/>
      <c r="C72" s="4" t="n"/>
      <c r="D72" s="4" t="n"/>
      <c r="E72" s="4" t="n"/>
      <c r="F72" s="4" t="n"/>
      <c r="G72" s="4" t="n"/>
      <c r="H72" s="4" t="n"/>
      <c r="I72" s="3" t="n"/>
      <c r="J72" s="3" t="n"/>
    </row>
  </sheetData>
  <autoFilter ref="A21:J36"/>
  <mergeCells count="20">
    <mergeCell ref="B65:H65"/>
    <mergeCell ref="B71:H72"/>
    <mergeCell ref="B6:H6"/>
    <mergeCell ref="A20:J20"/>
    <mergeCell ref="A1:H1"/>
    <mergeCell ref="B5:H5"/>
    <mergeCell ref="A61:H61"/>
    <mergeCell ref="A69:H69"/>
    <mergeCell ref="B4:H4"/>
    <mergeCell ref="B62:H62"/>
    <mergeCell ref="B7:H7"/>
    <mergeCell ref="B66:H66"/>
    <mergeCell ref="A3:H3"/>
    <mergeCell ref="A16:H18"/>
    <mergeCell ref="B70:H70"/>
    <mergeCell ref="A14:H14"/>
    <mergeCell ref="B63:H64"/>
    <mergeCell ref="B8:H8"/>
    <mergeCell ref="B10:H12"/>
    <mergeCell ref="A38:H38"/>
  </mergeCells>
  <dataValidations count="9">
    <dataValidation sqref="C22:C36" showDropDown="0" showInputMessage="0" showErrorMessage="0" allowBlank="1" type="list">
      <formula1>=Lists!$F$2:$F$5</formula1>
    </dataValidation>
    <dataValidation sqref="F22:F36" showDropDown="0" showInputMessage="0" showErrorMessage="0" allowBlank="1" type="list">
      <formula1>=Lists!$G$2:$G$4</formula1>
    </dataValidation>
    <dataValidation sqref="G22:G36" showDropDown="0" showInputMessage="0" showErrorMessage="0" allowBlank="1" type="list">
      <formula1>=Lists!$G$2:$G$4</formula1>
    </dataValidation>
    <dataValidation sqref="H22:H36" showDropDown="0" showInputMessage="0" showErrorMessage="0" allowBlank="1" type="list">
      <formula1>=Lists!$G$2:$G$4</formula1>
    </dataValidation>
    <dataValidation sqref="I22:I36" showDropDown="0" showInputMessage="0" showErrorMessage="0" allowBlank="1" type="list">
      <formula1>=Lists!$H$2:$H$6</formula1>
    </dataValidation>
    <dataValidation sqref="D40:D59" showDropDown="0" showInputMessage="0" showErrorMessage="0" allowBlank="1" type="list">
      <formula1>=Lists!$D$2:$D$7</formula1>
    </dataValidation>
    <dataValidation sqref="E40:E59" showDropDown="0" showInputMessage="0" showErrorMessage="0" allowBlank="1" type="list">
      <formula1>=Lists!$E$2:$E$8</formula1>
    </dataValidation>
    <dataValidation sqref="B62" showDropDown="0" showInputMessage="0" showErrorMessage="0" allowBlank="1" type="list">
      <formula1>=Lists!$C$2:$C$4</formula1>
    </dataValidation>
    <dataValidation sqref="B66" showDropDown="0" showInputMessage="0" showErrorMessage="0" allowBlank="1" type="list">
      <formula1>=Lists!$A$2:$A$3</formula1>
    </dataValidation>
  </dataValidations>
  <pageMargins left="0.75" right="0.75" top="1" bottom="1" header="0.5" footer="0.5"/>
</worksheet>
</file>

<file path=xl/worksheets/sheet36.xml><?xml version="1.0" encoding="utf-8"?>
<worksheet xmlns="http://schemas.openxmlformats.org/spreadsheetml/2006/main">
  <sheetPr>
    <outlinePr summaryBelow="1" summaryRight="1"/>
    <pageSetUpPr/>
  </sheetPr>
  <dimension ref="A1:J72"/>
  <sheetViews>
    <sheetView showGridLines="0" workbookViewId="0">
      <pane ySplit="21" topLeftCell="A22" activePane="bottomLeft" state="frozen"/>
      <selection pane="bottomLeft" activeCell="A1" sqref="A1"/>
    </sheetView>
  </sheetViews>
  <sheetFormatPr baseColWidth="8" defaultRowHeight="15"/>
  <cols>
    <col width="12" customWidth="1" min="1" max="1"/>
    <col width="34" customWidth="1" min="2" max="2"/>
    <col width="22" customWidth="1" min="3" max="3"/>
    <col width="18" customWidth="1" min="4" max="4"/>
    <col width="20" customWidth="1" min="5" max="5"/>
    <col width="30" customWidth="1" min="6" max="6"/>
    <col width="34" customWidth="1" min="7" max="7"/>
    <col width="18" customWidth="1" min="8" max="8"/>
    <col width="18" customWidth="1" min="9" max="9"/>
    <col width="30" customWidth="1" min="10" max="10"/>
  </cols>
  <sheetData>
    <row r="1" ht="28" customHeight="1">
      <c r="A1" s="6" t="inlineStr">
        <is>
          <t>Q39 — Expert Review</t>
        </is>
      </c>
      <c r="B1" s="3" t="n"/>
      <c r="C1" s="3" t="n"/>
      <c r="D1" s="3" t="n"/>
      <c r="E1" s="3" t="n"/>
      <c r="F1" s="3" t="n"/>
      <c r="G1" s="3" t="n"/>
      <c r="H1" s="3" t="n"/>
      <c r="I1" s="3" t="n"/>
      <c r="J1" s="3" t="n"/>
    </row>
    <row r="2">
      <c r="A2" s="3" t="n"/>
      <c r="B2" s="3" t="n"/>
      <c r="C2" s="3" t="n"/>
      <c r="D2" s="3" t="n"/>
      <c r="E2" s="3" t="n"/>
      <c r="F2" s="3" t="n"/>
      <c r="G2" s="3" t="n"/>
      <c r="H2" s="3" t="n"/>
      <c r="I2" s="3" t="n"/>
      <c r="J2" s="3" t="n"/>
    </row>
    <row r="3">
      <c r="A3" s="8" t="inlineStr">
        <is>
          <t>Question metadata</t>
        </is>
      </c>
      <c r="B3" s="3" t="n"/>
      <c r="C3" s="3" t="n"/>
      <c r="D3" s="3" t="n"/>
      <c r="E3" s="3" t="n"/>
      <c r="F3" s="3" t="n"/>
      <c r="G3" s="3" t="n"/>
      <c r="H3" s="3" t="n"/>
      <c r="I3" s="3" t="n"/>
      <c r="J3" s="3" t="n"/>
    </row>
    <row r="4">
      <c r="A4" s="9" t="inlineStr">
        <is>
          <t>Question ID</t>
        </is>
      </c>
      <c r="B4" s="3" t="n">
        <v>39</v>
      </c>
      <c r="C4" s="3" t="n"/>
      <c r="D4" s="3" t="n"/>
      <c r="E4" s="3" t="n"/>
      <c r="F4" s="3" t="n"/>
      <c r="G4" s="3" t="n"/>
      <c r="H4" s="3" t="n"/>
      <c r="I4" s="3" t="n"/>
      <c r="J4" s="3" t="n"/>
    </row>
    <row r="5">
      <c r="A5" s="9" t="inlineStr">
        <is>
          <t>Topic</t>
        </is>
      </c>
      <c r="B5" s="3" t="inlineStr">
        <is>
          <t>Dawn raids — questioning staff</t>
        </is>
      </c>
      <c r="C5" s="3" t="n"/>
      <c r="D5" s="3" t="n"/>
      <c r="E5" s="3" t="n"/>
      <c r="F5" s="3" t="n"/>
      <c r="G5" s="3" t="n"/>
      <c r="H5" s="3" t="n"/>
      <c r="I5" s="3" t="n"/>
      <c r="J5" s="3" t="n"/>
    </row>
    <row r="6">
      <c r="A6" s="9" t="inlineStr">
        <is>
          <t>Scope</t>
        </is>
      </c>
      <c r="B6" s="3" t="inlineStr">
        <is>
          <t>France</t>
        </is>
      </c>
      <c r="C6" s="3" t="n"/>
      <c r="D6" s="3" t="n"/>
      <c r="E6" s="3" t="n"/>
      <c r="F6" s="3" t="n"/>
      <c r="G6" s="3" t="n"/>
      <c r="H6" s="3" t="n"/>
      <c r="I6" s="3" t="n"/>
      <c r="J6" s="3" t="n"/>
    </row>
    <row r="7">
      <c r="A7" s="9" t="inlineStr">
        <is>
          <t>Original reviewer</t>
        </is>
      </c>
      <c r="B7" s="3" t="inlineStr">
        <is>
          <t>Jeanne</t>
        </is>
      </c>
      <c r="C7" s="3" t="n"/>
      <c r="D7" s="3" t="n"/>
      <c r="E7" s="3" t="n"/>
      <c r="F7" s="3" t="n"/>
      <c r="G7" s="3" t="n"/>
      <c r="H7" s="3" t="n"/>
      <c r="I7" s="3" t="n"/>
      <c r="J7" s="3" t="n"/>
    </row>
    <row r="8">
      <c r="A8" s="9" t="inlineStr">
        <is>
          <t>Original status</t>
        </is>
      </c>
      <c r="B8" s="3" t="inlineStr">
        <is>
          <t>Approved</t>
        </is>
      </c>
      <c r="C8" s="3" t="n"/>
      <c r="D8" s="3" t="n"/>
      <c r="E8" s="3" t="n"/>
      <c r="F8" s="3" t="n"/>
      <c r="G8" s="3" t="n"/>
      <c r="H8" s="3" t="n"/>
      <c r="I8" s="3" t="n"/>
      <c r="J8" s="3" t="n"/>
    </row>
    <row r="9">
      <c r="A9" s="3" t="n"/>
      <c r="B9" s="3" t="n"/>
      <c r="C9" s="3" t="n"/>
      <c r="D9" s="3" t="n"/>
      <c r="E9" s="3" t="n"/>
      <c r="F9" s="3" t="n"/>
      <c r="G9" s="3" t="n"/>
      <c r="H9" s="3" t="n"/>
      <c r="I9" s="3" t="n"/>
      <c r="J9" s="3" t="n"/>
    </row>
    <row r="10" ht="45" customHeight="1">
      <c r="A10" s="9" t="inlineStr">
        <is>
          <t>Question</t>
        </is>
      </c>
      <c r="B10" s="3" t="inlineStr">
        <is>
          <t>Can employees be required to answer questions during a French dawn raid, and what protection against self-incrimination do they and the company have?</t>
        </is>
      </c>
      <c r="C10" s="3" t="n"/>
      <c r="D10" s="3" t="n"/>
      <c r="E10" s="3" t="n"/>
      <c r="F10" s="3" t="n"/>
      <c r="G10" s="3" t="n"/>
      <c r="H10" s="3" t="n"/>
      <c r="I10" s="3" t="n"/>
      <c r="J10" s="3" t="n"/>
    </row>
    <row r="11">
      <c r="A11" s="3" t="n"/>
      <c r="B11" s="3" t="n"/>
      <c r="C11" s="3" t="n"/>
      <c r="D11" s="3" t="n"/>
      <c r="E11" s="3" t="n"/>
      <c r="F11" s="3" t="n"/>
      <c r="G11" s="3" t="n"/>
      <c r="H11" s="3" t="n"/>
      <c r="I11" s="3" t="n"/>
      <c r="J11" s="3" t="n"/>
    </row>
    <row r="12">
      <c r="A12" s="3" t="n"/>
      <c r="B12" s="3" t="n"/>
      <c r="C12" s="3" t="n"/>
      <c r="D12" s="3" t="n"/>
      <c r="E12" s="3" t="n"/>
      <c r="F12" s="3" t="n"/>
      <c r="G12" s="3" t="n"/>
      <c r="H12" s="3" t="n"/>
      <c r="I12" s="3" t="n"/>
      <c r="J12" s="3" t="n"/>
    </row>
    <row r="13">
      <c r="A13" s="3" t="n"/>
      <c r="B13" s="3" t="n"/>
      <c r="C13" s="3" t="n"/>
      <c r="D13" s="3" t="n"/>
      <c r="E13" s="3" t="n"/>
      <c r="F13" s="3" t="n"/>
      <c r="G13" s="3" t="n"/>
      <c r="H13" s="3" t="n"/>
      <c r="I13" s="3" t="n"/>
      <c r="J13" s="3" t="n"/>
    </row>
    <row r="14">
      <c r="A14" s="8" t="inlineStr">
        <is>
          <t>Generated answer</t>
        </is>
      </c>
      <c r="B14" s="3" t="n"/>
      <c r="C14" s="3" t="n"/>
      <c r="D14" s="3" t="n"/>
      <c r="E14" s="3" t="n"/>
      <c r="F14" s="3" t="n"/>
      <c r="G14" s="3" t="n"/>
      <c r="H14" s="3" t="n"/>
      <c r="I14" s="3" t="n"/>
      <c r="J14" s="3" t="n"/>
    </row>
    <row r="15">
      <c r="A15" s="10" t="inlineStr">
        <is>
          <t>Paste the generated answer below.</t>
        </is>
      </c>
      <c r="B15" s="3" t="n"/>
      <c r="C15" s="3" t="n"/>
      <c r="D15" s="3" t="n"/>
      <c r="E15" s="3" t="n"/>
      <c r="F15" s="3" t="n"/>
      <c r="G15" s="3" t="n"/>
      <c r="H15" s="3" t="n"/>
      <c r="I15" s="3" t="n"/>
      <c r="J15" s="3" t="n"/>
    </row>
    <row r="16" ht="90" customHeight="1">
      <c r="A16" s="3" t="inlineStr"/>
      <c r="B16" s="3" t="n"/>
      <c r="C16" s="3" t="n"/>
      <c r="D16" s="3" t="n"/>
      <c r="E16" s="3" t="n"/>
      <c r="F16" s="3" t="n"/>
      <c r="G16" s="3" t="n"/>
      <c r="H16" s="3" t="n"/>
      <c r="I16" s="3" t="n"/>
      <c r="J16" s="3" t="n"/>
    </row>
    <row r="17" ht="30" customHeight="1">
      <c r="A17" s="3" t="n"/>
      <c r="B17" s="3" t="n"/>
      <c r="C17" s="3" t="n"/>
      <c r="D17" s="3" t="n"/>
      <c r="E17" s="3" t="n"/>
      <c r="F17" s="3" t="n"/>
      <c r="G17" s="3" t="n"/>
      <c r="H17" s="3" t="n"/>
      <c r="I17" s="3" t="n"/>
      <c r="J17" s="3" t="n"/>
    </row>
    <row r="18" ht="30" customHeight="1">
      <c r="A18" s="3" t="n"/>
      <c r="B18" s="3" t="n"/>
      <c r="C18" s="3" t="n"/>
      <c r="D18" s="3" t="n"/>
      <c r="E18" s="3" t="n"/>
      <c r="F18" s="3" t="n"/>
      <c r="G18" s="3" t="n"/>
      <c r="H18" s="3" t="n"/>
      <c r="I18" s="3" t="n"/>
      <c r="J18" s="3" t="n"/>
    </row>
    <row r="19">
      <c r="A19" s="9" t="inlineStr">
        <is>
          <t>Run ID</t>
        </is>
      </c>
      <c r="B19" s="3" t="inlineStr"/>
      <c r="C19" s="9" t="inlineStr">
        <is>
          <t>Run date</t>
        </is>
      </c>
      <c r="D19" s="3" t="inlineStr"/>
      <c r="E19" s="9" t="inlineStr">
        <is>
          <t>Model / prompt version</t>
        </is>
      </c>
      <c r="F19" s="3" t="inlineStr"/>
      <c r="G19" s="9" t="inlineStr">
        <is>
          <t>Corpus snapshot</t>
        </is>
      </c>
      <c r="H19" s="3" t="inlineStr"/>
      <c r="I19" s="3" t="n"/>
      <c r="J19" s="3" t="n"/>
    </row>
    <row r="20">
      <c r="A20" s="8" t="inlineStr">
        <is>
          <t>Retrieval set review</t>
        </is>
      </c>
      <c r="B20" s="3" t="n"/>
      <c r="C20" s="3" t="n"/>
      <c r="D20" s="3" t="n"/>
      <c r="E20" s="3" t="n"/>
      <c r="F20" s="3" t="n"/>
      <c r="G20" s="3" t="n"/>
      <c r="H20" s="3" t="n"/>
      <c r="I20" s="3" t="n"/>
      <c r="J20" s="3" t="n"/>
    </row>
    <row r="21">
      <c r="A21" s="11" t="inlineStr">
        <is>
          <t>Rank</t>
        </is>
      </c>
      <c r="B21" s="11" t="inlineStr">
        <is>
          <t>Retrieved source</t>
        </is>
      </c>
      <c r="C21" s="11" t="inlineStr">
        <is>
          <t>Source type</t>
        </is>
      </c>
      <c r="D21" s="11" t="inlineStr">
        <is>
          <t>Jurisdiction</t>
        </is>
      </c>
      <c r="E21" s="11" t="inlineStr">
        <is>
          <t>URL / Document ID</t>
        </is>
      </c>
      <c r="F21" s="11" t="inlineStr">
        <is>
          <t>Returned by engine?</t>
        </is>
      </c>
      <c r="G21" s="11" t="inlineStr">
        <is>
          <t>Required source?</t>
        </is>
      </c>
      <c r="H21" s="11" t="inlineStr">
        <is>
          <t>Trap?</t>
        </is>
      </c>
      <c r="I21" s="11" t="inlineStr">
        <is>
          <t>Expert verdict</t>
        </is>
      </c>
      <c r="J21" s="11" t="inlineStr">
        <is>
          <t>Notes</t>
        </is>
      </c>
    </row>
    <row r="22" ht="44" customHeight="1">
      <c r="A22" s="4" t="n">
        <v>1</v>
      </c>
      <c r="B22" s="4" t="n"/>
      <c r="C22" s="4" t="n"/>
      <c r="D22" s="4" t="n"/>
      <c r="E22" s="4" t="n"/>
      <c r="F22" s="4" t="n"/>
      <c r="G22" s="4" t="n"/>
      <c r="H22" s="4" t="n"/>
      <c r="I22" s="4" t="n"/>
      <c r="J22" s="4" t="n"/>
    </row>
    <row r="23" ht="44" customHeight="1">
      <c r="A23" s="4" t="n">
        <v>2</v>
      </c>
      <c r="B23" s="4" t="n"/>
      <c r="C23" s="4" t="n"/>
      <c r="D23" s="4" t="n"/>
      <c r="E23" s="4" t="n"/>
      <c r="F23" s="4" t="n"/>
      <c r="G23" s="4" t="n"/>
      <c r="H23" s="4" t="n"/>
      <c r="I23" s="4" t="n"/>
      <c r="J23" s="4" t="n"/>
    </row>
    <row r="24" ht="44" customHeight="1">
      <c r="A24" s="4" t="n">
        <v>3</v>
      </c>
      <c r="B24" s="4" t="n"/>
      <c r="C24" s="4" t="n"/>
      <c r="D24" s="4" t="n"/>
      <c r="E24" s="4" t="n"/>
      <c r="F24" s="4" t="n"/>
      <c r="G24" s="4" t="n"/>
      <c r="H24" s="4" t="n"/>
      <c r="I24" s="4" t="n"/>
      <c r="J24" s="4" t="n"/>
    </row>
    <row r="25" ht="44" customHeight="1">
      <c r="A25" s="4" t="n">
        <v>4</v>
      </c>
      <c r="B25" s="4" t="n"/>
      <c r="C25" s="4" t="n"/>
      <c r="D25" s="4" t="n"/>
      <c r="E25" s="4" t="n"/>
      <c r="F25" s="4" t="n"/>
      <c r="G25" s="4" t="n"/>
      <c r="H25" s="4" t="n"/>
      <c r="I25" s="4" t="n"/>
      <c r="J25" s="4" t="n"/>
    </row>
    <row r="26" ht="44" customHeight="1">
      <c r="A26" s="4" t="n">
        <v>5</v>
      </c>
      <c r="B26" s="4" t="n"/>
      <c r="C26" s="4" t="n"/>
      <c r="D26" s="4" t="n"/>
      <c r="E26" s="4" t="n"/>
      <c r="F26" s="4" t="n"/>
      <c r="G26" s="4" t="n"/>
      <c r="H26" s="4" t="n"/>
      <c r="I26" s="4" t="n"/>
      <c r="J26" s="4" t="n"/>
    </row>
    <row r="27" ht="44" customHeight="1">
      <c r="A27" s="4" t="n">
        <v>6</v>
      </c>
      <c r="B27" s="4" t="n"/>
      <c r="C27" s="4" t="n"/>
      <c r="D27" s="4" t="n"/>
      <c r="E27" s="4" t="n"/>
      <c r="F27" s="4" t="n"/>
      <c r="G27" s="4" t="n"/>
      <c r="H27" s="4" t="n"/>
      <c r="I27" s="4" t="n"/>
      <c r="J27" s="4" t="n"/>
    </row>
    <row r="28" ht="44" customHeight="1">
      <c r="A28" s="4" t="n">
        <v>7</v>
      </c>
      <c r="B28" s="4" t="n"/>
      <c r="C28" s="4" t="n"/>
      <c r="D28" s="4" t="n"/>
      <c r="E28" s="4" t="n"/>
      <c r="F28" s="4" t="n"/>
      <c r="G28" s="4" t="n"/>
      <c r="H28" s="4" t="n"/>
      <c r="I28" s="4" t="n"/>
      <c r="J28" s="4" t="n"/>
    </row>
    <row r="29" ht="44" customHeight="1">
      <c r="A29" s="4" t="n">
        <v>8</v>
      </c>
      <c r="B29" s="4" t="n"/>
      <c r="C29" s="4" t="n"/>
      <c r="D29" s="4" t="n"/>
      <c r="E29" s="4" t="n"/>
      <c r="F29" s="4" t="n"/>
      <c r="G29" s="4" t="n"/>
      <c r="H29" s="4" t="n"/>
      <c r="I29" s="4" t="n"/>
      <c r="J29" s="4" t="n"/>
    </row>
    <row r="30" ht="44" customHeight="1">
      <c r="A30" s="4" t="n">
        <v>9</v>
      </c>
      <c r="B30" s="4" t="n"/>
      <c r="C30" s="4" t="n"/>
      <c r="D30" s="4" t="n"/>
      <c r="E30" s="4" t="n"/>
      <c r="F30" s="4" t="n"/>
      <c r="G30" s="4" t="n"/>
      <c r="H30" s="4" t="n"/>
      <c r="I30" s="4" t="n"/>
      <c r="J30" s="4" t="n"/>
    </row>
    <row r="31" ht="44" customHeight="1">
      <c r="A31" s="4" t="n">
        <v>10</v>
      </c>
      <c r="B31" s="4" t="n"/>
      <c r="C31" s="4" t="n"/>
      <c r="D31" s="4" t="n"/>
      <c r="E31" s="4" t="n"/>
      <c r="F31" s="4" t="n"/>
      <c r="G31" s="4" t="n"/>
      <c r="H31" s="4" t="n"/>
      <c r="I31" s="4" t="n"/>
      <c r="J31" s="4" t="n"/>
    </row>
    <row r="32" ht="44" customHeight="1">
      <c r="A32" s="4" t="n">
        <v>11</v>
      </c>
      <c r="B32" s="4" t="n"/>
      <c r="C32" s="4" t="n"/>
      <c r="D32" s="4" t="n"/>
      <c r="E32" s="4" t="n"/>
      <c r="F32" s="4" t="n"/>
      <c r="G32" s="4" t="n"/>
      <c r="H32" s="4" t="n"/>
      <c r="I32" s="4" t="n"/>
      <c r="J32" s="4" t="n"/>
    </row>
    <row r="33" ht="44" customHeight="1">
      <c r="A33" s="4" t="n">
        <v>12</v>
      </c>
      <c r="B33" s="4" t="n"/>
      <c r="C33" s="4" t="n"/>
      <c r="D33" s="4" t="n"/>
      <c r="E33" s="4" t="n"/>
      <c r="F33" s="4" t="n"/>
      <c r="G33" s="4" t="n"/>
      <c r="H33" s="4" t="n"/>
      <c r="I33" s="4" t="n"/>
      <c r="J33" s="4" t="n"/>
    </row>
    <row r="34" ht="44" customHeight="1">
      <c r="A34" s="4" t="n">
        <v>13</v>
      </c>
      <c r="B34" s="4" t="n"/>
      <c r="C34" s="4" t="n"/>
      <c r="D34" s="4" t="n"/>
      <c r="E34" s="4" t="n"/>
      <c r="F34" s="4" t="n"/>
      <c r="G34" s="4" t="n"/>
      <c r="H34" s="4" t="n"/>
      <c r="I34" s="4" t="n"/>
      <c r="J34" s="4" t="n"/>
    </row>
    <row r="35" ht="44" customHeight="1">
      <c r="A35" s="4" t="n">
        <v>14</v>
      </c>
      <c r="B35" s="4" t="n"/>
      <c r="C35" s="4" t="n"/>
      <c r="D35" s="4" t="n"/>
      <c r="E35" s="4" t="n"/>
      <c r="F35" s="4" t="n"/>
      <c r="G35" s="4" t="n"/>
      <c r="H35" s="4" t="n"/>
      <c r="I35" s="4" t="n"/>
      <c r="J35" s="4" t="n"/>
    </row>
    <row r="36" ht="44" customHeight="1">
      <c r="A36" s="4" t="n">
        <v>15</v>
      </c>
      <c r="B36" s="4" t="n"/>
      <c r="C36" s="4" t="n"/>
      <c r="D36" s="4" t="n"/>
      <c r="E36" s="4" t="n"/>
      <c r="F36" s="4" t="n"/>
      <c r="G36" s="4" t="n"/>
      <c r="H36" s="4" t="n"/>
      <c r="I36" s="4" t="n"/>
      <c r="J36" s="4" t="n"/>
    </row>
    <row r="37">
      <c r="A37" s="3" t="n"/>
      <c r="B37" s="3" t="n"/>
      <c r="C37" s="3" t="n"/>
      <c r="D37" s="3" t="n"/>
      <c r="E37" s="3" t="n"/>
      <c r="F37" s="3" t="n"/>
      <c r="G37" s="3" t="n"/>
      <c r="H37" s="3" t="n"/>
      <c r="I37" s="3" t="n"/>
      <c r="J37" s="3" t="n"/>
    </row>
    <row r="38">
      <c r="A38" s="8" t="inlineStr">
        <is>
          <t>Claim-by-claim review</t>
        </is>
      </c>
      <c r="B38" s="3" t="n"/>
      <c r="C38" s="3" t="n"/>
      <c r="D38" s="3" t="n"/>
      <c r="E38" s="3" t="n"/>
      <c r="F38" s="3" t="n"/>
      <c r="G38" s="3" t="n"/>
      <c r="H38" s="3" t="n"/>
      <c r="I38" s="3" t="n"/>
      <c r="J38" s="3" t="n"/>
    </row>
    <row r="39">
      <c r="A39" s="11" t="inlineStr">
        <is>
          <t>Claim ID</t>
        </is>
      </c>
      <c r="B39" s="11" t="inlineStr">
        <is>
          <t>Claim from answer</t>
        </is>
      </c>
      <c r="C39" s="11" t="inlineStr">
        <is>
          <t>Citation used</t>
        </is>
      </c>
      <c r="D39" s="11" t="inlineStr">
        <is>
          <t>Expert verdict</t>
        </is>
      </c>
      <c r="E39" s="11" t="inlineStr">
        <is>
          <t>Issue type</t>
        </is>
      </c>
      <c r="F39" s="11" t="inlineStr">
        <is>
          <t>Cited passage / source note</t>
        </is>
      </c>
      <c r="G39" s="11" t="inlineStr">
        <is>
          <t>Required fix / comment</t>
        </is>
      </c>
      <c r="H39" s="11" t="inlineStr">
        <is>
          <t>Reviewer</t>
        </is>
      </c>
      <c r="I39" s="11" t="n"/>
      <c r="J39" s="11" t="n"/>
    </row>
    <row r="40" ht="54" customHeight="1">
      <c r="A40" s="4" t="n">
        <v>1</v>
      </c>
      <c r="B40" s="4" t="n"/>
      <c r="C40" s="4" t="n"/>
      <c r="D40" s="4" t="n"/>
      <c r="E40" s="4" t="n"/>
      <c r="F40" s="4" t="n"/>
      <c r="G40" s="4" t="n"/>
      <c r="H40" s="4" t="n"/>
      <c r="I40" s="3" t="n"/>
      <c r="J40" s="3" t="n"/>
    </row>
    <row r="41" ht="54" customHeight="1">
      <c r="A41" s="4" t="n">
        <v>2</v>
      </c>
      <c r="B41" s="4" t="n"/>
      <c r="C41" s="4" t="n"/>
      <c r="D41" s="4" t="n"/>
      <c r="E41" s="4" t="n"/>
      <c r="F41" s="4" t="n"/>
      <c r="G41" s="4" t="n"/>
      <c r="H41" s="4" t="n"/>
      <c r="I41" s="3" t="n"/>
      <c r="J41" s="3" t="n"/>
    </row>
    <row r="42" ht="54" customHeight="1">
      <c r="A42" s="4" t="n">
        <v>3</v>
      </c>
      <c r="B42" s="4" t="n"/>
      <c r="C42" s="4" t="n"/>
      <c r="D42" s="4" t="n"/>
      <c r="E42" s="4" t="n"/>
      <c r="F42" s="4" t="n"/>
      <c r="G42" s="4" t="n"/>
      <c r="H42" s="4" t="n"/>
      <c r="I42" s="3" t="n"/>
      <c r="J42" s="3" t="n"/>
    </row>
    <row r="43" ht="54" customHeight="1">
      <c r="A43" s="4" t="n">
        <v>4</v>
      </c>
      <c r="B43" s="4" t="n"/>
      <c r="C43" s="4" t="n"/>
      <c r="D43" s="4" t="n"/>
      <c r="E43" s="4" t="n"/>
      <c r="F43" s="4" t="n"/>
      <c r="G43" s="4" t="n"/>
      <c r="H43" s="4" t="n"/>
      <c r="I43" s="3" t="n"/>
      <c r="J43" s="3" t="n"/>
    </row>
    <row r="44" ht="54" customHeight="1">
      <c r="A44" s="4" t="n">
        <v>5</v>
      </c>
      <c r="B44" s="4" t="n"/>
      <c r="C44" s="4" t="n"/>
      <c r="D44" s="4" t="n"/>
      <c r="E44" s="4" t="n"/>
      <c r="F44" s="4" t="n"/>
      <c r="G44" s="4" t="n"/>
      <c r="H44" s="4" t="n"/>
      <c r="I44" s="3" t="n"/>
      <c r="J44" s="3" t="n"/>
    </row>
    <row r="45" ht="54" customHeight="1">
      <c r="A45" s="4" t="n">
        <v>6</v>
      </c>
      <c r="B45" s="4" t="n"/>
      <c r="C45" s="4" t="n"/>
      <c r="D45" s="4" t="n"/>
      <c r="E45" s="4" t="n"/>
      <c r="F45" s="4" t="n"/>
      <c r="G45" s="4" t="n"/>
      <c r="H45" s="4" t="n"/>
      <c r="I45" s="3" t="n"/>
      <c r="J45" s="3" t="n"/>
    </row>
    <row r="46" ht="54" customHeight="1">
      <c r="A46" s="4" t="n">
        <v>7</v>
      </c>
      <c r="B46" s="4" t="n"/>
      <c r="C46" s="4" t="n"/>
      <c r="D46" s="4" t="n"/>
      <c r="E46" s="4" t="n"/>
      <c r="F46" s="4" t="n"/>
      <c r="G46" s="4" t="n"/>
      <c r="H46" s="4" t="n"/>
      <c r="I46" s="3" t="n"/>
      <c r="J46" s="3" t="n"/>
    </row>
    <row r="47" ht="54" customHeight="1">
      <c r="A47" s="4" t="n">
        <v>8</v>
      </c>
      <c r="B47" s="4" t="n"/>
      <c r="C47" s="4" t="n"/>
      <c r="D47" s="4" t="n"/>
      <c r="E47" s="4" t="n"/>
      <c r="F47" s="4" t="n"/>
      <c r="G47" s="4" t="n"/>
      <c r="H47" s="4" t="n"/>
      <c r="I47" s="3" t="n"/>
      <c r="J47" s="3" t="n"/>
    </row>
    <row r="48" ht="54" customHeight="1">
      <c r="A48" s="4" t="n">
        <v>9</v>
      </c>
      <c r="B48" s="4" t="n"/>
      <c r="C48" s="4" t="n"/>
      <c r="D48" s="4" t="n"/>
      <c r="E48" s="4" t="n"/>
      <c r="F48" s="4" t="n"/>
      <c r="G48" s="4" t="n"/>
      <c r="H48" s="4" t="n"/>
      <c r="I48" s="3" t="n"/>
      <c r="J48" s="3" t="n"/>
    </row>
    <row r="49" ht="54" customHeight="1">
      <c r="A49" s="4" t="n">
        <v>10</v>
      </c>
      <c r="B49" s="4" t="n"/>
      <c r="C49" s="4" t="n"/>
      <c r="D49" s="4" t="n"/>
      <c r="E49" s="4" t="n"/>
      <c r="F49" s="4" t="n"/>
      <c r="G49" s="4" t="n"/>
      <c r="H49" s="4" t="n"/>
      <c r="I49" s="3" t="n"/>
      <c r="J49" s="3" t="n"/>
    </row>
    <row r="50" ht="54" customHeight="1">
      <c r="A50" s="4" t="n">
        <v>11</v>
      </c>
      <c r="B50" s="4" t="n"/>
      <c r="C50" s="4" t="n"/>
      <c r="D50" s="4" t="n"/>
      <c r="E50" s="4" t="n"/>
      <c r="F50" s="4" t="n"/>
      <c r="G50" s="4" t="n"/>
      <c r="H50" s="4" t="n"/>
      <c r="I50" s="3" t="n"/>
      <c r="J50" s="3" t="n"/>
    </row>
    <row r="51" ht="54" customHeight="1">
      <c r="A51" s="4" t="n">
        <v>12</v>
      </c>
      <c r="B51" s="4" t="n"/>
      <c r="C51" s="4" t="n"/>
      <c r="D51" s="4" t="n"/>
      <c r="E51" s="4" t="n"/>
      <c r="F51" s="4" t="n"/>
      <c r="G51" s="4" t="n"/>
      <c r="H51" s="4" t="n"/>
      <c r="I51" s="3" t="n"/>
      <c r="J51" s="3" t="n"/>
    </row>
    <row r="52" ht="54" customHeight="1">
      <c r="A52" s="4" t="n">
        <v>13</v>
      </c>
      <c r="B52" s="4" t="n"/>
      <c r="C52" s="4" t="n"/>
      <c r="D52" s="4" t="n"/>
      <c r="E52" s="4" t="n"/>
      <c r="F52" s="4" t="n"/>
      <c r="G52" s="4" t="n"/>
      <c r="H52" s="4" t="n"/>
      <c r="I52" s="3" t="n"/>
      <c r="J52" s="3" t="n"/>
    </row>
    <row r="53" ht="54" customHeight="1">
      <c r="A53" s="4" t="n">
        <v>14</v>
      </c>
      <c r="B53" s="4" t="n"/>
      <c r="C53" s="4" t="n"/>
      <c r="D53" s="4" t="n"/>
      <c r="E53" s="4" t="n"/>
      <c r="F53" s="4" t="n"/>
      <c r="G53" s="4" t="n"/>
      <c r="H53" s="4" t="n"/>
      <c r="I53" s="3" t="n"/>
      <c r="J53" s="3" t="n"/>
    </row>
    <row r="54" ht="54" customHeight="1">
      <c r="A54" s="4" t="n">
        <v>15</v>
      </c>
      <c r="B54" s="4" t="n"/>
      <c r="C54" s="4" t="n"/>
      <c r="D54" s="4" t="n"/>
      <c r="E54" s="4" t="n"/>
      <c r="F54" s="4" t="n"/>
      <c r="G54" s="4" t="n"/>
      <c r="H54" s="4" t="n"/>
      <c r="I54" s="3" t="n"/>
      <c r="J54" s="3" t="n"/>
    </row>
    <row r="55" ht="54" customHeight="1">
      <c r="A55" s="4" t="n">
        <v>16</v>
      </c>
      <c r="B55" s="4" t="n"/>
      <c r="C55" s="4" t="n"/>
      <c r="D55" s="4" t="n"/>
      <c r="E55" s="4" t="n"/>
      <c r="F55" s="4" t="n"/>
      <c r="G55" s="4" t="n"/>
      <c r="H55" s="4" t="n"/>
      <c r="I55" s="3" t="n"/>
      <c r="J55" s="3" t="n"/>
    </row>
    <row r="56" ht="54" customHeight="1">
      <c r="A56" s="4" t="n">
        <v>17</v>
      </c>
      <c r="B56" s="4" t="n"/>
      <c r="C56" s="4" t="n"/>
      <c r="D56" s="4" t="n"/>
      <c r="E56" s="4" t="n"/>
      <c r="F56" s="4" t="n"/>
      <c r="G56" s="4" t="n"/>
      <c r="H56" s="4" t="n"/>
      <c r="I56" s="3" t="n"/>
      <c r="J56" s="3" t="n"/>
    </row>
    <row r="57" ht="54" customHeight="1">
      <c r="A57" s="4" t="n">
        <v>18</v>
      </c>
      <c r="B57" s="4" t="n"/>
      <c r="C57" s="4" t="n"/>
      <c r="D57" s="4" t="n"/>
      <c r="E57" s="4" t="n"/>
      <c r="F57" s="4" t="n"/>
      <c r="G57" s="4" t="n"/>
      <c r="H57" s="4" t="n"/>
      <c r="I57" s="3" t="n"/>
      <c r="J57" s="3" t="n"/>
    </row>
    <row r="58" ht="54" customHeight="1">
      <c r="A58" s="4" t="n">
        <v>19</v>
      </c>
      <c r="B58" s="4" t="n"/>
      <c r="C58" s="4" t="n"/>
      <c r="D58" s="4" t="n"/>
      <c r="E58" s="4" t="n"/>
      <c r="F58" s="4" t="n"/>
      <c r="G58" s="4" t="n"/>
      <c r="H58" s="4" t="n"/>
      <c r="I58" s="3" t="n"/>
      <c r="J58" s="3" t="n"/>
    </row>
    <row r="59" ht="54" customHeight="1">
      <c r="A59" s="4" t="n">
        <v>20</v>
      </c>
      <c r="B59" s="4" t="n"/>
      <c r="C59" s="4" t="n"/>
      <c r="D59" s="4" t="n"/>
      <c r="E59" s="4" t="n"/>
      <c r="F59" s="4" t="n"/>
      <c r="G59" s="4" t="n"/>
      <c r="H59" s="4" t="n"/>
      <c r="I59" s="3" t="n"/>
      <c r="J59" s="3" t="n"/>
    </row>
    <row r="60">
      <c r="A60" s="3" t="n"/>
      <c r="B60" s="3" t="n"/>
      <c r="C60" s="3" t="n"/>
      <c r="D60" s="3" t="n"/>
      <c r="E60" s="3" t="n"/>
      <c r="F60" s="3" t="n"/>
      <c r="G60" s="3" t="n"/>
      <c r="H60" s="3" t="n"/>
      <c r="I60" s="3" t="n"/>
      <c r="J60" s="3" t="n"/>
    </row>
    <row r="61">
      <c r="A61" s="8" t="inlineStr">
        <is>
          <t>Final expert verdict</t>
        </is>
      </c>
      <c r="B61" s="3" t="n"/>
      <c r="C61" s="3" t="n"/>
      <c r="D61" s="3" t="n"/>
      <c r="E61" s="3" t="n"/>
      <c r="F61" s="3" t="n"/>
      <c r="G61" s="3" t="n"/>
      <c r="H61" s="3" t="n"/>
      <c r="I61" s="3" t="n"/>
      <c r="J61" s="3" t="n"/>
    </row>
    <row r="62">
      <c r="A62" s="12" t="inlineStr">
        <is>
          <t>Is the answer acceptable?</t>
        </is>
      </c>
      <c r="B62" s="4" t="inlineStr"/>
      <c r="C62" s="4" t="n"/>
      <c r="D62" s="4" t="n"/>
      <c r="E62" s="4" t="n"/>
      <c r="F62" s="4" t="n"/>
      <c r="G62" s="4" t="n"/>
      <c r="H62" s="4" t="n"/>
      <c r="I62" s="3" t="n"/>
      <c r="J62" s="3" t="n"/>
    </row>
    <row r="63" ht="54" customHeight="1">
      <c r="A63" s="12" t="inlineStr">
        <is>
          <t>Overall comment / required fixes</t>
        </is>
      </c>
      <c r="B63" s="4" t="n"/>
      <c r="C63" s="4" t="n"/>
      <c r="D63" s="4" t="n"/>
      <c r="E63" s="4" t="n"/>
      <c r="F63" s="4" t="n"/>
      <c r="G63" s="4" t="n"/>
      <c r="H63" s="4" t="n"/>
      <c r="I63" s="3" t="n"/>
      <c r="J63" s="3" t="n"/>
    </row>
    <row r="64">
      <c r="A64" s="4" t="n"/>
      <c r="B64" s="4" t="n"/>
      <c r="C64" s="4" t="n"/>
      <c r="D64" s="4" t="n"/>
      <c r="E64" s="4" t="n"/>
      <c r="F64" s="4" t="n"/>
      <c r="G64" s="4" t="n"/>
      <c r="H64" s="4" t="n"/>
      <c r="I64" s="3" t="n"/>
      <c r="J64" s="3" t="n"/>
    </row>
    <row r="65">
      <c r="A65" s="12" t="inlineStr">
        <is>
          <t>Missing key sources?</t>
        </is>
      </c>
      <c r="B65" s="4" t="n"/>
      <c r="C65" s="4" t="n"/>
      <c r="D65" s="4" t="n"/>
      <c r="E65" s="4" t="n"/>
      <c r="F65" s="4" t="n"/>
      <c r="G65" s="4" t="n"/>
      <c r="H65" s="4" t="n"/>
      <c r="I65" s="3" t="n"/>
      <c r="J65" s="3" t="n"/>
    </row>
    <row r="66">
      <c r="A66" s="12" t="inlineStr">
        <is>
          <t>Review completed?</t>
        </is>
      </c>
      <c r="B66" s="4" t="inlineStr"/>
      <c r="C66" s="4" t="n"/>
      <c r="D66" s="4" t="n"/>
      <c r="E66" s="4" t="n"/>
      <c r="F66" s="4" t="n"/>
      <c r="G66" s="4" t="n"/>
      <c r="H66" s="4" t="n"/>
      <c r="I66" s="3" t="n"/>
      <c r="J66" s="3" t="n"/>
    </row>
    <row r="67">
      <c r="A67" s="12" t="inlineStr">
        <is>
          <t>Reviewer</t>
        </is>
      </c>
      <c r="B67" s="4" t="n"/>
      <c r="C67" s="12" t="inlineStr">
        <is>
          <t>Review date</t>
        </is>
      </c>
      <c r="D67" s="5" t="inlineStr"/>
      <c r="E67" s="4" t="n"/>
      <c r="F67" s="4" t="n"/>
      <c r="G67" s="4" t="n"/>
      <c r="H67" s="4" t="n"/>
      <c r="I67" s="3" t="n"/>
      <c r="J67" s="3" t="n"/>
    </row>
    <row r="68">
      <c r="A68" s="3" t="n"/>
      <c r="B68" s="3" t="n"/>
      <c r="C68" s="3" t="n"/>
      <c r="D68" s="3" t="n"/>
      <c r="E68" s="3" t="n"/>
      <c r="F68" s="3" t="n"/>
      <c r="G68" s="3" t="n"/>
      <c r="H68" s="3" t="n"/>
      <c r="I68" s="3" t="n"/>
      <c r="J68" s="3" t="n"/>
    </row>
    <row r="69">
      <c r="A69" s="8" t="inlineStr">
        <is>
          <t>Original source notes</t>
        </is>
      </c>
      <c r="B69" s="3" t="n"/>
      <c r="C69" s="3" t="n"/>
      <c r="D69" s="3" t="n"/>
      <c r="E69" s="3" t="n"/>
      <c r="F69" s="3" t="n"/>
      <c r="G69" s="3" t="n"/>
      <c r="H69" s="3" t="n"/>
      <c r="I69" s="3" t="n"/>
      <c r="J69" s="3" t="n"/>
    </row>
    <row r="70">
      <c r="A70" s="12" t="inlineStr">
        <is>
          <t>WAB notes</t>
        </is>
      </c>
      <c r="B70" s="4" t="inlineStr"/>
      <c r="C70" s="4" t="n"/>
      <c r="D70" s="4" t="n"/>
      <c r="E70" s="4" t="n"/>
      <c r="F70" s="4" t="n"/>
      <c r="G70" s="4" t="n"/>
      <c r="H70" s="4" t="n"/>
      <c r="I70" s="3" t="n"/>
      <c r="J70" s="3" t="n"/>
    </row>
    <row r="71" ht="54" customHeight="1">
      <c r="A71" s="12" t="inlineStr">
        <is>
          <t>Reviewer notes from question approval</t>
        </is>
      </c>
      <c r="B71" s="4" t="inlineStr">
        <is>
          <t>We can keep this one</t>
        </is>
      </c>
      <c r="C71" s="4" t="n"/>
      <c r="D71" s="4" t="n"/>
      <c r="E71" s="4" t="n"/>
      <c r="F71" s="4" t="n"/>
      <c r="G71" s="4" t="n"/>
      <c r="H71" s="4" t="n"/>
      <c r="I71" s="3" t="n"/>
      <c r="J71" s="3" t="n"/>
    </row>
    <row r="72">
      <c r="A72" s="4" t="n"/>
      <c r="B72" s="4" t="n"/>
      <c r="C72" s="4" t="n"/>
      <c r="D72" s="4" t="n"/>
      <c r="E72" s="4" t="n"/>
      <c r="F72" s="4" t="n"/>
      <c r="G72" s="4" t="n"/>
      <c r="H72" s="4" t="n"/>
      <c r="I72" s="3" t="n"/>
      <c r="J72" s="3" t="n"/>
    </row>
  </sheetData>
  <autoFilter ref="A21:J36"/>
  <mergeCells count="20">
    <mergeCell ref="B65:H65"/>
    <mergeCell ref="B71:H72"/>
    <mergeCell ref="B6:H6"/>
    <mergeCell ref="A20:J20"/>
    <mergeCell ref="A1:H1"/>
    <mergeCell ref="B5:H5"/>
    <mergeCell ref="A61:H61"/>
    <mergeCell ref="A69:H69"/>
    <mergeCell ref="B4:H4"/>
    <mergeCell ref="B62:H62"/>
    <mergeCell ref="B7:H7"/>
    <mergeCell ref="B66:H66"/>
    <mergeCell ref="A3:H3"/>
    <mergeCell ref="A16:H18"/>
    <mergeCell ref="B70:H70"/>
    <mergeCell ref="A14:H14"/>
    <mergeCell ref="B63:H64"/>
    <mergeCell ref="B8:H8"/>
    <mergeCell ref="B10:H12"/>
    <mergeCell ref="A38:H38"/>
  </mergeCells>
  <dataValidations count="9">
    <dataValidation sqref="C22:C36" showDropDown="0" showInputMessage="0" showErrorMessage="0" allowBlank="1" type="list">
      <formula1>=Lists!$F$2:$F$5</formula1>
    </dataValidation>
    <dataValidation sqref="F22:F36" showDropDown="0" showInputMessage="0" showErrorMessage="0" allowBlank="1" type="list">
      <formula1>=Lists!$G$2:$G$4</formula1>
    </dataValidation>
    <dataValidation sqref="G22:G36" showDropDown="0" showInputMessage="0" showErrorMessage="0" allowBlank="1" type="list">
      <formula1>=Lists!$G$2:$G$4</formula1>
    </dataValidation>
    <dataValidation sqref="H22:H36" showDropDown="0" showInputMessage="0" showErrorMessage="0" allowBlank="1" type="list">
      <formula1>=Lists!$G$2:$G$4</formula1>
    </dataValidation>
    <dataValidation sqref="I22:I36" showDropDown="0" showInputMessage="0" showErrorMessage="0" allowBlank="1" type="list">
      <formula1>=Lists!$H$2:$H$6</formula1>
    </dataValidation>
    <dataValidation sqref="D40:D59" showDropDown="0" showInputMessage="0" showErrorMessage="0" allowBlank="1" type="list">
      <formula1>=Lists!$D$2:$D$7</formula1>
    </dataValidation>
    <dataValidation sqref="E40:E59" showDropDown="0" showInputMessage="0" showErrorMessage="0" allowBlank="1" type="list">
      <formula1>=Lists!$E$2:$E$8</formula1>
    </dataValidation>
    <dataValidation sqref="B62" showDropDown="0" showInputMessage="0" showErrorMessage="0" allowBlank="1" type="list">
      <formula1>=Lists!$C$2:$C$4</formula1>
    </dataValidation>
    <dataValidation sqref="B66" showDropDown="0" showInputMessage="0" showErrorMessage="0" allowBlank="1" type="list">
      <formula1>=Lists!$A$2:$A$3</formula1>
    </dataValidation>
  </dataValidations>
  <pageMargins left="0.75" right="0.75" top="1" bottom="1" header="0.5" footer="0.5"/>
</worksheet>
</file>

<file path=xl/worksheets/sheet37.xml><?xml version="1.0" encoding="utf-8"?>
<worksheet xmlns="http://schemas.openxmlformats.org/spreadsheetml/2006/main">
  <sheetPr>
    <outlinePr summaryBelow="1" summaryRight="1"/>
    <pageSetUpPr/>
  </sheetPr>
  <dimension ref="A1:J72"/>
  <sheetViews>
    <sheetView showGridLines="0" workbookViewId="0">
      <pane ySplit="21" topLeftCell="A22" activePane="bottomLeft" state="frozen"/>
      <selection pane="bottomLeft" activeCell="A1" sqref="A1"/>
    </sheetView>
  </sheetViews>
  <sheetFormatPr baseColWidth="8" defaultRowHeight="15"/>
  <cols>
    <col width="12" customWidth="1" min="1" max="1"/>
    <col width="34" customWidth="1" min="2" max="2"/>
    <col width="22" customWidth="1" min="3" max="3"/>
    <col width="18" customWidth="1" min="4" max="4"/>
    <col width="20" customWidth="1" min="5" max="5"/>
    <col width="30" customWidth="1" min="6" max="6"/>
    <col width="34" customWidth="1" min="7" max="7"/>
    <col width="18" customWidth="1" min="8" max="8"/>
    <col width="18" customWidth="1" min="9" max="9"/>
    <col width="30" customWidth="1" min="10" max="10"/>
  </cols>
  <sheetData>
    <row r="1" ht="28" customHeight="1">
      <c r="A1" s="6" t="inlineStr">
        <is>
          <t>Q41 — Expert Review</t>
        </is>
      </c>
      <c r="B1" s="3" t="n"/>
      <c r="C1" s="3" t="n"/>
      <c r="D1" s="3" t="n"/>
      <c r="E1" s="3" t="n"/>
      <c r="F1" s="3" t="n"/>
      <c r="G1" s="3" t="n"/>
      <c r="H1" s="3" t="n"/>
      <c r="I1" s="3" t="n"/>
      <c r="J1" s="3" t="n"/>
    </row>
    <row r="2">
      <c r="A2" s="3" t="n"/>
      <c r="B2" s="3" t="n"/>
      <c r="C2" s="3" t="n"/>
      <c r="D2" s="3" t="n"/>
      <c r="E2" s="3" t="n"/>
      <c r="F2" s="3" t="n"/>
      <c r="G2" s="3" t="n"/>
      <c r="H2" s="3" t="n"/>
      <c r="I2" s="3" t="n"/>
      <c r="J2" s="3" t="n"/>
    </row>
    <row r="3">
      <c r="A3" s="8" t="inlineStr">
        <is>
          <t>Question metadata</t>
        </is>
      </c>
      <c r="B3" s="3" t="n"/>
      <c r="C3" s="3" t="n"/>
      <c r="D3" s="3" t="n"/>
      <c r="E3" s="3" t="n"/>
      <c r="F3" s="3" t="n"/>
      <c r="G3" s="3" t="n"/>
      <c r="H3" s="3" t="n"/>
      <c r="I3" s="3" t="n"/>
      <c r="J3" s="3" t="n"/>
    </row>
    <row r="4">
      <c r="A4" s="9" t="inlineStr">
        <is>
          <t>Question ID</t>
        </is>
      </c>
      <c r="B4" s="3" t="n">
        <v>41</v>
      </c>
      <c r="C4" s="3" t="n"/>
      <c r="D4" s="3" t="n"/>
      <c r="E4" s="3" t="n"/>
      <c r="F4" s="3" t="n"/>
      <c r="G4" s="3" t="n"/>
      <c r="H4" s="3" t="n"/>
      <c r="I4" s="3" t="n"/>
      <c r="J4" s="3" t="n"/>
    </row>
    <row r="5">
      <c r="A5" s="9" t="inlineStr">
        <is>
          <t>Topic</t>
        </is>
      </c>
      <c r="B5" s="3" t="inlineStr">
        <is>
          <t>Dawn raids — electronic data</t>
        </is>
      </c>
      <c r="C5" s="3" t="n"/>
      <c r="D5" s="3" t="n"/>
      <c r="E5" s="3" t="n"/>
      <c r="F5" s="3" t="n"/>
      <c r="G5" s="3" t="n"/>
      <c r="H5" s="3" t="n"/>
      <c r="I5" s="3" t="n"/>
      <c r="J5" s="3" t="n"/>
    </row>
    <row r="6">
      <c r="A6" s="9" t="inlineStr">
        <is>
          <t>Scope</t>
        </is>
      </c>
      <c r="B6" s="3" t="inlineStr">
        <is>
          <t>EU</t>
        </is>
      </c>
      <c r="C6" s="3" t="n"/>
      <c r="D6" s="3" t="n"/>
      <c r="E6" s="3" t="n"/>
      <c r="F6" s="3" t="n"/>
      <c r="G6" s="3" t="n"/>
      <c r="H6" s="3" t="n"/>
      <c r="I6" s="3" t="n"/>
      <c r="J6" s="3" t="n"/>
    </row>
    <row r="7">
      <c r="A7" s="9" t="inlineStr">
        <is>
          <t>Original reviewer</t>
        </is>
      </c>
      <c r="B7" s="3" t="inlineStr">
        <is>
          <t>Carolina</t>
        </is>
      </c>
      <c r="C7" s="3" t="n"/>
      <c r="D7" s="3" t="n"/>
      <c r="E7" s="3" t="n"/>
      <c r="F7" s="3" t="n"/>
      <c r="G7" s="3" t="n"/>
      <c r="H7" s="3" t="n"/>
      <c r="I7" s="3" t="n"/>
      <c r="J7" s="3" t="n"/>
    </row>
    <row r="8">
      <c r="A8" s="9" t="inlineStr">
        <is>
          <t>Original status</t>
        </is>
      </c>
      <c r="B8" s="3" t="inlineStr">
        <is>
          <t>Approved</t>
        </is>
      </c>
      <c r="C8" s="3" t="n"/>
      <c r="D8" s="3" t="n"/>
      <c r="E8" s="3" t="n"/>
      <c r="F8" s="3" t="n"/>
      <c r="G8" s="3" t="n"/>
      <c r="H8" s="3" t="n"/>
      <c r="I8" s="3" t="n"/>
      <c r="J8" s="3" t="n"/>
    </row>
    <row r="9">
      <c r="A9" s="3" t="n"/>
      <c r="B9" s="3" t="n"/>
      <c r="C9" s="3" t="n"/>
      <c r="D9" s="3" t="n"/>
      <c r="E9" s="3" t="n"/>
      <c r="F9" s="3" t="n"/>
      <c r="G9" s="3" t="n"/>
      <c r="H9" s="3" t="n"/>
      <c r="I9" s="3" t="n"/>
      <c r="J9" s="3" t="n"/>
    </row>
    <row r="10" ht="45" customHeight="1">
      <c r="A10" s="9" t="inlineStr">
        <is>
          <t>Question</t>
        </is>
      </c>
      <c r="B10" s="3" t="inlineStr">
        <is>
          <t>May the Commission take a forensic copy of a company's electronic data and carry on examining it at its own premises after the inspection has ended? What safeguards apply, and what rights does the company keep over that copy?</t>
        </is>
      </c>
      <c r="C10" s="3" t="n"/>
      <c r="D10" s="3" t="n"/>
      <c r="E10" s="3" t="n"/>
      <c r="F10" s="3" t="n"/>
      <c r="G10" s="3" t="n"/>
      <c r="H10" s="3" t="n"/>
      <c r="I10" s="3" t="n"/>
      <c r="J10" s="3" t="n"/>
    </row>
    <row r="11">
      <c r="A11" s="3" t="n"/>
      <c r="B11" s="3" t="n"/>
      <c r="C11" s="3" t="n"/>
      <c r="D11" s="3" t="n"/>
      <c r="E11" s="3" t="n"/>
      <c r="F11" s="3" t="n"/>
      <c r="G11" s="3" t="n"/>
      <c r="H11" s="3" t="n"/>
      <c r="I11" s="3" t="n"/>
      <c r="J11" s="3" t="n"/>
    </row>
    <row r="12">
      <c r="A12" s="3" t="n"/>
      <c r="B12" s="3" t="n"/>
      <c r="C12" s="3" t="n"/>
      <c r="D12" s="3" t="n"/>
      <c r="E12" s="3" t="n"/>
      <c r="F12" s="3" t="n"/>
      <c r="G12" s="3" t="n"/>
      <c r="H12" s="3" t="n"/>
      <c r="I12" s="3" t="n"/>
      <c r="J12" s="3" t="n"/>
    </row>
    <row r="13">
      <c r="A13" s="3" t="n"/>
      <c r="B13" s="3" t="n"/>
      <c r="C13" s="3" t="n"/>
      <c r="D13" s="3" t="n"/>
      <c r="E13" s="3" t="n"/>
      <c r="F13" s="3" t="n"/>
      <c r="G13" s="3" t="n"/>
      <c r="H13" s="3" t="n"/>
      <c r="I13" s="3" t="n"/>
      <c r="J13" s="3" t="n"/>
    </row>
    <row r="14">
      <c r="A14" s="8" t="inlineStr">
        <is>
          <t>Generated answer</t>
        </is>
      </c>
      <c r="B14" s="3" t="n"/>
      <c r="C14" s="3" t="n"/>
      <c r="D14" s="3" t="n"/>
      <c r="E14" s="3" t="n"/>
      <c r="F14" s="3" t="n"/>
      <c r="G14" s="3" t="n"/>
      <c r="H14" s="3" t="n"/>
      <c r="I14" s="3" t="n"/>
      <c r="J14" s="3" t="n"/>
    </row>
    <row r="15">
      <c r="A15" s="10" t="inlineStr">
        <is>
          <t>Paste the generated answer below.</t>
        </is>
      </c>
      <c r="B15" s="3" t="n"/>
      <c r="C15" s="3" t="n"/>
      <c r="D15" s="3" t="n"/>
      <c r="E15" s="3" t="n"/>
      <c r="F15" s="3" t="n"/>
      <c r="G15" s="3" t="n"/>
      <c r="H15" s="3" t="n"/>
      <c r="I15" s="3" t="n"/>
      <c r="J15" s="3" t="n"/>
    </row>
    <row r="16" ht="90" customHeight="1">
      <c r="A16" s="3" t="inlineStr"/>
      <c r="B16" s="3" t="n"/>
      <c r="C16" s="3" t="n"/>
      <c r="D16" s="3" t="n"/>
      <c r="E16" s="3" t="n"/>
      <c r="F16" s="3" t="n"/>
      <c r="G16" s="3" t="n"/>
      <c r="H16" s="3" t="n"/>
      <c r="I16" s="3" t="n"/>
      <c r="J16" s="3" t="n"/>
    </row>
    <row r="17" ht="30" customHeight="1">
      <c r="A17" s="3" t="n"/>
      <c r="B17" s="3" t="n"/>
      <c r="C17" s="3" t="n"/>
      <c r="D17" s="3" t="n"/>
      <c r="E17" s="3" t="n"/>
      <c r="F17" s="3" t="n"/>
      <c r="G17" s="3" t="n"/>
      <c r="H17" s="3" t="n"/>
      <c r="I17" s="3" t="n"/>
      <c r="J17" s="3" t="n"/>
    </row>
    <row r="18" ht="30" customHeight="1">
      <c r="A18" s="3" t="n"/>
      <c r="B18" s="3" t="n"/>
      <c r="C18" s="3" t="n"/>
      <c r="D18" s="3" t="n"/>
      <c r="E18" s="3" t="n"/>
      <c r="F18" s="3" t="n"/>
      <c r="G18" s="3" t="n"/>
      <c r="H18" s="3" t="n"/>
      <c r="I18" s="3" t="n"/>
      <c r="J18" s="3" t="n"/>
    </row>
    <row r="19">
      <c r="A19" s="9" t="inlineStr">
        <is>
          <t>Run ID</t>
        </is>
      </c>
      <c r="B19" s="3" t="inlineStr"/>
      <c r="C19" s="9" t="inlineStr">
        <is>
          <t>Run date</t>
        </is>
      </c>
      <c r="D19" s="3" t="inlineStr"/>
      <c r="E19" s="9" t="inlineStr">
        <is>
          <t>Model / prompt version</t>
        </is>
      </c>
      <c r="F19" s="3" t="inlineStr"/>
      <c r="G19" s="9" t="inlineStr">
        <is>
          <t>Corpus snapshot</t>
        </is>
      </c>
      <c r="H19" s="3" t="inlineStr"/>
      <c r="I19" s="3" t="n"/>
      <c r="J19" s="3" t="n"/>
    </row>
    <row r="20">
      <c r="A20" s="8" t="inlineStr">
        <is>
          <t>Retrieval set review</t>
        </is>
      </c>
      <c r="B20" s="3" t="n"/>
      <c r="C20" s="3" t="n"/>
      <c r="D20" s="3" t="n"/>
      <c r="E20" s="3" t="n"/>
      <c r="F20" s="3" t="n"/>
      <c r="G20" s="3" t="n"/>
      <c r="H20" s="3" t="n"/>
      <c r="I20" s="3" t="n"/>
      <c r="J20" s="3" t="n"/>
    </row>
    <row r="21">
      <c r="A21" s="11" t="inlineStr">
        <is>
          <t>Rank</t>
        </is>
      </c>
      <c r="B21" s="11" t="inlineStr">
        <is>
          <t>Retrieved source</t>
        </is>
      </c>
      <c r="C21" s="11" t="inlineStr">
        <is>
          <t>Source type</t>
        </is>
      </c>
      <c r="D21" s="11" t="inlineStr">
        <is>
          <t>Jurisdiction</t>
        </is>
      </c>
      <c r="E21" s="11" t="inlineStr">
        <is>
          <t>URL / Document ID</t>
        </is>
      </c>
      <c r="F21" s="11" t="inlineStr">
        <is>
          <t>Returned by engine?</t>
        </is>
      </c>
      <c r="G21" s="11" t="inlineStr">
        <is>
          <t>Required source?</t>
        </is>
      </c>
      <c r="H21" s="11" t="inlineStr">
        <is>
          <t>Trap?</t>
        </is>
      </c>
      <c r="I21" s="11" t="inlineStr">
        <is>
          <t>Expert verdict</t>
        </is>
      </c>
      <c r="J21" s="11" t="inlineStr">
        <is>
          <t>Notes</t>
        </is>
      </c>
    </row>
    <row r="22" ht="44" customHeight="1">
      <c r="A22" s="4" t="n">
        <v>1</v>
      </c>
      <c r="B22" s="4" t="n"/>
      <c r="C22" s="4" t="n"/>
      <c r="D22" s="4" t="n"/>
      <c r="E22" s="4" t="n"/>
      <c r="F22" s="4" t="n"/>
      <c r="G22" s="4" t="n"/>
      <c r="H22" s="4" t="n"/>
      <c r="I22" s="4" t="n"/>
      <c r="J22" s="4" t="n"/>
    </row>
    <row r="23" ht="44" customHeight="1">
      <c r="A23" s="4" t="n">
        <v>2</v>
      </c>
      <c r="B23" s="4" t="n"/>
      <c r="C23" s="4" t="n"/>
      <c r="D23" s="4" t="n"/>
      <c r="E23" s="4" t="n"/>
      <c r="F23" s="4" t="n"/>
      <c r="G23" s="4" t="n"/>
      <c r="H23" s="4" t="n"/>
      <c r="I23" s="4" t="n"/>
      <c r="J23" s="4" t="n"/>
    </row>
    <row r="24" ht="44" customHeight="1">
      <c r="A24" s="4" t="n">
        <v>3</v>
      </c>
      <c r="B24" s="4" t="n"/>
      <c r="C24" s="4" t="n"/>
      <c r="D24" s="4" t="n"/>
      <c r="E24" s="4" t="n"/>
      <c r="F24" s="4" t="n"/>
      <c r="G24" s="4" t="n"/>
      <c r="H24" s="4" t="n"/>
      <c r="I24" s="4" t="n"/>
      <c r="J24" s="4" t="n"/>
    </row>
    <row r="25" ht="44" customHeight="1">
      <c r="A25" s="4" t="n">
        <v>4</v>
      </c>
      <c r="B25" s="4" t="n"/>
      <c r="C25" s="4" t="n"/>
      <c r="D25" s="4" t="n"/>
      <c r="E25" s="4" t="n"/>
      <c r="F25" s="4" t="n"/>
      <c r="G25" s="4" t="n"/>
      <c r="H25" s="4" t="n"/>
      <c r="I25" s="4" t="n"/>
      <c r="J25" s="4" t="n"/>
    </row>
    <row r="26" ht="44" customHeight="1">
      <c r="A26" s="4" t="n">
        <v>5</v>
      </c>
      <c r="B26" s="4" t="n"/>
      <c r="C26" s="4" t="n"/>
      <c r="D26" s="4" t="n"/>
      <c r="E26" s="4" t="n"/>
      <c r="F26" s="4" t="n"/>
      <c r="G26" s="4" t="n"/>
      <c r="H26" s="4" t="n"/>
      <c r="I26" s="4" t="n"/>
      <c r="J26" s="4" t="n"/>
    </row>
    <row r="27" ht="44" customHeight="1">
      <c r="A27" s="4" t="n">
        <v>6</v>
      </c>
      <c r="B27" s="4" t="n"/>
      <c r="C27" s="4" t="n"/>
      <c r="D27" s="4" t="n"/>
      <c r="E27" s="4" t="n"/>
      <c r="F27" s="4" t="n"/>
      <c r="G27" s="4" t="n"/>
      <c r="H27" s="4" t="n"/>
      <c r="I27" s="4" t="n"/>
      <c r="J27" s="4" t="n"/>
    </row>
    <row r="28" ht="44" customHeight="1">
      <c r="A28" s="4" t="n">
        <v>7</v>
      </c>
      <c r="B28" s="4" t="n"/>
      <c r="C28" s="4" t="n"/>
      <c r="D28" s="4" t="n"/>
      <c r="E28" s="4" t="n"/>
      <c r="F28" s="4" t="n"/>
      <c r="G28" s="4" t="n"/>
      <c r="H28" s="4" t="n"/>
      <c r="I28" s="4" t="n"/>
      <c r="J28" s="4" t="n"/>
    </row>
    <row r="29" ht="44" customHeight="1">
      <c r="A29" s="4" t="n">
        <v>8</v>
      </c>
      <c r="B29" s="4" t="n"/>
      <c r="C29" s="4" t="n"/>
      <c r="D29" s="4" t="n"/>
      <c r="E29" s="4" t="n"/>
      <c r="F29" s="4" t="n"/>
      <c r="G29" s="4" t="n"/>
      <c r="H29" s="4" t="n"/>
      <c r="I29" s="4" t="n"/>
      <c r="J29" s="4" t="n"/>
    </row>
    <row r="30" ht="44" customHeight="1">
      <c r="A30" s="4" t="n">
        <v>9</v>
      </c>
      <c r="B30" s="4" t="n"/>
      <c r="C30" s="4" t="n"/>
      <c r="D30" s="4" t="n"/>
      <c r="E30" s="4" t="n"/>
      <c r="F30" s="4" t="n"/>
      <c r="G30" s="4" t="n"/>
      <c r="H30" s="4" t="n"/>
      <c r="I30" s="4" t="n"/>
      <c r="J30" s="4" t="n"/>
    </row>
    <row r="31" ht="44" customHeight="1">
      <c r="A31" s="4" t="n">
        <v>10</v>
      </c>
      <c r="B31" s="4" t="n"/>
      <c r="C31" s="4" t="n"/>
      <c r="D31" s="4" t="n"/>
      <c r="E31" s="4" t="n"/>
      <c r="F31" s="4" t="n"/>
      <c r="G31" s="4" t="n"/>
      <c r="H31" s="4" t="n"/>
      <c r="I31" s="4" t="n"/>
      <c r="J31" s="4" t="n"/>
    </row>
    <row r="32" ht="44" customHeight="1">
      <c r="A32" s="4" t="n">
        <v>11</v>
      </c>
      <c r="B32" s="4" t="n"/>
      <c r="C32" s="4" t="n"/>
      <c r="D32" s="4" t="n"/>
      <c r="E32" s="4" t="n"/>
      <c r="F32" s="4" t="n"/>
      <c r="G32" s="4" t="n"/>
      <c r="H32" s="4" t="n"/>
      <c r="I32" s="4" t="n"/>
      <c r="J32" s="4" t="n"/>
    </row>
    <row r="33" ht="44" customHeight="1">
      <c r="A33" s="4" t="n">
        <v>12</v>
      </c>
      <c r="B33" s="4" t="n"/>
      <c r="C33" s="4" t="n"/>
      <c r="D33" s="4" t="n"/>
      <c r="E33" s="4" t="n"/>
      <c r="F33" s="4" t="n"/>
      <c r="G33" s="4" t="n"/>
      <c r="H33" s="4" t="n"/>
      <c r="I33" s="4" t="n"/>
      <c r="J33" s="4" t="n"/>
    </row>
    <row r="34" ht="44" customHeight="1">
      <c r="A34" s="4" t="n">
        <v>13</v>
      </c>
      <c r="B34" s="4" t="n"/>
      <c r="C34" s="4" t="n"/>
      <c r="D34" s="4" t="n"/>
      <c r="E34" s="4" t="n"/>
      <c r="F34" s="4" t="n"/>
      <c r="G34" s="4" t="n"/>
      <c r="H34" s="4" t="n"/>
      <c r="I34" s="4" t="n"/>
      <c r="J34" s="4" t="n"/>
    </row>
    <row r="35" ht="44" customHeight="1">
      <c r="A35" s="4" t="n">
        <v>14</v>
      </c>
      <c r="B35" s="4" t="n"/>
      <c r="C35" s="4" t="n"/>
      <c r="D35" s="4" t="n"/>
      <c r="E35" s="4" t="n"/>
      <c r="F35" s="4" t="n"/>
      <c r="G35" s="4" t="n"/>
      <c r="H35" s="4" t="n"/>
      <c r="I35" s="4" t="n"/>
      <c r="J35" s="4" t="n"/>
    </row>
    <row r="36" ht="44" customHeight="1">
      <c r="A36" s="4" t="n">
        <v>15</v>
      </c>
      <c r="B36" s="4" t="n"/>
      <c r="C36" s="4" t="n"/>
      <c r="D36" s="4" t="n"/>
      <c r="E36" s="4" t="n"/>
      <c r="F36" s="4" t="n"/>
      <c r="G36" s="4" t="n"/>
      <c r="H36" s="4" t="n"/>
      <c r="I36" s="4" t="n"/>
      <c r="J36" s="4" t="n"/>
    </row>
    <row r="37">
      <c r="A37" s="3" t="n"/>
      <c r="B37" s="3" t="n"/>
      <c r="C37" s="3" t="n"/>
      <c r="D37" s="3" t="n"/>
      <c r="E37" s="3" t="n"/>
      <c r="F37" s="3" t="n"/>
      <c r="G37" s="3" t="n"/>
      <c r="H37" s="3" t="n"/>
      <c r="I37" s="3" t="n"/>
      <c r="J37" s="3" t="n"/>
    </row>
    <row r="38">
      <c r="A38" s="8" t="inlineStr">
        <is>
          <t>Claim-by-claim review</t>
        </is>
      </c>
      <c r="B38" s="3" t="n"/>
      <c r="C38" s="3" t="n"/>
      <c r="D38" s="3" t="n"/>
      <c r="E38" s="3" t="n"/>
      <c r="F38" s="3" t="n"/>
      <c r="G38" s="3" t="n"/>
      <c r="H38" s="3" t="n"/>
      <c r="I38" s="3" t="n"/>
      <c r="J38" s="3" t="n"/>
    </row>
    <row r="39">
      <c r="A39" s="11" t="inlineStr">
        <is>
          <t>Claim ID</t>
        </is>
      </c>
      <c r="B39" s="11" t="inlineStr">
        <is>
          <t>Claim from answer</t>
        </is>
      </c>
      <c r="C39" s="11" t="inlineStr">
        <is>
          <t>Citation used</t>
        </is>
      </c>
      <c r="D39" s="11" t="inlineStr">
        <is>
          <t>Expert verdict</t>
        </is>
      </c>
      <c r="E39" s="11" t="inlineStr">
        <is>
          <t>Issue type</t>
        </is>
      </c>
      <c r="F39" s="11" t="inlineStr">
        <is>
          <t>Cited passage / source note</t>
        </is>
      </c>
      <c r="G39" s="11" t="inlineStr">
        <is>
          <t>Required fix / comment</t>
        </is>
      </c>
      <c r="H39" s="11" t="inlineStr">
        <is>
          <t>Reviewer</t>
        </is>
      </c>
      <c r="I39" s="11" t="n"/>
      <c r="J39" s="11" t="n"/>
    </row>
    <row r="40" ht="54" customHeight="1">
      <c r="A40" s="4" t="n">
        <v>1</v>
      </c>
      <c r="B40" s="4" t="n"/>
      <c r="C40" s="4" t="n"/>
      <c r="D40" s="4" t="n"/>
      <c r="E40" s="4" t="n"/>
      <c r="F40" s="4" t="n"/>
      <c r="G40" s="4" t="n"/>
      <c r="H40" s="4" t="n"/>
      <c r="I40" s="3" t="n"/>
      <c r="J40" s="3" t="n"/>
    </row>
    <row r="41" ht="54" customHeight="1">
      <c r="A41" s="4" t="n">
        <v>2</v>
      </c>
      <c r="B41" s="4" t="n"/>
      <c r="C41" s="4" t="n"/>
      <c r="D41" s="4" t="n"/>
      <c r="E41" s="4" t="n"/>
      <c r="F41" s="4" t="n"/>
      <c r="G41" s="4" t="n"/>
      <c r="H41" s="4" t="n"/>
      <c r="I41" s="3" t="n"/>
      <c r="J41" s="3" t="n"/>
    </row>
    <row r="42" ht="54" customHeight="1">
      <c r="A42" s="4" t="n">
        <v>3</v>
      </c>
      <c r="B42" s="4" t="n"/>
      <c r="C42" s="4" t="n"/>
      <c r="D42" s="4" t="n"/>
      <c r="E42" s="4" t="n"/>
      <c r="F42" s="4" t="n"/>
      <c r="G42" s="4" t="n"/>
      <c r="H42" s="4" t="n"/>
      <c r="I42" s="3" t="n"/>
      <c r="J42" s="3" t="n"/>
    </row>
    <row r="43" ht="54" customHeight="1">
      <c r="A43" s="4" t="n">
        <v>4</v>
      </c>
      <c r="B43" s="4" t="n"/>
      <c r="C43" s="4" t="n"/>
      <c r="D43" s="4" t="n"/>
      <c r="E43" s="4" t="n"/>
      <c r="F43" s="4" t="n"/>
      <c r="G43" s="4" t="n"/>
      <c r="H43" s="4" t="n"/>
      <c r="I43" s="3" t="n"/>
      <c r="J43" s="3" t="n"/>
    </row>
    <row r="44" ht="54" customHeight="1">
      <c r="A44" s="4" t="n">
        <v>5</v>
      </c>
      <c r="B44" s="4" t="n"/>
      <c r="C44" s="4" t="n"/>
      <c r="D44" s="4" t="n"/>
      <c r="E44" s="4" t="n"/>
      <c r="F44" s="4" t="n"/>
      <c r="G44" s="4" t="n"/>
      <c r="H44" s="4" t="n"/>
      <c r="I44" s="3" t="n"/>
      <c r="J44" s="3" t="n"/>
    </row>
    <row r="45" ht="54" customHeight="1">
      <c r="A45" s="4" t="n">
        <v>6</v>
      </c>
      <c r="B45" s="4" t="n"/>
      <c r="C45" s="4" t="n"/>
      <c r="D45" s="4" t="n"/>
      <c r="E45" s="4" t="n"/>
      <c r="F45" s="4" t="n"/>
      <c r="G45" s="4" t="n"/>
      <c r="H45" s="4" t="n"/>
      <c r="I45" s="3" t="n"/>
      <c r="J45" s="3" t="n"/>
    </row>
    <row r="46" ht="54" customHeight="1">
      <c r="A46" s="4" t="n">
        <v>7</v>
      </c>
      <c r="B46" s="4" t="n"/>
      <c r="C46" s="4" t="n"/>
      <c r="D46" s="4" t="n"/>
      <c r="E46" s="4" t="n"/>
      <c r="F46" s="4" t="n"/>
      <c r="G46" s="4" t="n"/>
      <c r="H46" s="4" t="n"/>
      <c r="I46" s="3" t="n"/>
      <c r="J46" s="3" t="n"/>
    </row>
    <row r="47" ht="54" customHeight="1">
      <c r="A47" s="4" t="n">
        <v>8</v>
      </c>
      <c r="B47" s="4" t="n"/>
      <c r="C47" s="4" t="n"/>
      <c r="D47" s="4" t="n"/>
      <c r="E47" s="4" t="n"/>
      <c r="F47" s="4" t="n"/>
      <c r="G47" s="4" t="n"/>
      <c r="H47" s="4" t="n"/>
      <c r="I47" s="3" t="n"/>
      <c r="J47" s="3" t="n"/>
    </row>
    <row r="48" ht="54" customHeight="1">
      <c r="A48" s="4" t="n">
        <v>9</v>
      </c>
      <c r="B48" s="4" t="n"/>
      <c r="C48" s="4" t="n"/>
      <c r="D48" s="4" t="n"/>
      <c r="E48" s="4" t="n"/>
      <c r="F48" s="4" t="n"/>
      <c r="G48" s="4" t="n"/>
      <c r="H48" s="4" t="n"/>
      <c r="I48" s="3" t="n"/>
      <c r="J48" s="3" t="n"/>
    </row>
    <row r="49" ht="54" customHeight="1">
      <c r="A49" s="4" t="n">
        <v>10</v>
      </c>
      <c r="B49" s="4" t="n"/>
      <c r="C49" s="4" t="n"/>
      <c r="D49" s="4" t="n"/>
      <c r="E49" s="4" t="n"/>
      <c r="F49" s="4" t="n"/>
      <c r="G49" s="4" t="n"/>
      <c r="H49" s="4" t="n"/>
      <c r="I49" s="3" t="n"/>
      <c r="J49" s="3" t="n"/>
    </row>
    <row r="50" ht="54" customHeight="1">
      <c r="A50" s="4" t="n">
        <v>11</v>
      </c>
      <c r="B50" s="4" t="n"/>
      <c r="C50" s="4" t="n"/>
      <c r="D50" s="4" t="n"/>
      <c r="E50" s="4" t="n"/>
      <c r="F50" s="4" t="n"/>
      <c r="G50" s="4" t="n"/>
      <c r="H50" s="4" t="n"/>
      <c r="I50" s="3" t="n"/>
      <c r="J50" s="3" t="n"/>
    </row>
    <row r="51" ht="54" customHeight="1">
      <c r="A51" s="4" t="n">
        <v>12</v>
      </c>
      <c r="B51" s="4" t="n"/>
      <c r="C51" s="4" t="n"/>
      <c r="D51" s="4" t="n"/>
      <c r="E51" s="4" t="n"/>
      <c r="F51" s="4" t="n"/>
      <c r="G51" s="4" t="n"/>
      <c r="H51" s="4" t="n"/>
      <c r="I51" s="3" t="n"/>
      <c r="J51" s="3" t="n"/>
    </row>
    <row r="52" ht="54" customHeight="1">
      <c r="A52" s="4" t="n">
        <v>13</v>
      </c>
      <c r="B52" s="4" t="n"/>
      <c r="C52" s="4" t="n"/>
      <c r="D52" s="4" t="n"/>
      <c r="E52" s="4" t="n"/>
      <c r="F52" s="4" t="n"/>
      <c r="G52" s="4" t="n"/>
      <c r="H52" s="4" t="n"/>
      <c r="I52" s="3" t="n"/>
      <c r="J52" s="3" t="n"/>
    </row>
    <row r="53" ht="54" customHeight="1">
      <c r="A53" s="4" t="n">
        <v>14</v>
      </c>
      <c r="B53" s="4" t="n"/>
      <c r="C53" s="4" t="n"/>
      <c r="D53" s="4" t="n"/>
      <c r="E53" s="4" t="n"/>
      <c r="F53" s="4" t="n"/>
      <c r="G53" s="4" t="n"/>
      <c r="H53" s="4" t="n"/>
      <c r="I53" s="3" t="n"/>
      <c r="J53" s="3" t="n"/>
    </row>
    <row r="54" ht="54" customHeight="1">
      <c r="A54" s="4" t="n">
        <v>15</v>
      </c>
      <c r="B54" s="4" t="n"/>
      <c r="C54" s="4" t="n"/>
      <c r="D54" s="4" t="n"/>
      <c r="E54" s="4" t="n"/>
      <c r="F54" s="4" t="n"/>
      <c r="G54" s="4" t="n"/>
      <c r="H54" s="4" t="n"/>
      <c r="I54" s="3" t="n"/>
      <c r="J54" s="3" t="n"/>
    </row>
    <row r="55" ht="54" customHeight="1">
      <c r="A55" s="4" t="n">
        <v>16</v>
      </c>
      <c r="B55" s="4" t="n"/>
      <c r="C55" s="4" t="n"/>
      <c r="D55" s="4" t="n"/>
      <c r="E55" s="4" t="n"/>
      <c r="F55" s="4" t="n"/>
      <c r="G55" s="4" t="n"/>
      <c r="H55" s="4" t="n"/>
      <c r="I55" s="3" t="n"/>
      <c r="J55" s="3" t="n"/>
    </row>
    <row r="56" ht="54" customHeight="1">
      <c r="A56" s="4" t="n">
        <v>17</v>
      </c>
      <c r="B56" s="4" t="n"/>
      <c r="C56" s="4" t="n"/>
      <c r="D56" s="4" t="n"/>
      <c r="E56" s="4" t="n"/>
      <c r="F56" s="4" t="n"/>
      <c r="G56" s="4" t="n"/>
      <c r="H56" s="4" t="n"/>
      <c r="I56" s="3" t="n"/>
      <c r="J56" s="3" t="n"/>
    </row>
    <row r="57" ht="54" customHeight="1">
      <c r="A57" s="4" t="n">
        <v>18</v>
      </c>
      <c r="B57" s="4" t="n"/>
      <c r="C57" s="4" t="n"/>
      <c r="D57" s="4" t="n"/>
      <c r="E57" s="4" t="n"/>
      <c r="F57" s="4" t="n"/>
      <c r="G57" s="4" t="n"/>
      <c r="H57" s="4" t="n"/>
      <c r="I57" s="3" t="n"/>
      <c r="J57" s="3" t="n"/>
    </row>
    <row r="58" ht="54" customHeight="1">
      <c r="A58" s="4" t="n">
        <v>19</v>
      </c>
      <c r="B58" s="4" t="n"/>
      <c r="C58" s="4" t="n"/>
      <c r="D58" s="4" t="n"/>
      <c r="E58" s="4" t="n"/>
      <c r="F58" s="4" t="n"/>
      <c r="G58" s="4" t="n"/>
      <c r="H58" s="4" t="n"/>
      <c r="I58" s="3" t="n"/>
      <c r="J58" s="3" t="n"/>
    </row>
    <row r="59" ht="54" customHeight="1">
      <c r="A59" s="4" t="n">
        <v>20</v>
      </c>
      <c r="B59" s="4" t="n"/>
      <c r="C59" s="4" t="n"/>
      <c r="D59" s="4" t="n"/>
      <c r="E59" s="4" t="n"/>
      <c r="F59" s="4" t="n"/>
      <c r="G59" s="4" t="n"/>
      <c r="H59" s="4" t="n"/>
      <c r="I59" s="3" t="n"/>
      <c r="J59" s="3" t="n"/>
    </row>
    <row r="60">
      <c r="A60" s="3" t="n"/>
      <c r="B60" s="3" t="n"/>
      <c r="C60" s="3" t="n"/>
      <c r="D60" s="3" t="n"/>
      <c r="E60" s="3" t="n"/>
      <c r="F60" s="3" t="n"/>
      <c r="G60" s="3" t="n"/>
      <c r="H60" s="3" t="n"/>
      <c r="I60" s="3" t="n"/>
      <c r="J60" s="3" t="n"/>
    </row>
    <row r="61">
      <c r="A61" s="8" t="inlineStr">
        <is>
          <t>Final expert verdict</t>
        </is>
      </c>
      <c r="B61" s="3" t="n"/>
      <c r="C61" s="3" t="n"/>
      <c r="D61" s="3" t="n"/>
      <c r="E61" s="3" t="n"/>
      <c r="F61" s="3" t="n"/>
      <c r="G61" s="3" t="n"/>
      <c r="H61" s="3" t="n"/>
      <c r="I61" s="3" t="n"/>
      <c r="J61" s="3" t="n"/>
    </row>
    <row r="62">
      <c r="A62" s="12" t="inlineStr">
        <is>
          <t>Is the answer acceptable?</t>
        </is>
      </c>
      <c r="B62" s="4" t="inlineStr"/>
      <c r="C62" s="4" t="n"/>
      <c r="D62" s="4" t="n"/>
      <c r="E62" s="4" t="n"/>
      <c r="F62" s="4" t="n"/>
      <c r="G62" s="4" t="n"/>
      <c r="H62" s="4" t="n"/>
      <c r="I62" s="3" t="n"/>
      <c r="J62" s="3" t="n"/>
    </row>
    <row r="63" ht="54" customHeight="1">
      <c r="A63" s="12" t="inlineStr">
        <is>
          <t>Overall comment / required fixes</t>
        </is>
      </c>
      <c r="B63" s="4" t="n"/>
      <c r="C63" s="4" t="n"/>
      <c r="D63" s="4" t="n"/>
      <c r="E63" s="4" t="n"/>
      <c r="F63" s="4" t="n"/>
      <c r="G63" s="4" t="n"/>
      <c r="H63" s="4" t="n"/>
      <c r="I63" s="3" t="n"/>
      <c r="J63" s="3" t="n"/>
    </row>
    <row r="64">
      <c r="A64" s="4" t="n"/>
      <c r="B64" s="4" t="n"/>
      <c r="C64" s="4" t="n"/>
      <c r="D64" s="4" t="n"/>
      <c r="E64" s="4" t="n"/>
      <c r="F64" s="4" t="n"/>
      <c r="G64" s="4" t="n"/>
      <c r="H64" s="4" t="n"/>
      <c r="I64" s="3" t="n"/>
      <c r="J64" s="3" t="n"/>
    </row>
    <row r="65">
      <c r="A65" s="12" t="inlineStr">
        <is>
          <t>Missing key sources?</t>
        </is>
      </c>
      <c r="B65" s="4" t="n"/>
      <c r="C65" s="4" t="n"/>
      <c r="D65" s="4" t="n"/>
      <c r="E65" s="4" t="n"/>
      <c r="F65" s="4" t="n"/>
      <c r="G65" s="4" t="n"/>
      <c r="H65" s="4" t="n"/>
      <c r="I65" s="3" t="n"/>
      <c r="J65" s="3" t="n"/>
    </row>
    <row r="66">
      <c r="A66" s="12" t="inlineStr">
        <is>
          <t>Review completed?</t>
        </is>
      </c>
      <c r="B66" s="4" t="inlineStr"/>
      <c r="C66" s="4" t="n"/>
      <c r="D66" s="4" t="n"/>
      <c r="E66" s="4" t="n"/>
      <c r="F66" s="4" t="n"/>
      <c r="G66" s="4" t="n"/>
      <c r="H66" s="4" t="n"/>
      <c r="I66" s="3" t="n"/>
      <c r="J66" s="3" t="n"/>
    </row>
    <row r="67">
      <c r="A67" s="12" t="inlineStr">
        <is>
          <t>Reviewer</t>
        </is>
      </c>
      <c r="B67" s="4" t="n"/>
      <c r="C67" s="12" t="inlineStr">
        <is>
          <t>Review date</t>
        </is>
      </c>
      <c r="D67" s="5" t="inlineStr"/>
      <c r="E67" s="4" t="n"/>
      <c r="F67" s="4" t="n"/>
      <c r="G67" s="4" t="n"/>
      <c r="H67" s="4" t="n"/>
      <c r="I67" s="3" t="n"/>
      <c r="J67" s="3" t="n"/>
    </row>
    <row r="68">
      <c r="A68" s="3" t="n"/>
      <c r="B68" s="3" t="n"/>
      <c r="C68" s="3" t="n"/>
      <c r="D68" s="3" t="n"/>
      <c r="E68" s="3" t="n"/>
      <c r="F68" s="3" t="n"/>
      <c r="G68" s="3" t="n"/>
      <c r="H68" s="3" t="n"/>
      <c r="I68" s="3" t="n"/>
      <c r="J68" s="3" t="n"/>
    </row>
    <row r="69">
      <c r="A69" s="8" t="inlineStr">
        <is>
          <t>Original source notes</t>
        </is>
      </c>
      <c r="B69" s="3" t="n"/>
      <c r="C69" s="3" t="n"/>
      <c r="D69" s="3" t="n"/>
      <c r="E69" s="3" t="n"/>
      <c r="F69" s="3" t="n"/>
      <c r="G69" s="3" t="n"/>
      <c r="H69" s="3" t="n"/>
      <c r="I69" s="3" t="n"/>
      <c r="J69" s="3" t="n"/>
    </row>
    <row r="70">
      <c r="A70" s="12" t="inlineStr">
        <is>
          <t>WAB notes</t>
        </is>
      </c>
      <c r="B70" s="4" t="inlineStr"/>
      <c r="C70" s="4" t="n"/>
      <c r="D70" s="4" t="n"/>
      <c r="E70" s="4" t="n"/>
      <c r="F70" s="4" t="n"/>
      <c r="G70" s="4" t="n"/>
      <c r="H70" s="4" t="n"/>
      <c r="I70" s="3" t="n"/>
      <c r="J70" s="3" t="n"/>
    </row>
    <row r="71" ht="54" customHeight="1">
      <c r="A71" s="12" t="inlineStr">
        <is>
          <t>Reviewer notes from question approval</t>
        </is>
      </c>
      <c r="B71" s="4" t="inlineStr">
        <is>
          <t>agreed, let's keep it.</t>
        </is>
      </c>
      <c r="C71" s="4" t="n"/>
      <c r="D71" s="4" t="n"/>
      <c r="E71" s="4" t="n"/>
      <c r="F71" s="4" t="n"/>
      <c r="G71" s="4" t="n"/>
      <c r="H71" s="4" t="n"/>
      <c r="I71" s="3" t="n"/>
      <c r="J71" s="3" t="n"/>
    </row>
    <row r="72">
      <c r="A72" s="4" t="n"/>
      <c r="B72" s="4" t="n"/>
      <c r="C72" s="4" t="n"/>
      <c r="D72" s="4" t="n"/>
      <c r="E72" s="4" t="n"/>
      <c r="F72" s="4" t="n"/>
      <c r="G72" s="4" t="n"/>
      <c r="H72" s="4" t="n"/>
      <c r="I72" s="3" t="n"/>
      <c r="J72" s="3" t="n"/>
    </row>
  </sheetData>
  <autoFilter ref="A21:J36"/>
  <mergeCells count="20">
    <mergeCell ref="B65:H65"/>
    <mergeCell ref="B71:H72"/>
    <mergeCell ref="B6:H6"/>
    <mergeCell ref="A20:J20"/>
    <mergeCell ref="A1:H1"/>
    <mergeCell ref="B5:H5"/>
    <mergeCell ref="A61:H61"/>
    <mergeCell ref="A69:H69"/>
    <mergeCell ref="B4:H4"/>
    <mergeCell ref="B62:H62"/>
    <mergeCell ref="B7:H7"/>
    <mergeCell ref="B66:H66"/>
    <mergeCell ref="A3:H3"/>
    <mergeCell ref="A16:H18"/>
    <mergeCell ref="B70:H70"/>
    <mergeCell ref="A14:H14"/>
    <mergeCell ref="B63:H64"/>
    <mergeCell ref="B8:H8"/>
    <mergeCell ref="B10:H12"/>
    <mergeCell ref="A38:H38"/>
  </mergeCells>
  <dataValidations count="9">
    <dataValidation sqref="C22:C36" showDropDown="0" showInputMessage="0" showErrorMessage="0" allowBlank="1" type="list">
      <formula1>=Lists!$F$2:$F$5</formula1>
    </dataValidation>
    <dataValidation sqref="F22:F36" showDropDown="0" showInputMessage="0" showErrorMessage="0" allowBlank="1" type="list">
      <formula1>=Lists!$G$2:$G$4</formula1>
    </dataValidation>
    <dataValidation sqref="G22:G36" showDropDown="0" showInputMessage="0" showErrorMessage="0" allowBlank="1" type="list">
      <formula1>=Lists!$G$2:$G$4</formula1>
    </dataValidation>
    <dataValidation sqref="H22:H36" showDropDown="0" showInputMessage="0" showErrorMessage="0" allowBlank="1" type="list">
      <formula1>=Lists!$G$2:$G$4</formula1>
    </dataValidation>
    <dataValidation sqref="I22:I36" showDropDown="0" showInputMessage="0" showErrorMessage="0" allowBlank="1" type="list">
      <formula1>=Lists!$H$2:$H$6</formula1>
    </dataValidation>
    <dataValidation sqref="D40:D59" showDropDown="0" showInputMessage="0" showErrorMessage="0" allowBlank="1" type="list">
      <formula1>=Lists!$D$2:$D$7</formula1>
    </dataValidation>
    <dataValidation sqref="E40:E59" showDropDown="0" showInputMessage="0" showErrorMessage="0" allowBlank="1" type="list">
      <formula1>=Lists!$E$2:$E$8</formula1>
    </dataValidation>
    <dataValidation sqref="B62" showDropDown="0" showInputMessage="0" showErrorMessage="0" allowBlank="1" type="list">
      <formula1>=Lists!$C$2:$C$4</formula1>
    </dataValidation>
    <dataValidation sqref="B66" showDropDown="0" showInputMessage="0" showErrorMessage="0" allowBlank="1" type="list">
      <formula1>=Lists!$A$2:$A$3</formula1>
    </dataValidation>
  </dataValidations>
  <pageMargins left="0.75" right="0.75" top="1" bottom="1" header="0.5" footer="0.5"/>
</worksheet>
</file>

<file path=xl/worksheets/sheet38.xml><?xml version="1.0" encoding="utf-8"?>
<worksheet xmlns="http://schemas.openxmlformats.org/spreadsheetml/2006/main">
  <sheetPr>
    <outlinePr summaryBelow="1" summaryRight="1"/>
    <pageSetUpPr/>
  </sheetPr>
  <dimension ref="A1:J72"/>
  <sheetViews>
    <sheetView showGridLines="0" workbookViewId="0">
      <pane ySplit="21" topLeftCell="A22" activePane="bottomLeft" state="frozen"/>
      <selection pane="bottomLeft" activeCell="A1" sqref="A1"/>
    </sheetView>
  </sheetViews>
  <sheetFormatPr baseColWidth="8" defaultRowHeight="15"/>
  <cols>
    <col width="12" customWidth="1" min="1" max="1"/>
    <col width="34" customWidth="1" min="2" max="2"/>
    <col width="22" customWidth="1" min="3" max="3"/>
    <col width="18" customWidth="1" min="4" max="4"/>
    <col width="20" customWidth="1" min="5" max="5"/>
    <col width="30" customWidth="1" min="6" max="6"/>
    <col width="34" customWidth="1" min="7" max="7"/>
    <col width="18" customWidth="1" min="8" max="8"/>
    <col width="18" customWidth="1" min="9" max="9"/>
    <col width="30" customWidth="1" min="10" max="10"/>
  </cols>
  <sheetData>
    <row r="1" ht="28" customHeight="1">
      <c r="A1" s="6" t="inlineStr">
        <is>
          <t>Q42 — Expert Review</t>
        </is>
      </c>
      <c r="B1" s="3" t="n"/>
      <c r="C1" s="3" t="n"/>
      <c r="D1" s="3" t="n"/>
      <c r="E1" s="3" t="n"/>
      <c r="F1" s="3" t="n"/>
      <c r="G1" s="3" t="n"/>
      <c r="H1" s="3" t="n"/>
      <c r="I1" s="3" t="n"/>
      <c r="J1" s="3" t="n"/>
    </row>
    <row r="2">
      <c r="A2" s="3" t="n"/>
      <c r="B2" s="3" t="n"/>
      <c r="C2" s="3" t="n"/>
      <c r="D2" s="3" t="n"/>
      <c r="E2" s="3" t="n"/>
      <c r="F2" s="3" t="n"/>
      <c r="G2" s="3" t="n"/>
      <c r="H2" s="3" t="n"/>
      <c r="I2" s="3" t="n"/>
      <c r="J2" s="3" t="n"/>
    </row>
    <row r="3">
      <c r="A3" s="8" t="inlineStr">
        <is>
          <t>Question metadata</t>
        </is>
      </c>
      <c r="B3" s="3" t="n"/>
      <c r="C3" s="3" t="n"/>
      <c r="D3" s="3" t="n"/>
      <c r="E3" s="3" t="n"/>
      <c r="F3" s="3" t="n"/>
      <c r="G3" s="3" t="n"/>
      <c r="H3" s="3" t="n"/>
      <c r="I3" s="3" t="n"/>
      <c r="J3" s="3" t="n"/>
    </row>
    <row r="4">
      <c r="A4" s="9" t="inlineStr">
        <is>
          <t>Question ID</t>
        </is>
      </c>
      <c r="B4" s="3" t="n">
        <v>42</v>
      </c>
      <c r="C4" s="3" t="n"/>
      <c r="D4" s="3" t="n"/>
      <c r="E4" s="3" t="n"/>
      <c r="F4" s="3" t="n"/>
      <c r="G4" s="3" t="n"/>
      <c r="H4" s="3" t="n"/>
      <c r="I4" s="3" t="n"/>
      <c r="J4" s="3" t="n"/>
    </row>
    <row r="5">
      <c r="A5" s="9" t="inlineStr">
        <is>
          <t>Topic</t>
        </is>
      </c>
      <c r="B5" s="3" t="inlineStr">
        <is>
          <t>Dawn raids — electronic data</t>
        </is>
      </c>
      <c r="C5" s="3" t="n"/>
      <c r="D5" s="3" t="n"/>
      <c r="E5" s="3" t="n"/>
      <c r="F5" s="3" t="n"/>
      <c r="G5" s="3" t="n"/>
      <c r="H5" s="3" t="n"/>
      <c r="I5" s="3" t="n"/>
      <c r="J5" s="3" t="n"/>
    </row>
    <row r="6">
      <c r="A6" s="9" t="inlineStr">
        <is>
          <t>Scope</t>
        </is>
      </c>
      <c r="B6" s="3" t="inlineStr">
        <is>
          <t>EU</t>
        </is>
      </c>
      <c r="C6" s="3" t="n"/>
      <c r="D6" s="3" t="n"/>
      <c r="E6" s="3" t="n"/>
      <c r="F6" s="3" t="n"/>
      <c r="G6" s="3" t="n"/>
      <c r="H6" s="3" t="n"/>
      <c r="I6" s="3" t="n"/>
      <c r="J6" s="3" t="n"/>
    </row>
    <row r="7">
      <c r="A7" s="9" t="inlineStr">
        <is>
          <t>Original reviewer</t>
        </is>
      </c>
      <c r="B7" s="3" t="inlineStr">
        <is>
          <t>Carolina</t>
        </is>
      </c>
      <c r="C7" s="3" t="n"/>
      <c r="D7" s="3" t="n"/>
      <c r="E7" s="3" t="n"/>
      <c r="F7" s="3" t="n"/>
      <c r="G7" s="3" t="n"/>
      <c r="H7" s="3" t="n"/>
      <c r="I7" s="3" t="n"/>
      <c r="J7" s="3" t="n"/>
    </row>
    <row r="8">
      <c r="A8" s="9" t="inlineStr">
        <is>
          <t>Original status</t>
        </is>
      </c>
      <c r="B8" s="3" t="inlineStr">
        <is>
          <t>Approved</t>
        </is>
      </c>
      <c r="C8" s="3" t="n"/>
      <c r="D8" s="3" t="n"/>
      <c r="E8" s="3" t="n"/>
      <c r="F8" s="3" t="n"/>
      <c r="G8" s="3" t="n"/>
      <c r="H8" s="3" t="n"/>
      <c r="I8" s="3" t="n"/>
      <c r="J8" s="3" t="n"/>
    </row>
    <row r="9">
      <c r="A9" s="3" t="n"/>
      <c r="B9" s="3" t="n"/>
      <c r="C9" s="3" t="n"/>
      <c r="D9" s="3" t="n"/>
      <c r="E9" s="3" t="n"/>
      <c r="F9" s="3" t="n"/>
      <c r="G9" s="3" t="n"/>
      <c r="H9" s="3" t="n"/>
      <c r="I9" s="3" t="n"/>
      <c r="J9" s="3" t="n"/>
    </row>
    <row r="10" ht="45" customHeight="1">
      <c r="A10" s="9" t="inlineStr">
        <is>
          <t>Question</t>
        </is>
      </c>
      <c r="B10" s="3" t="inlineStr">
        <is>
          <t>Whose interests prevail when an inspection captures the private communications of employees who are not themselves under investigation — the Commission's investigative reach, or the privacy protected by Articles 7 and 8 of the Charter? And when does an undertaking's effort to shield that data become obstruction?</t>
        </is>
      </c>
      <c r="C10" s="3" t="n"/>
      <c r="D10" s="3" t="n"/>
      <c r="E10" s="3" t="n"/>
      <c r="F10" s="3" t="n"/>
      <c r="G10" s="3" t="n"/>
      <c r="H10" s="3" t="n"/>
      <c r="I10" s="3" t="n"/>
      <c r="J10" s="3" t="n"/>
    </row>
    <row r="11">
      <c r="A11" s="3" t="n"/>
      <c r="B11" s="3" t="n"/>
      <c r="C11" s="3" t="n"/>
      <c r="D11" s="3" t="n"/>
      <c r="E11" s="3" t="n"/>
      <c r="F11" s="3" t="n"/>
      <c r="G11" s="3" t="n"/>
      <c r="H11" s="3" t="n"/>
      <c r="I11" s="3" t="n"/>
      <c r="J11" s="3" t="n"/>
    </row>
    <row r="12">
      <c r="A12" s="3" t="n"/>
      <c r="B12" s="3" t="n"/>
      <c r="C12" s="3" t="n"/>
      <c r="D12" s="3" t="n"/>
      <c r="E12" s="3" t="n"/>
      <c r="F12" s="3" t="n"/>
      <c r="G12" s="3" t="n"/>
      <c r="H12" s="3" t="n"/>
      <c r="I12" s="3" t="n"/>
      <c r="J12" s="3" t="n"/>
    </row>
    <row r="13">
      <c r="A13" s="3" t="n"/>
      <c r="B13" s="3" t="n"/>
      <c r="C13" s="3" t="n"/>
      <c r="D13" s="3" t="n"/>
      <c r="E13" s="3" t="n"/>
      <c r="F13" s="3" t="n"/>
      <c r="G13" s="3" t="n"/>
      <c r="H13" s="3" t="n"/>
      <c r="I13" s="3" t="n"/>
      <c r="J13" s="3" t="n"/>
    </row>
    <row r="14">
      <c r="A14" s="8" t="inlineStr">
        <is>
          <t>Generated answer</t>
        </is>
      </c>
      <c r="B14" s="3" t="n"/>
      <c r="C14" s="3" t="n"/>
      <c r="D14" s="3" t="n"/>
      <c r="E14" s="3" t="n"/>
      <c r="F14" s="3" t="n"/>
      <c r="G14" s="3" t="n"/>
      <c r="H14" s="3" t="n"/>
      <c r="I14" s="3" t="n"/>
      <c r="J14" s="3" t="n"/>
    </row>
    <row r="15">
      <c r="A15" s="10" t="inlineStr">
        <is>
          <t>Paste the generated answer below.</t>
        </is>
      </c>
      <c r="B15" s="3" t="n"/>
      <c r="C15" s="3" t="n"/>
      <c r="D15" s="3" t="n"/>
      <c r="E15" s="3" t="n"/>
      <c r="F15" s="3" t="n"/>
      <c r="G15" s="3" t="n"/>
      <c r="H15" s="3" t="n"/>
      <c r="I15" s="3" t="n"/>
      <c r="J15" s="3" t="n"/>
    </row>
    <row r="16" ht="90" customHeight="1">
      <c r="A16" s="3" t="inlineStr"/>
      <c r="B16" s="3" t="n"/>
      <c r="C16" s="3" t="n"/>
      <c r="D16" s="3" t="n"/>
      <c r="E16" s="3" t="n"/>
      <c r="F16" s="3" t="n"/>
      <c r="G16" s="3" t="n"/>
      <c r="H16" s="3" t="n"/>
      <c r="I16" s="3" t="n"/>
      <c r="J16" s="3" t="n"/>
    </row>
    <row r="17" ht="30" customHeight="1">
      <c r="A17" s="3" t="n"/>
      <c r="B17" s="3" t="n"/>
      <c r="C17" s="3" t="n"/>
      <c r="D17" s="3" t="n"/>
      <c r="E17" s="3" t="n"/>
      <c r="F17" s="3" t="n"/>
      <c r="G17" s="3" t="n"/>
      <c r="H17" s="3" t="n"/>
      <c r="I17" s="3" t="n"/>
      <c r="J17" s="3" t="n"/>
    </row>
    <row r="18" ht="30" customHeight="1">
      <c r="A18" s="3" t="n"/>
      <c r="B18" s="3" t="n"/>
      <c r="C18" s="3" t="n"/>
      <c r="D18" s="3" t="n"/>
      <c r="E18" s="3" t="n"/>
      <c r="F18" s="3" t="n"/>
      <c r="G18" s="3" t="n"/>
      <c r="H18" s="3" t="n"/>
      <c r="I18" s="3" t="n"/>
      <c r="J18" s="3" t="n"/>
    </row>
    <row r="19">
      <c r="A19" s="9" t="inlineStr">
        <is>
          <t>Run ID</t>
        </is>
      </c>
      <c r="B19" s="3" t="inlineStr"/>
      <c r="C19" s="9" t="inlineStr">
        <is>
          <t>Run date</t>
        </is>
      </c>
      <c r="D19" s="3" t="inlineStr"/>
      <c r="E19" s="9" t="inlineStr">
        <is>
          <t>Model / prompt version</t>
        </is>
      </c>
      <c r="F19" s="3" t="inlineStr"/>
      <c r="G19" s="9" t="inlineStr">
        <is>
          <t>Corpus snapshot</t>
        </is>
      </c>
      <c r="H19" s="3" t="inlineStr"/>
      <c r="I19" s="3" t="n"/>
      <c r="J19" s="3" t="n"/>
    </row>
    <row r="20">
      <c r="A20" s="8" t="inlineStr">
        <is>
          <t>Retrieval set review</t>
        </is>
      </c>
      <c r="B20" s="3" t="n"/>
      <c r="C20" s="3" t="n"/>
      <c r="D20" s="3" t="n"/>
      <c r="E20" s="3" t="n"/>
      <c r="F20" s="3" t="n"/>
      <c r="G20" s="3" t="n"/>
      <c r="H20" s="3" t="n"/>
      <c r="I20" s="3" t="n"/>
      <c r="J20" s="3" t="n"/>
    </row>
    <row r="21">
      <c r="A21" s="11" t="inlineStr">
        <is>
          <t>Rank</t>
        </is>
      </c>
      <c r="B21" s="11" t="inlineStr">
        <is>
          <t>Retrieved source</t>
        </is>
      </c>
      <c r="C21" s="11" t="inlineStr">
        <is>
          <t>Source type</t>
        </is>
      </c>
      <c r="D21" s="11" t="inlineStr">
        <is>
          <t>Jurisdiction</t>
        </is>
      </c>
      <c r="E21" s="11" t="inlineStr">
        <is>
          <t>URL / Document ID</t>
        </is>
      </c>
      <c r="F21" s="11" t="inlineStr">
        <is>
          <t>Returned by engine?</t>
        </is>
      </c>
      <c r="G21" s="11" t="inlineStr">
        <is>
          <t>Required source?</t>
        </is>
      </c>
      <c r="H21" s="11" t="inlineStr">
        <is>
          <t>Trap?</t>
        </is>
      </c>
      <c r="I21" s="11" t="inlineStr">
        <is>
          <t>Expert verdict</t>
        </is>
      </c>
      <c r="J21" s="11" t="inlineStr">
        <is>
          <t>Notes</t>
        </is>
      </c>
    </row>
    <row r="22" ht="44" customHeight="1">
      <c r="A22" s="4" t="n">
        <v>1</v>
      </c>
      <c r="B22" s="4" t="n"/>
      <c r="C22" s="4" t="n"/>
      <c r="D22" s="4" t="n"/>
      <c r="E22" s="4" t="n"/>
      <c r="F22" s="4" t="n"/>
      <c r="G22" s="4" t="n"/>
      <c r="H22" s="4" t="n"/>
      <c r="I22" s="4" t="n"/>
      <c r="J22" s="4" t="n"/>
    </row>
    <row r="23" ht="44" customHeight="1">
      <c r="A23" s="4" t="n">
        <v>2</v>
      </c>
      <c r="B23" s="4" t="n"/>
      <c r="C23" s="4" t="n"/>
      <c r="D23" s="4" t="n"/>
      <c r="E23" s="4" t="n"/>
      <c r="F23" s="4" t="n"/>
      <c r="G23" s="4" t="n"/>
      <c r="H23" s="4" t="n"/>
      <c r="I23" s="4" t="n"/>
      <c r="J23" s="4" t="n"/>
    </row>
    <row r="24" ht="44" customHeight="1">
      <c r="A24" s="4" t="n">
        <v>3</v>
      </c>
      <c r="B24" s="4" t="n"/>
      <c r="C24" s="4" t="n"/>
      <c r="D24" s="4" t="n"/>
      <c r="E24" s="4" t="n"/>
      <c r="F24" s="4" t="n"/>
      <c r="G24" s="4" t="n"/>
      <c r="H24" s="4" t="n"/>
      <c r="I24" s="4" t="n"/>
      <c r="J24" s="4" t="n"/>
    </row>
    <row r="25" ht="44" customHeight="1">
      <c r="A25" s="4" t="n">
        <v>4</v>
      </c>
      <c r="B25" s="4" t="n"/>
      <c r="C25" s="4" t="n"/>
      <c r="D25" s="4" t="n"/>
      <c r="E25" s="4" t="n"/>
      <c r="F25" s="4" t="n"/>
      <c r="G25" s="4" t="n"/>
      <c r="H25" s="4" t="n"/>
      <c r="I25" s="4" t="n"/>
      <c r="J25" s="4" t="n"/>
    </row>
    <row r="26" ht="44" customHeight="1">
      <c r="A26" s="4" t="n">
        <v>5</v>
      </c>
      <c r="B26" s="4" t="n"/>
      <c r="C26" s="4" t="n"/>
      <c r="D26" s="4" t="n"/>
      <c r="E26" s="4" t="n"/>
      <c r="F26" s="4" t="n"/>
      <c r="G26" s="4" t="n"/>
      <c r="H26" s="4" t="n"/>
      <c r="I26" s="4" t="n"/>
      <c r="J26" s="4" t="n"/>
    </row>
    <row r="27" ht="44" customHeight="1">
      <c r="A27" s="4" t="n">
        <v>6</v>
      </c>
      <c r="B27" s="4" t="n"/>
      <c r="C27" s="4" t="n"/>
      <c r="D27" s="4" t="n"/>
      <c r="E27" s="4" t="n"/>
      <c r="F27" s="4" t="n"/>
      <c r="G27" s="4" t="n"/>
      <c r="H27" s="4" t="n"/>
      <c r="I27" s="4" t="n"/>
      <c r="J27" s="4" t="n"/>
    </row>
    <row r="28" ht="44" customHeight="1">
      <c r="A28" s="4" t="n">
        <v>7</v>
      </c>
      <c r="B28" s="4" t="n"/>
      <c r="C28" s="4" t="n"/>
      <c r="D28" s="4" t="n"/>
      <c r="E28" s="4" t="n"/>
      <c r="F28" s="4" t="n"/>
      <c r="G28" s="4" t="n"/>
      <c r="H28" s="4" t="n"/>
      <c r="I28" s="4" t="n"/>
      <c r="J28" s="4" t="n"/>
    </row>
    <row r="29" ht="44" customHeight="1">
      <c r="A29" s="4" t="n">
        <v>8</v>
      </c>
      <c r="B29" s="4" t="n"/>
      <c r="C29" s="4" t="n"/>
      <c r="D29" s="4" t="n"/>
      <c r="E29" s="4" t="n"/>
      <c r="F29" s="4" t="n"/>
      <c r="G29" s="4" t="n"/>
      <c r="H29" s="4" t="n"/>
      <c r="I29" s="4" t="n"/>
      <c r="J29" s="4" t="n"/>
    </row>
    <row r="30" ht="44" customHeight="1">
      <c r="A30" s="4" t="n">
        <v>9</v>
      </c>
      <c r="B30" s="4" t="n"/>
      <c r="C30" s="4" t="n"/>
      <c r="D30" s="4" t="n"/>
      <c r="E30" s="4" t="n"/>
      <c r="F30" s="4" t="n"/>
      <c r="G30" s="4" t="n"/>
      <c r="H30" s="4" t="n"/>
      <c r="I30" s="4" t="n"/>
      <c r="J30" s="4" t="n"/>
    </row>
    <row r="31" ht="44" customHeight="1">
      <c r="A31" s="4" t="n">
        <v>10</v>
      </c>
      <c r="B31" s="4" t="n"/>
      <c r="C31" s="4" t="n"/>
      <c r="D31" s="4" t="n"/>
      <c r="E31" s="4" t="n"/>
      <c r="F31" s="4" t="n"/>
      <c r="G31" s="4" t="n"/>
      <c r="H31" s="4" t="n"/>
      <c r="I31" s="4" t="n"/>
      <c r="J31" s="4" t="n"/>
    </row>
    <row r="32" ht="44" customHeight="1">
      <c r="A32" s="4" t="n">
        <v>11</v>
      </c>
      <c r="B32" s="4" t="n"/>
      <c r="C32" s="4" t="n"/>
      <c r="D32" s="4" t="n"/>
      <c r="E32" s="4" t="n"/>
      <c r="F32" s="4" t="n"/>
      <c r="G32" s="4" t="n"/>
      <c r="H32" s="4" t="n"/>
      <c r="I32" s="4" t="n"/>
      <c r="J32" s="4" t="n"/>
    </row>
    <row r="33" ht="44" customHeight="1">
      <c r="A33" s="4" t="n">
        <v>12</v>
      </c>
      <c r="B33" s="4" t="n"/>
      <c r="C33" s="4" t="n"/>
      <c r="D33" s="4" t="n"/>
      <c r="E33" s="4" t="n"/>
      <c r="F33" s="4" t="n"/>
      <c r="G33" s="4" t="n"/>
      <c r="H33" s="4" t="n"/>
      <c r="I33" s="4" t="n"/>
      <c r="J33" s="4" t="n"/>
    </row>
    <row r="34" ht="44" customHeight="1">
      <c r="A34" s="4" t="n">
        <v>13</v>
      </c>
      <c r="B34" s="4" t="n"/>
      <c r="C34" s="4" t="n"/>
      <c r="D34" s="4" t="n"/>
      <c r="E34" s="4" t="n"/>
      <c r="F34" s="4" t="n"/>
      <c r="G34" s="4" t="n"/>
      <c r="H34" s="4" t="n"/>
      <c r="I34" s="4" t="n"/>
      <c r="J34" s="4" t="n"/>
    </row>
    <row r="35" ht="44" customHeight="1">
      <c r="A35" s="4" t="n">
        <v>14</v>
      </c>
      <c r="B35" s="4" t="n"/>
      <c r="C35" s="4" t="n"/>
      <c r="D35" s="4" t="n"/>
      <c r="E35" s="4" t="n"/>
      <c r="F35" s="4" t="n"/>
      <c r="G35" s="4" t="n"/>
      <c r="H35" s="4" t="n"/>
      <c r="I35" s="4" t="n"/>
      <c r="J35" s="4" t="n"/>
    </row>
    <row r="36" ht="44" customHeight="1">
      <c r="A36" s="4" t="n">
        <v>15</v>
      </c>
      <c r="B36" s="4" t="n"/>
      <c r="C36" s="4" t="n"/>
      <c r="D36" s="4" t="n"/>
      <c r="E36" s="4" t="n"/>
      <c r="F36" s="4" t="n"/>
      <c r="G36" s="4" t="n"/>
      <c r="H36" s="4" t="n"/>
      <c r="I36" s="4" t="n"/>
      <c r="J36" s="4" t="n"/>
    </row>
    <row r="37">
      <c r="A37" s="3" t="n"/>
      <c r="B37" s="3" t="n"/>
      <c r="C37" s="3" t="n"/>
      <c r="D37" s="3" t="n"/>
      <c r="E37" s="3" t="n"/>
      <c r="F37" s="3" t="n"/>
      <c r="G37" s="3" t="n"/>
      <c r="H37" s="3" t="n"/>
      <c r="I37" s="3" t="n"/>
      <c r="J37" s="3" t="n"/>
    </row>
    <row r="38">
      <c r="A38" s="8" t="inlineStr">
        <is>
          <t>Claim-by-claim review</t>
        </is>
      </c>
      <c r="B38" s="3" t="n"/>
      <c r="C38" s="3" t="n"/>
      <c r="D38" s="3" t="n"/>
      <c r="E38" s="3" t="n"/>
      <c r="F38" s="3" t="n"/>
      <c r="G38" s="3" t="n"/>
      <c r="H38" s="3" t="n"/>
      <c r="I38" s="3" t="n"/>
      <c r="J38" s="3" t="n"/>
    </row>
    <row r="39">
      <c r="A39" s="11" t="inlineStr">
        <is>
          <t>Claim ID</t>
        </is>
      </c>
      <c r="B39" s="11" t="inlineStr">
        <is>
          <t>Claim from answer</t>
        </is>
      </c>
      <c r="C39" s="11" t="inlineStr">
        <is>
          <t>Citation used</t>
        </is>
      </c>
      <c r="D39" s="11" t="inlineStr">
        <is>
          <t>Expert verdict</t>
        </is>
      </c>
      <c r="E39" s="11" t="inlineStr">
        <is>
          <t>Issue type</t>
        </is>
      </c>
      <c r="F39" s="11" t="inlineStr">
        <is>
          <t>Cited passage / source note</t>
        </is>
      </c>
      <c r="G39" s="11" t="inlineStr">
        <is>
          <t>Required fix / comment</t>
        </is>
      </c>
      <c r="H39" s="11" t="inlineStr">
        <is>
          <t>Reviewer</t>
        </is>
      </c>
      <c r="I39" s="11" t="n"/>
      <c r="J39" s="11" t="n"/>
    </row>
    <row r="40" ht="54" customHeight="1">
      <c r="A40" s="4" t="n">
        <v>1</v>
      </c>
      <c r="B40" s="4" t="n"/>
      <c r="C40" s="4" t="n"/>
      <c r="D40" s="4" t="n"/>
      <c r="E40" s="4" t="n"/>
      <c r="F40" s="4" t="n"/>
      <c r="G40" s="4" t="n"/>
      <c r="H40" s="4" t="n"/>
      <c r="I40" s="3" t="n"/>
      <c r="J40" s="3" t="n"/>
    </row>
    <row r="41" ht="54" customHeight="1">
      <c r="A41" s="4" t="n">
        <v>2</v>
      </c>
      <c r="B41" s="4" t="n"/>
      <c r="C41" s="4" t="n"/>
      <c r="D41" s="4" t="n"/>
      <c r="E41" s="4" t="n"/>
      <c r="F41" s="4" t="n"/>
      <c r="G41" s="4" t="n"/>
      <c r="H41" s="4" t="n"/>
      <c r="I41" s="3" t="n"/>
      <c r="J41" s="3" t="n"/>
    </row>
    <row r="42" ht="54" customHeight="1">
      <c r="A42" s="4" t="n">
        <v>3</v>
      </c>
      <c r="B42" s="4" t="n"/>
      <c r="C42" s="4" t="n"/>
      <c r="D42" s="4" t="n"/>
      <c r="E42" s="4" t="n"/>
      <c r="F42" s="4" t="n"/>
      <c r="G42" s="4" t="n"/>
      <c r="H42" s="4" t="n"/>
      <c r="I42" s="3" t="n"/>
      <c r="J42" s="3" t="n"/>
    </row>
    <row r="43" ht="54" customHeight="1">
      <c r="A43" s="4" t="n">
        <v>4</v>
      </c>
      <c r="B43" s="4" t="n"/>
      <c r="C43" s="4" t="n"/>
      <c r="D43" s="4" t="n"/>
      <c r="E43" s="4" t="n"/>
      <c r="F43" s="4" t="n"/>
      <c r="G43" s="4" t="n"/>
      <c r="H43" s="4" t="n"/>
      <c r="I43" s="3" t="n"/>
      <c r="J43" s="3" t="n"/>
    </row>
    <row r="44" ht="54" customHeight="1">
      <c r="A44" s="4" t="n">
        <v>5</v>
      </c>
      <c r="B44" s="4" t="n"/>
      <c r="C44" s="4" t="n"/>
      <c r="D44" s="4" t="n"/>
      <c r="E44" s="4" t="n"/>
      <c r="F44" s="4" t="n"/>
      <c r="G44" s="4" t="n"/>
      <c r="H44" s="4" t="n"/>
      <c r="I44" s="3" t="n"/>
      <c r="J44" s="3" t="n"/>
    </row>
    <row r="45" ht="54" customHeight="1">
      <c r="A45" s="4" t="n">
        <v>6</v>
      </c>
      <c r="B45" s="4" t="n"/>
      <c r="C45" s="4" t="n"/>
      <c r="D45" s="4" t="n"/>
      <c r="E45" s="4" t="n"/>
      <c r="F45" s="4" t="n"/>
      <c r="G45" s="4" t="n"/>
      <c r="H45" s="4" t="n"/>
      <c r="I45" s="3" t="n"/>
      <c r="J45" s="3" t="n"/>
    </row>
    <row r="46" ht="54" customHeight="1">
      <c r="A46" s="4" t="n">
        <v>7</v>
      </c>
      <c r="B46" s="4" t="n"/>
      <c r="C46" s="4" t="n"/>
      <c r="D46" s="4" t="n"/>
      <c r="E46" s="4" t="n"/>
      <c r="F46" s="4" t="n"/>
      <c r="G46" s="4" t="n"/>
      <c r="H46" s="4" t="n"/>
      <c r="I46" s="3" t="n"/>
      <c r="J46" s="3" t="n"/>
    </row>
    <row r="47" ht="54" customHeight="1">
      <c r="A47" s="4" t="n">
        <v>8</v>
      </c>
      <c r="B47" s="4" t="n"/>
      <c r="C47" s="4" t="n"/>
      <c r="D47" s="4" t="n"/>
      <c r="E47" s="4" t="n"/>
      <c r="F47" s="4" t="n"/>
      <c r="G47" s="4" t="n"/>
      <c r="H47" s="4" t="n"/>
      <c r="I47" s="3" t="n"/>
      <c r="J47" s="3" t="n"/>
    </row>
    <row r="48" ht="54" customHeight="1">
      <c r="A48" s="4" t="n">
        <v>9</v>
      </c>
      <c r="B48" s="4" t="n"/>
      <c r="C48" s="4" t="n"/>
      <c r="D48" s="4" t="n"/>
      <c r="E48" s="4" t="n"/>
      <c r="F48" s="4" t="n"/>
      <c r="G48" s="4" t="n"/>
      <c r="H48" s="4" t="n"/>
      <c r="I48" s="3" t="n"/>
      <c r="J48" s="3" t="n"/>
    </row>
    <row r="49" ht="54" customHeight="1">
      <c r="A49" s="4" t="n">
        <v>10</v>
      </c>
      <c r="B49" s="4" t="n"/>
      <c r="C49" s="4" t="n"/>
      <c r="D49" s="4" t="n"/>
      <c r="E49" s="4" t="n"/>
      <c r="F49" s="4" t="n"/>
      <c r="G49" s="4" t="n"/>
      <c r="H49" s="4" t="n"/>
      <c r="I49" s="3" t="n"/>
      <c r="J49" s="3" t="n"/>
    </row>
    <row r="50" ht="54" customHeight="1">
      <c r="A50" s="4" t="n">
        <v>11</v>
      </c>
      <c r="B50" s="4" t="n"/>
      <c r="C50" s="4" t="n"/>
      <c r="D50" s="4" t="n"/>
      <c r="E50" s="4" t="n"/>
      <c r="F50" s="4" t="n"/>
      <c r="G50" s="4" t="n"/>
      <c r="H50" s="4" t="n"/>
      <c r="I50" s="3" t="n"/>
      <c r="J50" s="3" t="n"/>
    </row>
    <row r="51" ht="54" customHeight="1">
      <c r="A51" s="4" t="n">
        <v>12</v>
      </c>
      <c r="B51" s="4" t="n"/>
      <c r="C51" s="4" t="n"/>
      <c r="D51" s="4" t="n"/>
      <c r="E51" s="4" t="n"/>
      <c r="F51" s="4" t="n"/>
      <c r="G51" s="4" t="n"/>
      <c r="H51" s="4" t="n"/>
      <c r="I51" s="3" t="n"/>
      <c r="J51" s="3" t="n"/>
    </row>
    <row r="52" ht="54" customHeight="1">
      <c r="A52" s="4" t="n">
        <v>13</v>
      </c>
      <c r="B52" s="4" t="n"/>
      <c r="C52" s="4" t="n"/>
      <c r="D52" s="4" t="n"/>
      <c r="E52" s="4" t="n"/>
      <c r="F52" s="4" t="n"/>
      <c r="G52" s="4" t="n"/>
      <c r="H52" s="4" t="n"/>
      <c r="I52" s="3" t="n"/>
      <c r="J52" s="3" t="n"/>
    </row>
    <row r="53" ht="54" customHeight="1">
      <c r="A53" s="4" t="n">
        <v>14</v>
      </c>
      <c r="B53" s="4" t="n"/>
      <c r="C53" s="4" t="n"/>
      <c r="D53" s="4" t="n"/>
      <c r="E53" s="4" t="n"/>
      <c r="F53" s="4" t="n"/>
      <c r="G53" s="4" t="n"/>
      <c r="H53" s="4" t="n"/>
      <c r="I53" s="3" t="n"/>
      <c r="J53" s="3" t="n"/>
    </row>
    <row r="54" ht="54" customHeight="1">
      <c r="A54" s="4" t="n">
        <v>15</v>
      </c>
      <c r="B54" s="4" t="n"/>
      <c r="C54" s="4" t="n"/>
      <c r="D54" s="4" t="n"/>
      <c r="E54" s="4" t="n"/>
      <c r="F54" s="4" t="n"/>
      <c r="G54" s="4" t="n"/>
      <c r="H54" s="4" t="n"/>
      <c r="I54" s="3" t="n"/>
      <c r="J54" s="3" t="n"/>
    </row>
    <row r="55" ht="54" customHeight="1">
      <c r="A55" s="4" t="n">
        <v>16</v>
      </c>
      <c r="B55" s="4" t="n"/>
      <c r="C55" s="4" t="n"/>
      <c r="D55" s="4" t="n"/>
      <c r="E55" s="4" t="n"/>
      <c r="F55" s="4" t="n"/>
      <c r="G55" s="4" t="n"/>
      <c r="H55" s="4" t="n"/>
      <c r="I55" s="3" t="n"/>
      <c r="J55" s="3" t="n"/>
    </row>
    <row r="56" ht="54" customHeight="1">
      <c r="A56" s="4" t="n">
        <v>17</v>
      </c>
      <c r="B56" s="4" t="n"/>
      <c r="C56" s="4" t="n"/>
      <c r="D56" s="4" t="n"/>
      <c r="E56" s="4" t="n"/>
      <c r="F56" s="4" t="n"/>
      <c r="G56" s="4" t="n"/>
      <c r="H56" s="4" t="n"/>
      <c r="I56" s="3" t="n"/>
      <c r="J56" s="3" t="n"/>
    </row>
    <row r="57" ht="54" customHeight="1">
      <c r="A57" s="4" t="n">
        <v>18</v>
      </c>
      <c r="B57" s="4" t="n"/>
      <c r="C57" s="4" t="n"/>
      <c r="D57" s="4" t="n"/>
      <c r="E57" s="4" t="n"/>
      <c r="F57" s="4" t="n"/>
      <c r="G57" s="4" t="n"/>
      <c r="H57" s="4" t="n"/>
      <c r="I57" s="3" t="n"/>
      <c r="J57" s="3" t="n"/>
    </row>
    <row r="58" ht="54" customHeight="1">
      <c r="A58" s="4" t="n">
        <v>19</v>
      </c>
      <c r="B58" s="4" t="n"/>
      <c r="C58" s="4" t="n"/>
      <c r="D58" s="4" t="n"/>
      <c r="E58" s="4" t="n"/>
      <c r="F58" s="4" t="n"/>
      <c r="G58" s="4" t="n"/>
      <c r="H58" s="4" t="n"/>
      <c r="I58" s="3" t="n"/>
      <c r="J58" s="3" t="n"/>
    </row>
    <row r="59" ht="54" customHeight="1">
      <c r="A59" s="4" t="n">
        <v>20</v>
      </c>
      <c r="B59" s="4" t="n"/>
      <c r="C59" s="4" t="n"/>
      <c r="D59" s="4" t="n"/>
      <c r="E59" s="4" t="n"/>
      <c r="F59" s="4" t="n"/>
      <c r="G59" s="4" t="n"/>
      <c r="H59" s="4" t="n"/>
      <c r="I59" s="3" t="n"/>
      <c r="J59" s="3" t="n"/>
    </row>
    <row r="60">
      <c r="A60" s="3" t="n"/>
      <c r="B60" s="3" t="n"/>
      <c r="C60" s="3" t="n"/>
      <c r="D60" s="3" t="n"/>
      <c r="E60" s="3" t="n"/>
      <c r="F60" s="3" t="n"/>
      <c r="G60" s="3" t="n"/>
      <c r="H60" s="3" t="n"/>
      <c r="I60" s="3" t="n"/>
      <c r="J60" s="3" t="n"/>
    </row>
    <row r="61">
      <c r="A61" s="8" t="inlineStr">
        <is>
          <t>Final expert verdict</t>
        </is>
      </c>
      <c r="B61" s="3" t="n"/>
      <c r="C61" s="3" t="n"/>
      <c r="D61" s="3" t="n"/>
      <c r="E61" s="3" t="n"/>
      <c r="F61" s="3" t="n"/>
      <c r="G61" s="3" t="n"/>
      <c r="H61" s="3" t="n"/>
      <c r="I61" s="3" t="n"/>
      <c r="J61" s="3" t="n"/>
    </row>
    <row r="62">
      <c r="A62" s="12" t="inlineStr">
        <is>
          <t>Is the answer acceptable?</t>
        </is>
      </c>
      <c r="B62" s="4" t="inlineStr"/>
      <c r="C62" s="4" t="n"/>
      <c r="D62" s="4" t="n"/>
      <c r="E62" s="4" t="n"/>
      <c r="F62" s="4" t="n"/>
      <c r="G62" s="4" t="n"/>
      <c r="H62" s="4" t="n"/>
      <c r="I62" s="3" t="n"/>
      <c r="J62" s="3" t="n"/>
    </row>
    <row r="63" ht="54" customHeight="1">
      <c r="A63" s="12" t="inlineStr">
        <is>
          <t>Overall comment / required fixes</t>
        </is>
      </c>
      <c r="B63" s="4" t="n"/>
      <c r="C63" s="4" t="n"/>
      <c r="D63" s="4" t="n"/>
      <c r="E63" s="4" t="n"/>
      <c r="F63" s="4" t="n"/>
      <c r="G63" s="4" t="n"/>
      <c r="H63" s="4" t="n"/>
      <c r="I63" s="3" t="n"/>
      <c r="J63" s="3" t="n"/>
    </row>
    <row r="64">
      <c r="A64" s="4" t="n"/>
      <c r="B64" s="4" t="n"/>
      <c r="C64" s="4" t="n"/>
      <c r="D64" s="4" t="n"/>
      <c r="E64" s="4" t="n"/>
      <c r="F64" s="4" t="n"/>
      <c r="G64" s="4" t="n"/>
      <c r="H64" s="4" t="n"/>
      <c r="I64" s="3" t="n"/>
      <c r="J64" s="3" t="n"/>
    </row>
    <row r="65">
      <c r="A65" s="12" t="inlineStr">
        <is>
          <t>Missing key sources?</t>
        </is>
      </c>
      <c r="B65" s="4" t="n"/>
      <c r="C65" s="4" t="n"/>
      <c r="D65" s="4" t="n"/>
      <c r="E65" s="4" t="n"/>
      <c r="F65" s="4" t="n"/>
      <c r="G65" s="4" t="n"/>
      <c r="H65" s="4" t="n"/>
      <c r="I65" s="3" t="n"/>
      <c r="J65" s="3" t="n"/>
    </row>
    <row r="66">
      <c r="A66" s="12" t="inlineStr">
        <is>
          <t>Review completed?</t>
        </is>
      </c>
      <c r="B66" s="4" t="inlineStr"/>
      <c r="C66" s="4" t="n"/>
      <c r="D66" s="4" t="n"/>
      <c r="E66" s="4" t="n"/>
      <c r="F66" s="4" t="n"/>
      <c r="G66" s="4" t="n"/>
      <c r="H66" s="4" t="n"/>
      <c r="I66" s="3" t="n"/>
      <c r="J66" s="3" t="n"/>
    </row>
    <row r="67">
      <c r="A67" s="12" t="inlineStr">
        <is>
          <t>Reviewer</t>
        </is>
      </c>
      <c r="B67" s="4" t="n"/>
      <c r="C67" s="12" t="inlineStr">
        <is>
          <t>Review date</t>
        </is>
      </c>
      <c r="D67" s="5" t="inlineStr"/>
      <c r="E67" s="4" t="n"/>
      <c r="F67" s="4" t="n"/>
      <c r="G67" s="4" t="n"/>
      <c r="H67" s="4" t="n"/>
      <c r="I67" s="3" t="n"/>
      <c r="J67" s="3" t="n"/>
    </row>
    <row r="68">
      <c r="A68" s="3" t="n"/>
      <c r="B68" s="3" t="n"/>
      <c r="C68" s="3" t="n"/>
      <c r="D68" s="3" t="n"/>
      <c r="E68" s="3" t="n"/>
      <c r="F68" s="3" t="n"/>
      <c r="G68" s="3" t="n"/>
      <c r="H68" s="3" t="n"/>
      <c r="I68" s="3" t="n"/>
      <c r="J68" s="3" t="n"/>
    </row>
    <row r="69">
      <c r="A69" s="8" t="inlineStr">
        <is>
          <t>Original source notes</t>
        </is>
      </c>
      <c r="B69" s="3" t="n"/>
      <c r="C69" s="3" t="n"/>
      <c r="D69" s="3" t="n"/>
      <c r="E69" s="3" t="n"/>
      <c r="F69" s="3" t="n"/>
      <c r="G69" s="3" t="n"/>
      <c r="H69" s="3" t="n"/>
      <c r="I69" s="3" t="n"/>
      <c r="J69" s="3" t="n"/>
    </row>
    <row r="70">
      <c r="A70" s="12" t="inlineStr">
        <is>
          <t>WAB notes</t>
        </is>
      </c>
      <c r="B70" s="4" t="inlineStr"/>
      <c r="C70" s="4" t="n"/>
      <c r="D70" s="4" t="n"/>
      <c r="E70" s="4" t="n"/>
      <c r="F70" s="4" t="n"/>
      <c r="G70" s="4" t="n"/>
      <c r="H70" s="4" t="n"/>
      <c r="I70" s="3" t="n"/>
      <c r="J70" s="3" t="n"/>
    </row>
    <row r="71" ht="54" customHeight="1">
      <c r="A71" s="12" t="inlineStr">
        <is>
          <t>Reviewer notes from question approval</t>
        </is>
      </c>
      <c r="B71" s="4" t="inlineStr">
        <is>
          <t>lets replace the question with the following one "Whose interests prevail when an inspection captures the private communications of employees who are not themselves under investigation — the Commission's investigative reach, or the privacy protected by Articles 7 and 8 of the Charter? And when does an undertaking's effort to shield that data become obstruction?"</t>
        </is>
      </c>
      <c r="C71" s="4" t="n"/>
      <c r="D71" s="4" t="n"/>
      <c r="E71" s="4" t="n"/>
      <c r="F71" s="4" t="n"/>
      <c r="G71" s="4" t="n"/>
      <c r="H71" s="4" t="n"/>
      <c r="I71" s="3" t="n"/>
      <c r="J71" s="3" t="n"/>
    </row>
    <row r="72">
      <c r="A72" s="4" t="n"/>
      <c r="B72" s="4" t="n"/>
      <c r="C72" s="4" t="n"/>
      <c r="D72" s="4" t="n"/>
      <c r="E72" s="4" t="n"/>
      <c r="F72" s="4" t="n"/>
      <c r="G72" s="4" t="n"/>
      <c r="H72" s="4" t="n"/>
      <c r="I72" s="3" t="n"/>
      <c r="J72" s="3" t="n"/>
    </row>
  </sheetData>
  <autoFilter ref="A21:J36"/>
  <mergeCells count="20">
    <mergeCell ref="B65:H65"/>
    <mergeCell ref="B71:H72"/>
    <mergeCell ref="B6:H6"/>
    <mergeCell ref="A20:J20"/>
    <mergeCell ref="A1:H1"/>
    <mergeCell ref="B5:H5"/>
    <mergeCell ref="A61:H61"/>
    <mergeCell ref="A69:H69"/>
    <mergeCell ref="B4:H4"/>
    <mergeCell ref="B62:H62"/>
    <mergeCell ref="B7:H7"/>
    <mergeCell ref="B66:H66"/>
    <mergeCell ref="A3:H3"/>
    <mergeCell ref="A16:H18"/>
    <mergeCell ref="B70:H70"/>
    <mergeCell ref="A14:H14"/>
    <mergeCell ref="B63:H64"/>
    <mergeCell ref="B8:H8"/>
    <mergeCell ref="B10:H12"/>
    <mergeCell ref="A38:H38"/>
  </mergeCells>
  <dataValidations count="9">
    <dataValidation sqref="C22:C36" showDropDown="0" showInputMessage="0" showErrorMessage="0" allowBlank="1" type="list">
      <formula1>=Lists!$F$2:$F$5</formula1>
    </dataValidation>
    <dataValidation sqref="F22:F36" showDropDown="0" showInputMessage="0" showErrorMessage="0" allowBlank="1" type="list">
      <formula1>=Lists!$G$2:$G$4</formula1>
    </dataValidation>
    <dataValidation sqref="G22:G36" showDropDown="0" showInputMessage="0" showErrorMessage="0" allowBlank="1" type="list">
      <formula1>=Lists!$G$2:$G$4</formula1>
    </dataValidation>
    <dataValidation sqref="H22:H36" showDropDown="0" showInputMessage="0" showErrorMessage="0" allowBlank="1" type="list">
      <formula1>=Lists!$G$2:$G$4</formula1>
    </dataValidation>
    <dataValidation sqref="I22:I36" showDropDown="0" showInputMessage="0" showErrorMessage="0" allowBlank="1" type="list">
      <formula1>=Lists!$H$2:$H$6</formula1>
    </dataValidation>
    <dataValidation sqref="D40:D59" showDropDown="0" showInputMessage="0" showErrorMessage="0" allowBlank="1" type="list">
      <formula1>=Lists!$D$2:$D$7</formula1>
    </dataValidation>
    <dataValidation sqref="E40:E59" showDropDown="0" showInputMessage="0" showErrorMessage="0" allowBlank="1" type="list">
      <formula1>=Lists!$E$2:$E$8</formula1>
    </dataValidation>
    <dataValidation sqref="B62" showDropDown="0" showInputMessage="0" showErrorMessage="0" allowBlank="1" type="list">
      <formula1>=Lists!$C$2:$C$4</formula1>
    </dataValidation>
    <dataValidation sqref="B66" showDropDown="0" showInputMessage="0" showErrorMessage="0" allowBlank="1" type="list">
      <formula1>=Lists!$A$2:$A$3</formula1>
    </dataValidation>
  </dataValidations>
  <pageMargins left="0.75" right="0.75" top="1" bottom="1" header="0.5" footer="0.5"/>
</worksheet>
</file>

<file path=xl/worksheets/sheet39.xml><?xml version="1.0" encoding="utf-8"?>
<worksheet xmlns="http://schemas.openxmlformats.org/spreadsheetml/2006/main">
  <sheetPr>
    <outlinePr summaryBelow="1" summaryRight="1"/>
    <pageSetUpPr/>
  </sheetPr>
  <dimension ref="A1:J72"/>
  <sheetViews>
    <sheetView showGridLines="0" workbookViewId="0">
      <pane ySplit="21" topLeftCell="A22" activePane="bottomLeft" state="frozen"/>
      <selection pane="bottomLeft" activeCell="A1" sqref="A1"/>
    </sheetView>
  </sheetViews>
  <sheetFormatPr baseColWidth="8" defaultRowHeight="15"/>
  <cols>
    <col width="12" customWidth="1" min="1" max="1"/>
    <col width="34" customWidth="1" min="2" max="2"/>
    <col width="22" customWidth="1" min="3" max="3"/>
    <col width="18" customWidth="1" min="4" max="4"/>
    <col width="20" customWidth="1" min="5" max="5"/>
    <col width="30" customWidth="1" min="6" max="6"/>
    <col width="34" customWidth="1" min="7" max="7"/>
    <col width="18" customWidth="1" min="8" max="8"/>
    <col width="18" customWidth="1" min="9" max="9"/>
    <col width="30" customWidth="1" min="10" max="10"/>
  </cols>
  <sheetData>
    <row r="1" ht="28" customHeight="1">
      <c r="A1" s="6" t="inlineStr">
        <is>
          <t>Q43 — Expert Review</t>
        </is>
      </c>
      <c r="B1" s="3" t="n"/>
      <c r="C1" s="3" t="n"/>
      <c r="D1" s="3" t="n"/>
      <c r="E1" s="3" t="n"/>
      <c r="F1" s="3" t="n"/>
      <c r="G1" s="3" t="n"/>
      <c r="H1" s="3" t="n"/>
      <c r="I1" s="3" t="n"/>
      <c r="J1" s="3" t="n"/>
    </row>
    <row r="2">
      <c r="A2" s="3" t="n"/>
      <c r="B2" s="3" t="n"/>
      <c r="C2" s="3" t="n"/>
      <c r="D2" s="3" t="n"/>
      <c r="E2" s="3" t="n"/>
      <c r="F2" s="3" t="n"/>
      <c r="G2" s="3" t="n"/>
      <c r="H2" s="3" t="n"/>
      <c r="I2" s="3" t="n"/>
      <c r="J2" s="3" t="n"/>
    </row>
    <row r="3">
      <c r="A3" s="8" t="inlineStr">
        <is>
          <t>Question metadata</t>
        </is>
      </c>
      <c r="B3" s="3" t="n"/>
      <c r="C3" s="3" t="n"/>
      <c r="D3" s="3" t="n"/>
      <c r="E3" s="3" t="n"/>
      <c r="F3" s="3" t="n"/>
      <c r="G3" s="3" t="n"/>
      <c r="H3" s="3" t="n"/>
      <c r="I3" s="3" t="n"/>
      <c r="J3" s="3" t="n"/>
    </row>
    <row r="4">
      <c r="A4" s="9" t="inlineStr">
        <is>
          <t>Question ID</t>
        </is>
      </c>
      <c r="B4" s="3" t="n">
        <v>43</v>
      </c>
      <c r="C4" s="3" t="n"/>
      <c r="D4" s="3" t="n"/>
      <c r="E4" s="3" t="n"/>
      <c r="F4" s="3" t="n"/>
      <c r="G4" s="3" t="n"/>
      <c r="H4" s="3" t="n"/>
      <c r="I4" s="3" t="n"/>
      <c r="J4" s="3" t="n"/>
    </row>
    <row r="5">
      <c r="A5" s="9" t="inlineStr">
        <is>
          <t>Topic</t>
        </is>
      </c>
      <c r="B5" s="3" t="inlineStr">
        <is>
          <t>Dawn raids — electronic data</t>
        </is>
      </c>
      <c r="C5" s="3" t="n"/>
      <c r="D5" s="3" t="n"/>
      <c r="E5" s="3" t="n"/>
      <c r="F5" s="3" t="n"/>
      <c r="G5" s="3" t="n"/>
      <c r="H5" s="3" t="n"/>
      <c r="I5" s="3" t="n"/>
      <c r="J5" s="3" t="n"/>
    </row>
    <row r="6">
      <c r="A6" s="9" t="inlineStr">
        <is>
          <t>Scope</t>
        </is>
      </c>
      <c r="B6" s="3" t="inlineStr">
        <is>
          <t>France</t>
        </is>
      </c>
      <c r="C6" s="3" t="n"/>
      <c r="D6" s="3" t="n"/>
      <c r="E6" s="3" t="n"/>
      <c r="F6" s="3" t="n"/>
      <c r="G6" s="3" t="n"/>
      <c r="H6" s="3" t="n"/>
      <c r="I6" s="3" t="n"/>
      <c r="J6" s="3" t="n"/>
    </row>
    <row r="7">
      <c r="A7" s="9" t="inlineStr">
        <is>
          <t>Original reviewer</t>
        </is>
      </c>
      <c r="B7" s="3" t="inlineStr">
        <is>
          <t>Jeanne</t>
        </is>
      </c>
      <c r="C7" s="3" t="n"/>
      <c r="D7" s="3" t="n"/>
      <c r="E7" s="3" t="n"/>
      <c r="F7" s="3" t="n"/>
      <c r="G7" s="3" t="n"/>
      <c r="H7" s="3" t="n"/>
      <c r="I7" s="3" t="n"/>
      <c r="J7" s="3" t="n"/>
    </row>
    <row r="8">
      <c r="A8" s="9" t="inlineStr">
        <is>
          <t>Original status</t>
        </is>
      </c>
      <c r="B8" s="3" t="inlineStr">
        <is>
          <t>Approved</t>
        </is>
      </c>
      <c r="C8" s="3" t="n"/>
      <c r="D8" s="3" t="n"/>
      <c r="E8" s="3" t="n"/>
      <c r="F8" s="3" t="n"/>
      <c r="G8" s="3" t="n"/>
      <c r="H8" s="3" t="n"/>
      <c r="I8" s="3" t="n"/>
      <c r="J8" s="3" t="n"/>
    </row>
    <row r="9">
      <c r="A9" s="3" t="n"/>
      <c r="B9" s="3" t="n"/>
      <c r="C9" s="3" t="n"/>
      <c r="D9" s="3" t="n"/>
      <c r="E9" s="3" t="n"/>
      <c r="F9" s="3" t="n"/>
      <c r="G9" s="3" t="n"/>
      <c r="H9" s="3" t="n"/>
      <c r="I9" s="3" t="n"/>
      <c r="J9" s="3" t="n"/>
    </row>
    <row r="10" ht="45" customHeight="1">
      <c r="A10" s="9" t="inlineStr">
        <is>
          <t>Question</t>
        </is>
      </c>
      <c r="B10" s="3" t="inlineStr">
        <is>
          <t>Under what conditions can French competition authorities seize entire mailboxes during a dawn raid rather than sorting them on-site, how is the in-scope material subsequently identified, and what happens to material found to be out of scope?</t>
        </is>
      </c>
      <c r="C10" s="3" t="n"/>
      <c r="D10" s="3" t="n"/>
      <c r="E10" s="3" t="n"/>
      <c r="F10" s="3" t="n"/>
      <c r="G10" s="3" t="n"/>
      <c r="H10" s="3" t="n"/>
      <c r="I10" s="3" t="n"/>
      <c r="J10" s="3" t="n"/>
    </row>
    <row r="11">
      <c r="A11" s="3" t="n"/>
      <c r="B11" s="3" t="n"/>
      <c r="C11" s="3" t="n"/>
      <c r="D11" s="3" t="n"/>
      <c r="E11" s="3" t="n"/>
      <c r="F11" s="3" t="n"/>
      <c r="G11" s="3" t="n"/>
      <c r="H11" s="3" t="n"/>
      <c r="I11" s="3" t="n"/>
      <c r="J11" s="3" t="n"/>
    </row>
    <row r="12">
      <c r="A12" s="3" t="n"/>
      <c r="B12" s="3" t="n"/>
      <c r="C12" s="3" t="n"/>
      <c r="D12" s="3" t="n"/>
      <c r="E12" s="3" t="n"/>
      <c r="F12" s="3" t="n"/>
      <c r="G12" s="3" t="n"/>
      <c r="H12" s="3" t="n"/>
      <c r="I12" s="3" t="n"/>
      <c r="J12" s="3" t="n"/>
    </row>
    <row r="13">
      <c r="A13" s="3" t="n"/>
      <c r="B13" s="3" t="n"/>
      <c r="C13" s="3" t="n"/>
      <c r="D13" s="3" t="n"/>
      <c r="E13" s="3" t="n"/>
      <c r="F13" s="3" t="n"/>
      <c r="G13" s="3" t="n"/>
      <c r="H13" s="3" t="n"/>
      <c r="I13" s="3" t="n"/>
      <c r="J13" s="3" t="n"/>
    </row>
    <row r="14">
      <c r="A14" s="8" t="inlineStr">
        <is>
          <t>Generated answer</t>
        </is>
      </c>
      <c r="B14" s="3" t="n"/>
      <c r="C14" s="3" t="n"/>
      <c r="D14" s="3" t="n"/>
      <c r="E14" s="3" t="n"/>
      <c r="F14" s="3" t="n"/>
      <c r="G14" s="3" t="n"/>
      <c r="H14" s="3" t="n"/>
      <c r="I14" s="3" t="n"/>
      <c r="J14" s="3" t="n"/>
    </row>
    <row r="15">
      <c r="A15" s="10" t="inlineStr">
        <is>
          <t>Paste the generated answer below.</t>
        </is>
      </c>
      <c r="B15" s="3" t="n"/>
      <c r="C15" s="3" t="n"/>
      <c r="D15" s="3" t="n"/>
      <c r="E15" s="3" t="n"/>
      <c r="F15" s="3" t="n"/>
      <c r="G15" s="3" t="n"/>
      <c r="H15" s="3" t="n"/>
      <c r="I15" s="3" t="n"/>
      <c r="J15" s="3" t="n"/>
    </row>
    <row r="16" ht="90" customHeight="1">
      <c r="A16" s="3" t="inlineStr"/>
      <c r="B16" s="3" t="n"/>
      <c r="C16" s="3" t="n"/>
      <c r="D16" s="3" t="n"/>
      <c r="E16" s="3" t="n"/>
      <c r="F16" s="3" t="n"/>
      <c r="G16" s="3" t="n"/>
      <c r="H16" s="3" t="n"/>
      <c r="I16" s="3" t="n"/>
      <c r="J16" s="3" t="n"/>
    </row>
    <row r="17" ht="30" customHeight="1">
      <c r="A17" s="3" t="n"/>
      <c r="B17" s="3" t="n"/>
      <c r="C17" s="3" t="n"/>
      <c r="D17" s="3" t="n"/>
      <c r="E17" s="3" t="n"/>
      <c r="F17" s="3" t="n"/>
      <c r="G17" s="3" t="n"/>
      <c r="H17" s="3" t="n"/>
      <c r="I17" s="3" t="n"/>
      <c r="J17" s="3" t="n"/>
    </row>
    <row r="18" ht="30" customHeight="1">
      <c r="A18" s="3" t="n"/>
      <c r="B18" s="3" t="n"/>
      <c r="C18" s="3" t="n"/>
      <c r="D18" s="3" t="n"/>
      <c r="E18" s="3" t="n"/>
      <c r="F18" s="3" t="n"/>
      <c r="G18" s="3" t="n"/>
      <c r="H18" s="3" t="n"/>
      <c r="I18" s="3" t="n"/>
      <c r="J18" s="3" t="n"/>
    </row>
    <row r="19">
      <c r="A19" s="9" t="inlineStr">
        <is>
          <t>Run ID</t>
        </is>
      </c>
      <c r="B19" s="3" t="inlineStr"/>
      <c r="C19" s="9" t="inlineStr">
        <is>
          <t>Run date</t>
        </is>
      </c>
      <c r="D19" s="3" t="inlineStr"/>
      <c r="E19" s="9" t="inlineStr">
        <is>
          <t>Model / prompt version</t>
        </is>
      </c>
      <c r="F19" s="3" t="inlineStr"/>
      <c r="G19" s="9" t="inlineStr">
        <is>
          <t>Corpus snapshot</t>
        </is>
      </c>
      <c r="H19" s="3" t="inlineStr"/>
      <c r="I19" s="3" t="n"/>
      <c r="J19" s="3" t="n"/>
    </row>
    <row r="20">
      <c r="A20" s="8" t="inlineStr">
        <is>
          <t>Retrieval set review</t>
        </is>
      </c>
      <c r="B20" s="3" t="n"/>
      <c r="C20" s="3" t="n"/>
      <c r="D20" s="3" t="n"/>
      <c r="E20" s="3" t="n"/>
      <c r="F20" s="3" t="n"/>
      <c r="G20" s="3" t="n"/>
      <c r="H20" s="3" t="n"/>
      <c r="I20" s="3" t="n"/>
      <c r="J20" s="3" t="n"/>
    </row>
    <row r="21">
      <c r="A21" s="11" t="inlineStr">
        <is>
          <t>Rank</t>
        </is>
      </c>
      <c r="B21" s="11" t="inlineStr">
        <is>
          <t>Retrieved source</t>
        </is>
      </c>
      <c r="C21" s="11" t="inlineStr">
        <is>
          <t>Source type</t>
        </is>
      </c>
      <c r="D21" s="11" t="inlineStr">
        <is>
          <t>Jurisdiction</t>
        </is>
      </c>
      <c r="E21" s="11" t="inlineStr">
        <is>
          <t>URL / Document ID</t>
        </is>
      </c>
      <c r="F21" s="11" t="inlineStr">
        <is>
          <t>Returned by engine?</t>
        </is>
      </c>
      <c r="G21" s="11" t="inlineStr">
        <is>
          <t>Required source?</t>
        </is>
      </c>
      <c r="H21" s="11" t="inlineStr">
        <is>
          <t>Trap?</t>
        </is>
      </c>
      <c r="I21" s="11" t="inlineStr">
        <is>
          <t>Expert verdict</t>
        </is>
      </c>
      <c r="J21" s="11" t="inlineStr">
        <is>
          <t>Notes</t>
        </is>
      </c>
    </row>
    <row r="22" ht="44" customHeight="1">
      <c r="A22" s="4" t="n">
        <v>1</v>
      </c>
      <c r="B22" s="4" t="n"/>
      <c r="C22" s="4" t="n"/>
      <c r="D22" s="4" t="n"/>
      <c r="E22" s="4" t="n"/>
      <c r="F22" s="4" t="n"/>
      <c r="G22" s="4" t="n"/>
      <c r="H22" s="4" t="n"/>
      <c r="I22" s="4" t="n"/>
      <c r="J22" s="4" t="n"/>
    </row>
    <row r="23" ht="44" customHeight="1">
      <c r="A23" s="4" t="n">
        <v>2</v>
      </c>
      <c r="B23" s="4" t="n"/>
      <c r="C23" s="4" t="n"/>
      <c r="D23" s="4" t="n"/>
      <c r="E23" s="4" t="n"/>
      <c r="F23" s="4" t="n"/>
      <c r="G23" s="4" t="n"/>
      <c r="H23" s="4" t="n"/>
      <c r="I23" s="4" t="n"/>
      <c r="J23" s="4" t="n"/>
    </row>
    <row r="24" ht="44" customHeight="1">
      <c r="A24" s="4" t="n">
        <v>3</v>
      </c>
      <c r="B24" s="4" t="n"/>
      <c r="C24" s="4" t="n"/>
      <c r="D24" s="4" t="n"/>
      <c r="E24" s="4" t="n"/>
      <c r="F24" s="4" t="n"/>
      <c r="G24" s="4" t="n"/>
      <c r="H24" s="4" t="n"/>
      <c r="I24" s="4" t="n"/>
      <c r="J24" s="4" t="n"/>
    </row>
    <row r="25" ht="44" customHeight="1">
      <c r="A25" s="4" t="n">
        <v>4</v>
      </c>
      <c r="B25" s="4" t="n"/>
      <c r="C25" s="4" t="n"/>
      <c r="D25" s="4" t="n"/>
      <c r="E25" s="4" t="n"/>
      <c r="F25" s="4" t="n"/>
      <c r="G25" s="4" t="n"/>
      <c r="H25" s="4" t="n"/>
      <c r="I25" s="4" t="n"/>
      <c r="J25" s="4" t="n"/>
    </row>
    <row r="26" ht="44" customHeight="1">
      <c r="A26" s="4" t="n">
        <v>5</v>
      </c>
      <c r="B26" s="4" t="n"/>
      <c r="C26" s="4" t="n"/>
      <c r="D26" s="4" t="n"/>
      <c r="E26" s="4" t="n"/>
      <c r="F26" s="4" t="n"/>
      <c r="G26" s="4" t="n"/>
      <c r="H26" s="4" t="n"/>
      <c r="I26" s="4" t="n"/>
      <c r="J26" s="4" t="n"/>
    </row>
    <row r="27" ht="44" customHeight="1">
      <c r="A27" s="4" t="n">
        <v>6</v>
      </c>
      <c r="B27" s="4" t="n"/>
      <c r="C27" s="4" t="n"/>
      <c r="D27" s="4" t="n"/>
      <c r="E27" s="4" t="n"/>
      <c r="F27" s="4" t="n"/>
      <c r="G27" s="4" t="n"/>
      <c r="H27" s="4" t="n"/>
      <c r="I27" s="4" t="n"/>
      <c r="J27" s="4" t="n"/>
    </row>
    <row r="28" ht="44" customHeight="1">
      <c r="A28" s="4" t="n">
        <v>7</v>
      </c>
      <c r="B28" s="4" t="n"/>
      <c r="C28" s="4" t="n"/>
      <c r="D28" s="4" t="n"/>
      <c r="E28" s="4" t="n"/>
      <c r="F28" s="4" t="n"/>
      <c r="G28" s="4" t="n"/>
      <c r="H28" s="4" t="n"/>
      <c r="I28" s="4" t="n"/>
      <c r="J28" s="4" t="n"/>
    </row>
    <row r="29" ht="44" customHeight="1">
      <c r="A29" s="4" t="n">
        <v>8</v>
      </c>
      <c r="B29" s="4" t="n"/>
      <c r="C29" s="4" t="n"/>
      <c r="D29" s="4" t="n"/>
      <c r="E29" s="4" t="n"/>
      <c r="F29" s="4" t="n"/>
      <c r="G29" s="4" t="n"/>
      <c r="H29" s="4" t="n"/>
      <c r="I29" s="4" t="n"/>
      <c r="J29" s="4" t="n"/>
    </row>
    <row r="30" ht="44" customHeight="1">
      <c r="A30" s="4" t="n">
        <v>9</v>
      </c>
      <c r="B30" s="4" t="n"/>
      <c r="C30" s="4" t="n"/>
      <c r="D30" s="4" t="n"/>
      <c r="E30" s="4" t="n"/>
      <c r="F30" s="4" t="n"/>
      <c r="G30" s="4" t="n"/>
      <c r="H30" s="4" t="n"/>
      <c r="I30" s="4" t="n"/>
      <c r="J30" s="4" t="n"/>
    </row>
    <row r="31" ht="44" customHeight="1">
      <c r="A31" s="4" t="n">
        <v>10</v>
      </c>
      <c r="B31" s="4" t="n"/>
      <c r="C31" s="4" t="n"/>
      <c r="D31" s="4" t="n"/>
      <c r="E31" s="4" t="n"/>
      <c r="F31" s="4" t="n"/>
      <c r="G31" s="4" t="n"/>
      <c r="H31" s="4" t="n"/>
      <c r="I31" s="4" t="n"/>
      <c r="J31" s="4" t="n"/>
    </row>
    <row r="32" ht="44" customHeight="1">
      <c r="A32" s="4" t="n">
        <v>11</v>
      </c>
      <c r="B32" s="4" t="n"/>
      <c r="C32" s="4" t="n"/>
      <c r="D32" s="4" t="n"/>
      <c r="E32" s="4" t="n"/>
      <c r="F32" s="4" t="n"/>
      <c r="G32" s="4" t="n"/>
      <c r="H32" s="4" t="n"/>
      <c r="I32" s="4" t="n"/>
      <c r="J32" s="4" t="n"/>
    </row>
    <row r="33" ht="44" customHeight="1">
      <c r="A33" s="4" t="n">
        <v>12</v>
      </c>
      <c r="B33" s="4" t="n"/>
      <c r="C33" s="4" t="n"/>
      <c r="D33" s="4" t="n"/>
      <c r="E33" s="4" t="n"/>
      <c r="F33" s="4" t="n"/>
      <c r="G33" s="4" t="n"/>
      <c r="H33" s="4" t="n"/>
      <c r="I33" s="4" t="n"/>
      <c r="J33" s="4" t="n"/>
    </row>
    <row r="34" ht="44" customHeight="1">
      <c r="A34" s="4" t="n">
        <v>13</v>
      </c>
      <c r="B34" s="4" t="n"/>
      <c r="C34" s="4" t="n"/>
      <c r="D34" s="4" t="n"/>
      <c r="E34" s="4" t="n"/>
      <c r="F34" s="4" t="n"/>
      <c r="G34" s="4" t="n"/>
      <c r="H34" s="4" t="n"/>
      <c r="I34" s="4" t="n"/>
      <c r="J34" s="4" t="n"/>
    </row>
    <row r="35" ht="44" customHeight="1">
      <c r="A35" s="4" t="n">
        <v>14</v>
      </c>
      <c r="B35" s="4" t="n"/>
      <c r="C35" s="4" t="n"/>
      <c r="D35" s="4" t="n"/>
      <c r="E35" s="4" t="n"/>
      <c r="F35" s="4" t="n"/>
      <c r="G35" s="4" t="n"/>
      <c r="H35" s="4" t="n"/>
      <c r="I35" s="4" t="n"/>
      <c r="J35" s="4" t="n"/>
    </row>
    <row r="36" ht="44" customHeight="1">
      <c r="A36" s="4" t="n">
        <v>15</v>
      </c>
      <c r="B36" s="4" t="n"/>
      <c r="C36" s="4" t="n"/>
      <c r="D36" s="4" t="n"/>
      <c r="E36" s="4" t="n"/>
      <c r="F36" s="4" t="n"/>
      <c r="G36" s="4" t="n"/>
      <c r="H36" s="4" t="n"/>
      <c r="I36" s="4" t="n"/>
      <c r="J36" s="4" t="n"/>
    </row>
    <row r="37">
      <c r="A37" s="3" t="n"/>
      <c r="B37" s="3" t="n"/>
      <c r="C37" s="3" t="n"/>
      <c r="D37" s="3" t="n"/>
      <c r="E37" s="3" t="n"/>
      <c r="F37" s="3" t="n"/>
      <c r="G37" s="3" t="n"/>
      <c r="H37" s="3" t="n"/>
      <c r="I37" s="3" t="n"/>
      <c r="J37" s="3" t="n"/>
    </row>
    <row r="38">
      <c r="A38" s="8" t="inlineStr">
        <is>
          <t>Claim-by-claim review</t>
        </is>
      </c>
      <c r="B38" s="3" t="n"/>
      <c r="C38" s="3" t="n"/>
      <c r="D38" s="3" t="n"/>
      <c r="E38" s="3" t="n"/>
      <c r="F38" s="3" t="n"/>
      <c r="G38" s="3" t="n"/>
      <c r="H38" s="3" t="n"/>
      <c r="I38" s="3" t="n"/>
      <c r="J38" s="3" t="n"/>
    </row>
    <row r="39">
      <c r="A39" s="11" t="inlineStr">
        <is>
          <t>Claim ID</t>
        </is>
      </c>
      <c r="B39" s="11" t="inlineStr">
        <is>
          <t>Claim from answer</t>
        </is>
      </c>
      <c r="C39" s="11" t="inlineStr">
        <is>
          <t>Citation used</t>
        </is>
      </c>
      <c r="D39" s="11" t="inlineStr">
        <is>
          <t>Expert verdict</t>
        </is>
      </c>
      <c r="E39" s="11" t="inlineStr">
        <is>
          <t>Issue type</t>
        </is>
      </c>
      <c r="F39" s="11" t="inlineStr">
        <is>
          <t>Cited passage / source note</t>
        </is>
      </c>
      <c r="G39" s="11" t="inlineStr">
        <is>
          <t>Required fix / comment</t>
        </is>
      </c>
      <c r="H39" s="11" t="inlineStr">
        <is>
          <t>Reviewer</t>
        </is>
      </c>
      <c r="I39" s="11" t="n"/>
      <c r="J39" s="11" t="n"/>
    </row>
    <row r="40" ht="54" customHeight="1">
      <c r="A40" s="4" t="n">
        <v>1</v>
      </c>
      <c r="B40" s="4" t="n"/>
      <c r="C40" s="4" t="n"/>
      <c r="D40" s="4" t="n"/>
      <c r="E40" s="4" t="n"/>
      <c r="F40" s="4" t="n"/>
      <c r="G40" s="4" t="n"/>
      <c r="H40" s="4" t="n"/>
      <c r="I40" s="3" t="n"/>
      <c r="J40" s="3" t="n"/>
    </row>
    <row r="41" ht="54" customHeight="1">
      <c r="A41" s="4" t="n">
        <v>2</v>
      </c>
      <c r="B41" s="4" t="n"/>
      <c r="C41" s="4" t="n"/>
      <c r="D41" s="4" t="n"/>
      <c r="E41" s="4" t="n"/>
      <c r="F41" s="4" t="n"/>
      <c r="G41" s="4" t="n"/>
      <c r="H41" s="4" t="n"/>
      <c r="I41" s="3" t="n"/>
      <c r="J41" s="3" t="n"/>
    </row>
    <row r="42" ht="54" customHeight="1">
      <c r="A42" s="4" t="n">
        <v>3</v>
      </c>
      <c r="B42" s="4" t="n"/>
      <c r="C42" s="4" t="n"/>
      <c r="D42" s="4" t="n"/>
      <c r="E42" s="4" t="n"/>
      <c r="F42" s="4" t="n"/>
      <c r="G42" s="4" t="n"/>
      <c r="H42" s="4" t="n"/>
      <c r="I42" s="3" t="n"/>
      <c r="J42" s="3" t="n"/>
    </row>
    <row r="43" ht="54" customHeight="1">
      <c r="A43" s="4" t="n">
        <v>4</v>
      </c>
      <c r="B43" s="4" t="n"/>
      <c r="C43" s="4" t="n"/>
      <c r="D43" s="4" t="n"/>
      <c r="E43" s="4" t="n"/>
      <c r="F43" s="4" t="n"/>
      <c r="G43" s="4" t="n"/>
      <c r="H43" s="4" t="n"/>
      <c r="I43" s="3" t="n"/>
      <c r="J43" s="3" t="n"/>
    </row>
    <row r="44" ht="54" customHeight="1">
      <c r="A44" s="4" t="n">
        <v>5</v>
      </c>
      <c r="B44" s="4" t="n"/>
      <c r="C44" s="4" t="n"/>
      <c r="D44" s="4" t="n"/>
      <c r="E44" s="4" t="n"/>
      <c r="F44" s="4" t="n"/>
      <c r="G44" s="4" t="n"/>
      <c r="H44" s="4" t="n"/>
      <c r="I44" s="3" t="n"/>
      <c r="J44" s="3" t="n"/>
    </row>
    <row r="45" ht="54" customHeight="1">
      <c r="A45" s="4" t="n">
        <v>6</v>
      </c>
      <c r="B45" s="4" t="n"/>
      <c r="C45" s="4" t="n"/>
      <c r="D45" s="4" t="n"/>
      <c r="E45" s="4" t="n"/>
      <c r="F45" s="4" t="n"/>
      <c r="G45" s="4" t="n"/>
      <c r="H45" s="4" t="n"/>
      <c r="I45" s="3" t="n"/>
      <c r="J45" s="3" t="n"/>
    </row>
    <row r="46" ht="54" customHeight="1">
      <c r="A46" s="4" t="n">
        <v>7</v>
      </c>
      <c r="B46" s="4" t="n"/>
      <c r="C46" s="4" t="n"/>
      <c r="D46" s="4" t="n"/>
      <c r="E46" s="4" t="n"/>
      <c r="F46" s="4" t="n"/>
      <c r="G46" s="4" t="n"/>
      <c r="H46" s="4" t="n"/>
      <c r="I46" s="3" t="n"/>
      <c r="J46" s="3" t="n"/>
    </row>
    <row r="47" ht="54" customHeight="1">
      <c r="A47" s="4" t="n">
        <v>8</v>
      </c>
      <c r="B47" s="4" t="n"/>
      <c r="C47" s="4" t="n"/>
      <c r="D47" s="4" t="n"/>
      <c r="E47" s="4" t="n"/>
      <c r="F47" s="4" t="n"/>
      <c r="G47" s="4" t="n"/>
      <c r="H47" s="4" t="n"/>
      <c r="I47" s="3" t="n"/>
      <c r="J47" s="3" t="n"/>
    </row>
    <row r="48" ht="54" customHeight="1">
      <c r="A48" s="4" t="n">
        <v>9</v>
      </c>
      <c r="B48" s="4" t="n"/>
      <c r="C48" s="4" t="n"/>
      <c r="D48" s="4" t="n"/>
      <c r="E48" s="4" t="n"/>
      <c r="F48" s="4" t="n"/>
      <c r="G48" s="4" t="n"/>
      <c r="H48" s="4" t="n"/>
      <c r="I48" s="3" t="n"/>
      <c r="J48" s="3" t="n"/>
    </row>
    <row r="49" ht="54" customHeight="1">
      <c r="A49" s="4" t="n">
        <v>10</v>
      </c>
      <c r="B49" s="4" t="n"/>
      <c r="C49" s="4" t="n"/>
      <c r="D49" s="4" t="n"/>
      <c r="E49" s="4" t="n"/>
      <c r="F49" s="4" t="n"/>
      <c r="G49" s="4" t="n"/>
      <c r="H49" s="4" t="n"/>
      <c r="I49" s="3" t="n"/>
      <c r="J49" s="3" t="n"/>
    </row>
    <row r="50" ht="54" customHeight="1">
      <c r="A50" s="4" t="n">
        <v>11</v>
      </c>
      <c r="B50" s="4" t="n"/>
      <c r="C50" s="4" t="n"/>
      <c r="D50" s="4" t="n"/>
      <c r="E50" s="4" t="n"/>
      <c r="F50" s="4" t="n"/>
      <c r="G50" s="4" t="n"/>
      <c r="H50" s="4" t="n"/>
      <c r="I50" s="3" t="n"/>
      <c r="J50" s="3" t="n"/>
    </row>
    <row r="51" ht="54" customHeight="1">
      <c r="A51" s="4" t="n">
        <v>12</v>
      </c>
      <c r="B51" s="4" t="n"/>
      <c r="C51" s="4" t="n"/>
      <c r="D51" s="4" t="n"/>
      <c r="E51" s="4" t="n"/>
      <c r="F51" s="4" t="n"/>
      <c r="G51" s="4" t="n"/>
      <c r="H51" s="4" t="n"/>
      <c r="I51" s="3" t="n"/>
      <c r="J51" s="3" t="n"/>
    </row>
    <row r="52" ht="54" customHeight="1">
      <c r="A52" s="4" t="n">
        <v>13</v>
      </c>
      <c r="B52" s="4" t="n"/>
      <c r="C52" s="4" t="n"/>
      <c r="D52" s="4" t="n"/>
      <c r="E52" s="4" t="n"/>
      <c r="F52" s="4" t="n"/>
      <c r="G52" s="4" t="n"/>
      <c r="H52" s="4" t="n"/>
      <c r="I52" s="3" t="n"/>
      <c r="J52" s="3" t="n"/>
    </row>
    <row r="53" ht="54" customHeight="1">
      <c r="A53" s="4" t="n">
        <v>14</v>
      </c>
      <c r="B53" s="4" t="n"/>
      <c r="C53" s="4" t="n"/>
      <c r="D53" s="4" t="n"/>
      <c r="E53" s="4" t="n"/>
      <c r="F53" s="4" t="n"/>
      <c r="G53" s="4" t="n"/>
      <c r="H53" s="4" t="n"/>
      <c r="I53" s="3" t="n"/>
      <c r="J53" s="3" t="n"/>
    </row>
    <row r="54" ht="54" customHeight="1">
      <c r="A54" s="4" t="n">
        <v>15</v>
      </c>
      <c r="B54" s="4" t="n"/>
      <c r="C54" s="4" t="n"/>
      <c r="D54" s="4" t="n"/>
      <c r="E54" s="4" t="n"/>
      <c r="F54" s="4" t="n"/>
      <c r="G54" s="4" t="n"/>
      <c r="H54" s="4" t="n"/>
      <c r="I54" s="3" t="n"/>
      <c r="J54" s="3" t="n"/>
    </row>
    <row r="55" ht="54" customHeight="1">
      <c r="A55" s="4" t="n">
        <v>16</v>
      </c>
      <c r="B55" s="4" t="n"/>
      <c r="C55" s="4" t="n"/>
      <c r="D55" s="4" t="n"/>
      <c r="E55" s="4" t="n"/>
      <c r="F55" s="4" t="n"/>
      <c r="G55" s="4" t="n"/>
      <c r="H55" s="4" t="n"/>
      <c r="I55" s="3" t="n"/>
      <c r="J55" s="3" t="n"/>
    </row>
    <row r="56" ht="54" customHeight="1">
      <c r="A56" s="4" t="n">
        <v>17</v>
      </c>
      <c r="B56" s="4" t="n"/>
      <c r="C56" s="4" t="n"/>
      <c r="D56" s="4" t="n"/>
      <c r="E56" s="4" t="n"/>
      <c r="F56" s="4" t="n"/>
      <c r="G56" s="4" t="n"/>
      <c r="H56" s="4" t="n"/>
      <c r="I56" s="3" t="n"/>
      <c r="J56" s="3" t="n"/>
    </row>
    <row r="57" ht="54" customHeight="1">
      <c r="A57" s="4" t="n">
        <v>18</v>
      </c>
      <c r="B57" s="4" t="n"/>
      <c r="C57" s="4" t="n"/>
      <c r="D57" s="4" t="n"/>
      <c r="E57" s="4" t="n"/>
      <c r="F57" s="4" t="n"/>
      <c r="G57" s="4" t="n"/>
      <c r="H57" s="4" t="n"/>
      <c r="I57" s="3" t="n"/>
      <c r="J57" s="3" t="n"/>
    </row>
    <row r="58" ht="54" customHeight="1">
      <c r="A58" s="4" t="n">
        <v>19</v>
      </c>
      <c r="B58" s="4" t="n"/>
      <c r="C58" s="4" t="n"/>
      <c r="D58" s="4" t="n"/>
      <c r="E58" s="4" t="n"/>
      <c r="F58" s="4" t="n"/>
      <c r="G58" s="4" t="n"/>
      <c r="H58" s="4" t="n"/>
      <c r="I58" s="3" t="n"/>
      <c r="J58" s="3" t="n"/>
    </row>
    <row r="59" ht="54" customHeight="1">
      <c r="A59" s="4" t="n">
        <v>20</v>
      </c>
      <c r="B59" s="4" t="n"/>
      <c r="C59" s="4" t="n"/>
      <c r="D59" s="4" t="n"/>
      <c r="E59" s="4" t="n"/>
      <c r="F59" s="4" t="n"/>
      <c r="G59" s="4" t="n"/>
      <c r="H59" s="4" t="n"/>
      <c r="I59" s="3" t="n"/>
      <c r="J59" s="3" t="n"/>
    </row>
    <row r="60">
      <c r="A60" s="3" t="n"/>
      <c r="B60" s="3" t="n"/>
      <c r="C60" s="3" t="n"/>
      <c r="D60" s="3" t="n"/>
      <c r="E60" s="3" t="n"/>
      <c r="F60" s="3" t="n"/>
      <c r="G60" s="3" t="n"/>
      <c r="H60" s="3" t="n"/>
      <c r="I60" s="3" t="n"/>
      <c r="J60" s="3" t="n"/>
    </row>
    <row r="61">
      <c r="A61" s="8" t="inlineStr">
        <is>
          <t>Final expert verdict</t>
        </is>
      </c>
      <c r="B61" s="3" t="n"/>
      <c r="C61" s="3" t="n"/>
      <c r="D61" s="3" t="n"/>
      <c r="E61" s="3" t="n"/>
      <c r="F61" s="3" t="n"/>
      <c r="G61" s="3" t="n"/>
      <c r="H61" s="3" t="n"/>
      <c r="I61" s="3" t="n"/>
      <c r="J61" s="3" t="n"/>
    </row>
    <row r="62">
      <c r="A62" s="12" t="inlineStr">
        <is>
          <t>Is the answer acceptable?</t>
        </is>
      </c>
      <c r="B62" s="4" t="inlineStr"/>
      <c r="C62" s="4" t="n"/>
      <c r="D62" s="4" t="n"/>
      <c r="E62" s="4" t="n"/>
      <c r="F62" s="4" t="n"/>
      <c r="G62" s="4" t="n"/>
      <c r="H62" s="4" t="n"/>
      <c r="I62" s="3" t="n"/>
      <c r="J62" s="3" t="n"/>
    </row>
    <row r="63" ht="54" customHeight="1">
      <c r="A63" s="12" t="inlineStr">
        <is>
          <t>Overall comment / required fixes</t>
        </is>
      </c>
      <c r="B63" s="4" t="n"/>
      <c r="C63" s="4" t="n"/>
      <c r="D63" s="4" t="n"/>
      <c r="E63" s="4" t="n"/>
      <c r="F63" s="4" t="n"/>
      <c r="G63" s="4" t="n"/>
      <c r="H63" s="4" t="n"/>
      <c r="I63" s="3" t="n"/>
      <c r="J63" s="3" t="n"/>
    </row>
    <row r="64">
      <c r="A64" s="4" t="n"/>
      <c r="B64" s="4" t="n"/>
      <c r="C64" s="4" t="n"/>
      <c r="D64" s="4" t="n"/>
      <c r="E64" s="4" t="n"/>
      <c r="F64" s="4" t="n"/>
      <c r="G64" s="4" t="n"/>
      <c r="H64" s="4" t="n"/>
      <c r="I64" s="3" t="n"/>
      <c r="J64" s="3" t="n"/>
    </row>
    <row r="65">
      <c r="A65" s="12" t="inlineStr">
        <is>
          <t>Missing key sources?</t>
        </is>
      </c>
      <c r="B65" s="4" t="n"/>
      <c r="C65" s="4" t="n"/>
      <c r="D65" s="4" t="n"/>
      <c r="E65" s="4" t="n"/>
      <c r="F65" s="4" t="n"/>
      <c r="G65" s="4" t="n"/>
      <c r="H65" s="4" t="n"/>
      <c r="I65" s="3" t="n"/>
      <c r="J65" s="3" t="n"/>
    </row>
    <row r="66">
      <c r="A66" s="12" t="inlineStr">
        <is>
          <t>Review completed?</t>
        </is>
      </c>
      <c r="B66" s="4" t="inlineStr"/>
      <c r="C66" s="4" t="n"/>
      <c r="D66" s="4" t="n"/>
      <c r="E66" s="4" t="n"/>
      <c r="F66" s="4" t="n"/>
      <c r="G66" s="4" t="n"/>
      <c r="H66" s="4" t="n"/>
      <c r="I66" s="3" t="n"/>
      <c r="J66" s="3" t="n"/>
    </row>
    <row r="67">
      <c r="A67" s="12" t="inlineStr">
        <is>
          <t>Reviewer</t>
        </is>
      </c>
      <c r="B67" s="4" t="n"/>
      <c r="C67" s="12" t="inlineStr">
        <is>
          <t>Review date</t>
        </is>
      </c>
      <c r="D67" s="5" t="inlineStr"/>
      <c r="E67" s="4" t="n"/>
      <c r="F67" s="4" t="n"/>
      <c r="G67" s="4" t="n"/>
      <c r="H67" s="4" t="n"/>
      <c r="I67" s="3" t="n"/>
      <c r="J67" s="3" t="n"/>
    </row>
    <row r="68">
      <c r="A68" s="3" t="n"/>
      <c r="B68" s="3" t="n"/>
      <c r="C68" s="3" t="n"/>
      <c r="D68" s="3" t="n"/>
      <c r="E68" s="3" t="n"/>
      <c r="F68" s="3" t="n"/>
      <c r="G68" s="3" t="n"/>
      <c r="H68" s="3" t="n"/>
      <c r="I68" s="3" t="n"/>
      <c r="J68" s="3" t="n"/>
    </row>
    <row r="69">
      <c r="A69" s="8" t="inlineStr">
        <is>
          <t>Original source notes</t>
        </is>
      </c>
      <c r="B69" s="3" t="n"/>
      <c r="C69" s="3" t="n"/>
      <c r="D69" s="3" t="n"/>
      <c r="E69" s="3" t="n"/>
      <c r="F69" s="3" t="n"/>
      <c r="G69" s="3" t="n"/>
      <c r="H69" s="3" t="n"/>
      <c r="I69" s="3" t="n"/>
      <c r="J69" s="3" t="n"/>
    </row>
    <row r="70">
      <c r="A70" s="12" t="inlineStr">
        <is>
          <t>WAB notes</t>
        </is>
      </c>
      <c r="B70" s="4" t="inlineStr"/>
      <c r="C70" s="4" t="n"/>
      <c r="D70" s="4" t="n"/>
      <c r="E70" s="4" t="n"/>
      <c r="F70" s="4" t="n"/>
      <c r="G70" s="4" t="n"/>
      <c r="H70" s="4" t="n"/>
      <c r="I70" s="3" t="n"/>
      <c r="J70" s="3" t="n"/>
    </row>
    <row r="71" ht="54" customHeight="1">
      <c r="A71" s="12" t="inlineStr">
        <is>
          <t>Reviewer notes from question approval</t>
        </is>
      </c>
      <c r="B71" s="4" t="inlineStr">
        <is>
          <t xml:space="preserve">lets replace the question with the following one : Under what conditions can French competition authorities seize entire mailboxes during a dawn raid rather than sorting on-site, how is the in-scope material subsequently identified, and what happens to material found to be out of scope? The initial version presents the blanket seizure as a given fact, which invites the tool to simply describe it rather than to set out the conditions of its lawfulness precisely the point most disputed in case law (technical necessity, impossibility of on-site sorting, proportionality). </t>
        </is>
      </c>
      <c r="C71" s="4" t="n"/>
      <c r="D71" s="4" t="n"/>
      <c r="E71" s="4" t="n"/>
      <c r="F71" s="4" t="n"/>
      <c r="G71" s="4" t="n"/>
      <c r="H71" s="4" t="n"/>
      <c r="I71" s="3" t="n"/>
      <c r="J71" s="3" t="n"/>
    </row>
    <row r="72">
      <c r="A72" s="4" t="n"/>
      <c r="B72" s="4" t="n"/>
      <c r="C72" s="4" t="n"/>
      <c r="D72" s="4" t="n"/>
      <c r="E72" s="4" t="n"/>
      <c r="F72" s="4" t="n"/>
      <c r="G72" s="4" t="n"/>
      <c r="H72" s="4" t="n"/>
      <c r="I72" s="3" t="n"/>
      <c r="J72" s="3" t="n"/>
    </row>
  </sheetData>
  <autoFilter ref="A21:J36"/>
  <mergeCells count="20">
    <mergeCell ref="B65:H65"/>
    <mergeCell ref="B71:H72"/>
    <mergeCell ref="B6:H6"/>
    <mergeCell ref="A20:J20"/>
    <mergeCell ref="A1:H1"/>
    <mergeCell ref="B5:H5"/>
    <mergeCell ref="A61:H61"/>
    <mergeCell ref="A69:H69"/>
    <mergeCell ref="B4:H4"/>
    <mergeCell ref="B62:H62"/>
    <mergeCell ref="B7:H7"/>
    <mergeCell ref="B66:H66"/>
    <mergeCell ref="A3:H3"/>
    <mergeCell ref="A16:H18"/>
    <mergeCell ref="B70:H70"/>
    <mergeCell ref="A14:H14"/>
    <mergeCell ref="B63:H64"/>
    <mergeCell ref="B8:H8"/>
    <mergeCell ref="B10:H12"/>
    <mergeCell ref="A38:H38"/>
  </mergeCells>
  <dataValidations count="9">
    <dataValidation sqref="C22:C36" showDropDown="0" showInputMessage="0" showErrorMessage="0" allowBlank="1" type="list">
      <formula1>=Lists!$F$2:$F$5</formula1>
    </dataValidation>
    <dataValidation sqref="F22:F36" showDropDown="0" showInputMessage="0" showErrorMessage="0" allowBlank="1" type="list">
      <formula1>=Lists!$G$2:$G$4</formula1>
    </dataValidation>
    <dataValidation sqref="G22:G36" showDropDown="0" showInputMessage="0" showErrorMessage="0" allowBlank="1" type="list">
      <formula1>=Lists!$G$2:$G$4</formula1>
    </dataValidation>
    <dataValidation sqref="H22:H36" showDropDown="0" showInputMessage="0" showErrorMessage="0" allowBlank="1" type="list">
      <formula1>=Lists!$G$2:$G$4</formula1>
    </dataValidation>
    <dataValidation sqref="I22:I36" showDropDown="0" showInputMessage="0" showErrorMessage="0" allowBlank="1" type="list">
      <formula1>=Lists!$H$2:$H$6</formula1>
    </dataValidation>
    <dataValidation sqref="D40:D59" showDropDown="0" showInputMessage="0" showErrorMessage="0" allowBlank="1" type="list">
      <formula1>=Lists!$D$2:$D$7</formula1>
    </dataValidation>
    <dataValidation sqref="E40:E59" showDropDown="0" showInputMessage="0" showErrorMessage="0" allowBlank="1" type="list">
      <formula1>=Lists!$E$2:$E$8</formula1>
    </dataValidation>
    <dataValidation sqref="B62" showDropDown="0" showInputMessage="0" showErrorMessage="0" allowBlank="1" type="list">
      <formula1>=Lists!$C$2:$C$4</formula1>
    </dataValidation>
    <dataValidation sqref="B66" showDropDown="0" showInputMessage="0" showErrorMessage="0" allowBlank="1" type="list">
      <formula1>=Lists!$A$2:$A$3</formula1>
    </dataValidation>
  </dataValidations>
  <pageMargins left="0.75" right="0.75" top="1" bottom="1" header="0.5" footer="0.5"/>
</worksheet>
</file>

<file path=xl/worksheets/sheet40.xml><?xml version="1.0" encoding="utf-8"?>
<worksheet xmlns="http://schemas.openxmlformats.org/spreadsheetml/2006/main">
  <sheetPr>
    <outlinePr summaryBelow="1" summaryRight="1"/>
    <pageSetUpPr/>
  </sheetPr>
  <dimension ref="A1:J72"/>
  <sheetViews>
    <sheetView showGridLines="0" workbookViewId="0">
      <pane ySplit="21" topLeftCell="A22" activePane="bottomLeft" state="frozen"/>
      <selection pane="bottomLeft" activeCell="A1" sqref="A1"/>
    </sheetView>
  </sheetViews>
  <sheetFormatPr baseColWidth="8" defaultRowHeight="15"/>
  <cols>
    <col width="12" customWidth="1" min="1" max="1"/>
    <col width="34" customWidth="1" min="2" max="2"/>
    <col width="22" customWidth="1" min="3" max="3"/>
    <col width="18" customWidth="1" min="4" max="4"/>
    <col width="20" customWidth="1" min="5" max="5"/>
    <col width="30" customWidth="1" min="6" max="6"/>
    <col width="34" customWidth="1" min="7" max="7"/>
    <col width="18" customWidth="1" min="8" max="8"/>
    <col width="18" customWidth="1" min="9" max="9"/>
    <col width="30" customWidth="1" min="10" max="10"/>
  </cols>
  <sheetData>
    <row r="1" ht="28" customHeight="1">
      <c r="A1" s="6" t="inlineStr">
        <is>
          <t>Q45 — Expert Review</t>
        </is>
      </c>
      <c r="B1" s="3" t="n"/>
      <c r="C1" s="3" t="n"/>
      <c r="D1" s="3" t="n"/>
      <c r="E1" s="3" t="n"/>
      <c r="F1" s="3" t="n"/>
      <c r="G1" s="3" t="n"/>
      <c r="H1" s="3" t="n"/>
      <c r="I1" s="3" t="n"/>
      <c r="J1" s="3" t="n"/>
    </row>
    <row r="2">
      <c r="A2" s="3" t="n"/>
      <c r="B2" s="3" t="n"/>
      <c r="C2" s="3" t="n"/>
      <c r="D2" s="3" t="n"/>
      <c r="E2" s="3" t="n"/>
      <c r="F2" s="3" t="n"/>
      <c r="G2" s="3" t="n"/>
      <c r="H2" s="3" t="n"/>
      <c r="I2" s="3" t="n"/>
      <c r="J2" s="3" t="n"/>
    </row>
    <row r="3">
      <c r="A3" s="8" t="inlineStr">
        <is>
          <t>Question metadata</t>
        </is>
      </c>
      <c r="B3" s="3" t="n"/>
      <c r="C3" s="3" t="n"/>
      <c r="D3" s="3" t="n"/>
      <c r="E3" s="3" t="n"/>
      <c r="F3" s="3" t="n"/>
      <c r="G3" s="3" t="n"/>
      <c r="H3" s="3" t="n"/>
      <c r="I3" s="3" t="n"/>
      <c r="J3" s="3" t="n"/>
    </row>
    <row r="4">
      <c r="A4" s="9" t="inlineStr">
        <is>
          <t>Question ID</t>
        </is>
      </c>
      <c r="B4" s="3" t="n">
        <v>45</v>
      </c>
      <c r="C4" s="3" t="n"/>
      <c r="D4" s="3" t="n"/>
      <c r="E4" s="3" t="n"/>
      <c r="F4" s="3" t="n"/>
      <c r="G4" s="3" t="n"/>
      <c r="H4" s="3" t="n"/>
      <c r="I4" s="3" t="n"/>
      <c r="J4" s="3" t="n"/>
    </row>
    <row r="5">
      <c r="A5" s="9" t="inlineStr">
        <is>
          <t>Topic</t>
        </is>
      </c>
      <c r="B5" s="3" t="inlineStr">
        <is>
          <t>Dawn raids — evidence found by accident</t>
        </is>
      </c>
      <c r="C5" s="3" t="n"/>
      <c r="D5" s="3" t="n"/>
      <c r="E5" s="3" t="n"/>
      <c r="F5" s="3" t="n"/>
      <c r="G5" s="3" t="n"/>
      <c r="H5" s="3" t="n"/>
      <c r="I5" s="3" t="n"/>
      <c r="J5" s="3" t="n"/>
    </row>
    <row r="6">
      <c r="A6" s="9" t="inlineStr">
        <is>
          <t>Scope</t>
        </is>
      </c>
      <c r="B6" s="3" t="inlineStr">
        <is>
          <t>EU</t>
        </is>
      </c>
      <c r="C6" s="3" t="n"/>
      <c r="D6" s="3" t="n"/>
      <c r="E6" s="3" t="n"/>
      <c r="F6" s="3" t="n"/>
      <c r="G6" s="3" t="n"/>
      <c r="H6" s="3" t="n"/>
      <c r="I6" s="3" t="n"/>
      <c r="J6" s="3" t="n"/>
    </row>
    <row r="7">
      <c r="A7" s="9" t="inlineStr">
        <is>
          <t>Original reviewer</t>
        </is>
      </c>
      <c r="B7" s="3" t="inlineStr">
        <is>
          <t>Carolina</t>
        </is>
      </c>
      <c r="C7" s="3" t="n"/>
      <c r="D7" s="3" t="n"/>
      <c r="E7" s="3" t="n"/>
      <c r="F7" s="3" t="n"/>
      <c r="G7" s="3" t="n"/>
      <c r="H7" s="3" t="n"/>
      <c r="I7" s="3" t="n"/>
      <c r="J7" s="3" t="n"/>
    </row>
    <row r="8">
      <c r="A8" s="9" t="inlineStr">
        <is>
          <t>Original status</t>
        </is>
      </c>
      <c r="B8" s="3" t="inlineStr">
        <is>
          <t>Approved</t>
        </is>
      </c>
      <c r="C8" s="3" t="n"/>
      <c r="D8" s="3" t="n"/>
      <c r="E8" s="3" t="n"/>
      <c r="F8" s="3" t="n"/>
      <c r="G8" s="3" t="n"/>
      <c r="H8" s="3" t="n"/>
      <c r="I8" s="3" t="n"/>
      <c r="J8" s="3" t="n"/>
    </row>
    <row r="9">
      <c r="A9" s="3" t="n"/>
      <c r="B9" s="3" t="n"/>
      <c r="C9" s="3" t="n"/>
      <c r="D9" s="3" t="n"/>
      <c r="E9" s="3" t="n"/>
      <c r="F9" s="3" t="n"/>
      <c r="G9" s="3" t="n"/>
      <c r="H9" s="3" t="n"/>
      <c r="I9" s="3" t="n"/>
      <c r="J9" s="3" t="n"/>
    </row>
    <row r="10" ht="45" customHeight="1">
      <c r="A10" s="9" t="inlineStr">
        <is>
          <t>Question</t>
        </is>
      </c>
      <c r="B10" s="3" t="inlineStr">
        <is>
          <t>May the Commission use evidence of an infringement falling outside the subject matter of the inspection decision? What are the limits imposed by the relevant case law on the use of such incidental findings, and on what conditions may a chance discovery justify a new inspection?</t>
        </is>
      </c>
      <c r="C10" s="3" t="n"/>
      <c r="D10" s="3" t="n"/>
      <c r="E10" s="3" t="n"/>
      <c r="F10" s="3" t="n"/>
      <c r="G10" s="3" t="n"/>
      <c r="H10" s="3" t="n"/>
      <c r="I10" s="3" t="n"/>
      <c r="J10" s="3" t="n"/>
    </row>
    <row r="11">
      <c r="A11" s="3" t="n"/>
      <c r="B11" s="3" t="n"/>
      <c r="C11" s="3" t="n"/>
      <c r="D11" s="3" t="n"/>
      <c r="E11" s="3" t="n"/>
      <c r="F11" s="3" t="n"/>
      <c r="G11" s="3" t="n"/>
      <c r="H11" s="3" t="n"/>
      <c r="I11" s="3" t="n"/>
      <c r="J11" s="3" t="n"/>
    </row>
    <row r="12">
      <c r="A12" s="3" t="n"/>
      <c r="B12" s="3" t="n"/>
      <c r="C12" s="3" t="n"/>
      <c r="D12" s="3" t="n"/>
      <c r="E12" s="3" t="n"/>
      <c r="F12" s="3" t="n"/>
      <c r="G12" s="3" t="n"/>
      <c r="H12" s="3" t="n"/>
      <c r="I12" s="3" t="n"/>
      <c r="J12" s="3" t="n"/>
    </row>
    <row r="13">
      <c r="A13" s="3" t="n"/>
      <c r="B13" s="3" t="n"/>
      <c r="C13" s="3" t="n"/>
      <c r="D13" s="3" t="n"/>
      <c r="E13" s="3" t="n"/>
      <c r="F13" s="3" t="n"/>
      <c r="G13" s="3" t="n"/>
      <c r="H13" s="3" t="n"/>
      <c r="I13" s="3" t="n"/>
      <c r="J13" s="3" t="n"/>
    </row>
    <row r="14">
      <c r="A14" s="8" t="inlineStr">
        <is>
          <t>Generated answer</t>
        </is>
      </c>
      <c r="B14" s="3" t="n"/>
      <c r="C14" s="3" t="n"/>
      <c r="D14" s="3" t="n"/>
      <c r="E14" s="3" t="n"/>
      <c r="F14" s="3" t="n"/>
      <c r="G14" s="3" t="n"/>
      <c r="H14" s="3" t="n"/>
      <c r="I14" s="3" t="n"/>
      <c r="J14" s="3" t="n"/>
    </row>
    <row r="15">
      <c r="A15" s="10" t="inlineStr">
        <is>
          <t>Paste the generated answer below.</t>
        </is>
      </c>
      <c r="B15" s="3" t="n"/>
      <c r="C15" s="3" t="n"/>
      <c r="D15" s="3" t="n"/>
      <c r="E15" s="3" t="n"/>
      <c r="F15" s="3" t="n"/>
      <c r="G15" s="3" t="n"/>
      <c r="H15" s="3" t="n"/>
      <c r="I15" s="3" t="n"/>
      <c r="J15" s="3" t="n"/>
    </row>
    <row r="16" ht="90" customHeight="1">
      <c r="A16" s="3" t="inlineStr"/>
      <c r="B16" s="3" t="n"/>
      <c r="C16" s="3" t="n"/>
      <c r="D16" s="3" t="n"/>
      <c r="E16" s="3" t="n"/>
      <c r="F16" s="3" t="n"/>
      <c r="G16" s="3" t="n"/>
      <c r="H16" s="3" t="n"/>
      <c r="I16" s="3" t="n"/>
      <c r="J16" s="3" t="n"/>
    </row>
    <row r="17" ht="30" customHeight="1">
      <c r="A17" s="3" t="n"/>
      <c r="B17" s="3" t="n"/>
      <c r="C17" s="3" t="n"/>
      <c r="D17" s="3" t="n"/>
      <c r="E17" s="3" t="n"/>
      <c r="F17" s="3" t="n"/>
      <c r="G17" s="3" t="n"/>
      <c r="H17" s="3" t="n"/>
      <c r="I17" s="3" t="n"/>
      <c r="J17" s="3" t="n"/>
    </row>
    <row r="18" ht="30" customHeight="1">
      <c r="A18" s="3" t="n"/>
      <c r="B18" s="3" t="n"/>
      <c r="C18" s="3" t="n"/>
      <c r="D18" s="3" t="n"/>
      <c r="E18" s="3" t="n"/>
      <c r="F18" s="3" t="n"/>
      <c r="G18" s="3" t="n"/>
      <c r="H18" s="3" t="n"/>
      <c r="I18" s="3" t="n"/>
      <c r="J18" s="3" t="n"/>
    </row>
    <row r="19">
      <c r="A19" s="9" t="inlineStr">
        <is>
          <t>Run ID</t>
        </is>
      </c>
      <c r="B19" s="3" t="inlineStr"/>
      <c r="C19" s="9" t="inlineStr">
        <is>
          <t>Run date</t>
        </is>
      </c>
      <c r="D19" s="3" t="inlineStr"/>
      <c r="E19" s="9" t="inlineStr">
        <is>
          <t>Model / prompt version</t>
        </is>
      </c>
      <c r="F19" s="3" t="inlineStr"/>
      <c r="G19" s="9" t="inlineStr">
        <is>
          <t>Corpus snapshot</t>
        </is>
      </c>
      <c r="H19" s="3" t="inlineStr"/>
      <c r="I19" s="3" t="n"/>
      <c r="J19" s="3" t="n"/>
    </row>
    <row r="20">
      <c r="A20" s="8" t="inlineStr">
        <is>
          <t>Retrieval set review</t>
        </is>
      </c>
      <c r="B20" s="3" t="n"/>
      <c r="C20" s="3" t="n"/>
      <c r="D20" s="3" t="n"/>
      <c r="E20" s="3" t="n"/>
      <c r="F20" s="3" t="n"/>
      <c r="G20" s="3" t="n"/>
      <c r="H20" s="3" t="n"/>
      <c r="I20" s="3" t="n"/>
      <c r="J20" s="3" t="n"/>
    </row>
    <row r="21">
      <c r="A21" s="11" t="inlineStr">
        <is>
          <t>Rank</t>
        </is>
      </c>
      <c r="B21" s="11" t="inlineStr">
        <is>
          <t>Retrieved source</t>
        </is>
      </c>
      <c r="C21" s="11" t="inlineStr">
        <is>
          <t>Source type</t>
        </is>
      </c>
      <c r="D21" s="11" t="inlineStr">
        <is>
          <t>Jurisdiction</t>
        </is>
      </c>
      <c r="E21" s="11" t="inlineStr">
        <is>
          <t>URL / Document ID</t>
        </is>
      </c>
      <c r="F21" s="11" t="inlineStr">
        <is>
          <t>Returned by engine?</t>
        </is>
      </c>
      <c r="G21" s="11" t="inlineStr">
        <is>
          <t>Required source?</t>
        </is>
      </c>
      <c r="H21" s="11" t="inlineStr">
        <is>
          <t>Trap?</t>
        </is>
      </c>
      <c r="I21" s="11" t="inlineStr">
        <is>
          <t>Expert verdict</t>
        </is>
      </c>
      <c r="J21" s="11" t="inlineStr">
        <is>
          <t>Notes</t>
        </is>
      </c>
    </row>
    <row r="22" ht="44" customHeight="1">
      <c r="A22" s="4" t="n">
        <v>1</v>
      </c>
      <c r="B22" s="4" t="n"/>
      <c r="C22" s="4" t="n"/>
      <c r="D22" s="4" t="n"/>
      <c r="E22" s="4" t="n"/>
      <c r="F22" s="4" t="n"/>
      <c r="G22" s="4" t="n"/>
      <c r="H22" s="4" t="n"/>
      <c r="I22" s="4" t="n"/>
      <c r="J22" s="4" t="n"/>
    </row>
    <row r="23" ht="44" customHeight="1">
      <c r="A23" s="4" t="n">
        <v>2</v>
      </c>
      <c r="B23" s="4" t="n"/>
      <c r="C23" s="4" t="n"/>
      <c r="D23" s="4" t="n"/>
      <c r="E23" s="4" t="n"/>
      <c r="F23" s="4" t="n"/>
      <c r="G23" s="4" t="n"/>
      <c r="H23" s="4" t="n"/>
      <c r="I23" s="4" t="n"/>
      <c r="J23" s="4" t="n"/>
    </row>
    <row r="24" ht="44" customHeight="1">
      <c r="A24" s="4" t="n">
        <v>3</v>
      </c>
      <c r="B24" s="4" t="n"/>
      <c r="C24" s="4" t="n"/>
      <c r="D24" s="4" t="n"/>
      <c r="E24" s="4" t="n"/>
      <c r="F24" s="4" t="n"/>
      <c r="G24" s="4" t="n"/>
      <c r="H24" s="4" t="n"/>
      <c r="I24" s="4" t="n"/>
      <c r="J24" s="4" t="n"/>
    </row>
    <row r="25" ht="44" customHeight="1">
      <c r="A25" s="4" t="n">
        <v>4</v>
      </c>
      <c r="B25" s="4" t="n"/>
      <c r="C25" s="4" t="n"/>
      <c r="D25" s="4" t="n"/>
      <c r="E25" s="4" t="n"/>
      <c r="F25" s="4" t="n"/>
      <c r="G25" s="4" t="n"/>
      <c r="H25" s="4" t="n"/>
      <c r="I25" s="4" t="n"/>
      <c r="J25" s="4" t="n"/>
    </row>
    <row r="26" ht="44" customHeight="1">
      <c r="A26" s="4" t="n">
        <v>5</v>
      </c>
      <c r="B26" s="4" t="n"/>
      <c r="C26" s="4" t="n"/>
      <c r="D26" s="4" t="n"/>
      <c r="E26" s="4" t="n"/>
      <c r="F26" s="4" t="n"/>
      <c r="G26" s="4" t="n"/>
      <c r="H26" s="4" t="n"/>
      <c r="I26" s="4" t="n"/>
      <c r="J26" s="4" t="n"/>
    </row>
    <row r="27" ht="44" customHeight="1">
      <c r="A27" s="4" t="n">
        <v>6</v>
      </c>
      <c r="B27" s="4" t="n"/>
      <c r="C27" s="4" t="n"/>
      <c r="D27" s="4" t="n"/>
      <c r="E27" s="4" t="n"/>
      <c r="F27" s="4" t="n"/>
      <c r="G27" s="4" t="n"/>
      <c r="H27" s="4" t="n"/>
      <c r="I27" s="4" t="n"/>
      <c r="J27" s="4" t="n"/>
    </row>
    <row r="28" ht="44" customHeight="1">
      <c r="A28" s="4" t="n">
        <v>7</v>
      </c>
      <c r="B28" s="4" t="n"/>
      <c r="C28" s="4" t="n"/>
      <c r="D28" s="4" t="n"/>
      <c r="E28" s="4" t="n"/>
      <c r="F28" s="4" t="n"/>
      <c r="G28" s="4" t="n"/>
      <c r="H28" s="4" t="n"/>
      <c r="I28" s="4" t="n"/>
      <c r="J28" s="4" t="n"/>
    </row>
    <row r="29" ht="44" customHeight="1">
      <c r="A29" s="4" t="n">
        <v>8</v>
      </c>
      <c r="B29" s="4" t="n"/>
      <c r="C29" s="4" t="n"/>
      <c r="D29" s="4" t="n"/>
      <c r="E29" s="4" t="n"/>
      <c r="F29" s="4" t="n"/>
      <c r="G29" s="4" t="n"/>
      <c r="H29" s="4" t="n"/>
      <c r="I29" s="4" t="n"/>
      <c r="J29" s="4" t="n"/>
    </row>
    <row r="30" ht="44" customHeight="1">
      <c r="A30" s="4" t="n">
        <v>9</v>
      </c>
      <c r="B30" s="4" t="n"/>
      <c r="C30" s="4" t="n"/>
      <c r="D30" s="4" t="n"/>
      <c r="E30" s="4" t="n"/>
      <c r="F30" s="4" t="n"/>
      <c r="G30" s="4" t="n"/>
      <c r="H30" s="4" t="n"/>
      <c r="I30" s="4" t="n"/>
      <c r="J30" s="4" t="n"/>
    </row>
    <row r="31" ht="44" customHeight="1">
      <c r="A31" s="4" t="n">
        <v>10</v>
      </c>
      <c r="B31" s="4" t="n"/>
      <c r="C31" s="4" t="n"/>
      <c r="D31" s="4" t="n"/>
      <c r="E31" s="4" t="n"/>
      <c r="F31" s="4" t="n"/>
      <c r="G31" s="4" t="n"/>
      <c r="H31" s="4" t="n"/>
      <c r="I31" s="4" t="n"/>
      <c r="J31" s="4" t="n"/>
    </row>
    <row r="32" ht="44" customHeight="1">
      <c r="A32" s="4" t="n">
        <v>11</v>
      </c>
      <c r="B32" s="4" t="n"/>
      <c r="C32" s="4" t="n"/>
      <c r="D32" s="4" t="n"/>
      <c r="E32" s="4" t="n"/>
      <c r="F32" s="4" t="n"/>
      <c r="G32" s="4" t="n"/>
      <c r="H32" s="4" t="n"/>
      <c r="I32" s="4" t="n"/>
      <c r="J32" s="4" t="n"/>
    </row>
    <row r="33" ht="44" customHeight="1">
      <c r="A33" s="4" t="n">
        <v>12</v>
      </c>
      <c r="B33" s="4" t="n"/>
      <c r="C33" s="4" t="n"/>
      <c r="D33" s="4" t="n"/>
      <c r="E33" s="4" t="n"/>
      <c r="F33" s="4" t="n"/>
      <c r="G33" s="4" t="n"/>
      <c r="H33" s="4" t="n"/>
      <c r="I33" s="4" t="n"/>
      <c r="J33" s="4" t="n"/>
    </row>
    <row r="34" ht="44" customHeight="1">
      <c r="A34" s="4" t="n">
        <v>13</v>
      </c>
      <c r="B34" s="4" t="n"/>
      <c r="C34" s="4" t="n"/>
      <c r="D34" s="4" t="n"/>
      <c r="E34" s="4" t="n"/>
      <c r="F34" s="4" t="n"/>
      <c r="G34" s="4" t="n"/>
      <c r="H34" s="4" t="n"/>
      <c r="I34" s="4" t="n"/>
      <c r="J34" s="4" t="n"/>
    </row>
    <row r="35" ht="44" customHeight="1">
      <c r="A35" s="4" t="n">
        <v>14</v>
      </c>
      <c r="B35" s="4" t="n"/>
      <c r="C35" s="4" t="n"/>
      <c r="D35" s="4" t="n"/>
      <c r="E35" s="4" t="n"/>
      <c r="F35" s="4" t="n"/>
      <c r="G35" s="4" t="n"/>
      <c r="H35" s="4" t="n"/>
      <c r="I35" s="4" t="n"/>
      <c r="J35" s="4" t="n"/>
    </row>
    <row r="36" ht="44" customHeight="1">
      <c r="A36" s="4" t="n">
        <v>15</v>
      </c>
      <c r="B36" s="4" t="n"/>
      <c r="C36" s="4" t="n"/>
      <c r="D36" s="4" t="n"/>
      <c r="E36" s="4" t="n"/>
      <c r="F36" s="4" t="n"/>
      <c r="G36" s="4" t="n"/>
      <c r="H36" s="4" t="n"/>
      <c r="I36" s="4" t="n"/>
      <c r="J36" s="4" t="n"/>
    </row>
    <row r="37">
      <c r="A37" s="3" t="n"/>
      <c r="B37" s="3" t="n"/>
      <c r="C37" s="3" t="n"/>
      <c r="D37" s="3" t="n"/>
      <c r="E37" s="3" t="n"/>
      <c r="F37" s="3" t="n"/>
      <c r="G37" s="3" t="n"/>
      <c r="H37" s="3" t="n"/>
      <c r="I37" s="3" t="n"/>
      <c r="J37" s="3" t="n"/>
    </row>
    <row r="38">
      <c r="A38" s="8" t="inlineStr">
        <is>
          <t>Claim-by-claim review</t>
        </is>
      </c>
      <c r="B38" s="3" t="n"/>
      <c r="C38" s="3" t="n"/>
      <c r="D38" s="3" t="n"/>
      <c r="E38" s="3" t="n"/>
      <c r="F38" s="3" t="n"/>
      <c r="G38" s="3" t="n"/>
      <c r="H38" s="3" t="n"/>
      <c r="I38" s="3" t="n"/>
      <c r="J38" s="3" t="n"/>
    </row>
    <row r="39">
      <c r="A39" s="11" t="inlineStr">
        <is>
          <t>Claim ID</t>
        </is>
      </c>
      <c r="B39" s="11" t="inlineStr">
        <is>
          <t>Claim from answer</t>
        </is>
      </c>
      <c r="C39" s="11" t="inlineStr">
        <is>
          <t>Citation used</t>
        </is>
      </c>
      <c r="D39" s="11" t="inlineStr">
        <is>
          <t>Expert verdict</t>
        </is>
      </c>
      <c r="E39" s="11" t="inlineStr">
        <is>
          <t>Issue type</t>
        </is>
      </c>
      <c r="F39" s="11" t="inlineStr">
        <is>
          <t>Cited passage / source note</t>
        </is>
      </c>
      <c r="G39" s="11" t="inlineStr">
        <is>
          <t>Required fix / comment</t>
        </is>
      </c>
      <c r="H39" s="11" t="inlineStr">
        <is>
          <t>Reviewer</t>
        </is>
      </c>
      <c r="I39" s="11" t="n"/>
      <c r="J39" s="11" t="n"/>
    </row>
    <row r="40" ht="54" customHeight="1">
      <c r="A40" s="4" t="n">
        <v>1</v>
      </c>
      <c r="B40" s="4" t="n"/>
      <c r="C40" s="4" t="n"/>
      <c r="D40" s="4" t="n"/>
      <c r="E40" s="4" t="n"/>
      <c r="F40" s="4" t="n"/>
      <c r="G40" s="4" t="n"/>
      <c r="H40" s="4" t="n"/>
      <c r="I40" s="3" t="n"/>
      <c r="J40" s="3" t="n"/>
    </row>
    <row r="41" ht="54" customHeight="1">
      <c r="A41" s="4" t="n">
        <v>2</v>
      </c>
      <c r="B41" s="4" t="n"/>
      <c r="C41" s="4" t="n"/>
      <c r="D41" s="4" t="n"/>
      <c r="E41" s="4" t="n"/>
      <c r="F41" s="4" t="n"/>
      <c r="G41" s="4" t="n"/>
      <c r="H41" s="4" t="n"/>
      <c r="I41" s="3" t="n"/>
      <c r="J41" s="3" t="n"/>
    </row>
    <row r="42" ht="54" customHeight="1">
      <c r="A42" s="4" t="n">
        <v>3</v>
      </c>
      <c r="B42" s="4" t="n"/>
      <c r="C42" s="4" t="n"/>
      <c r="D42" s="4" t="n"/>
      <c r="E42" s="4" t="n"/>
      <c r="F42" s="4" t="n"/>
      <c r="G42" s="4" t="n"/>
      <c r="H42" s="4" t="n"/>
      <c r="I42" s="3" t="n"/>
      <c r="J42" s="3" t="n"/>
    </row>
    <row r="43" ht="54" customHeight="1">
      <c r="A43" s="4" t="n">
        <v>4</v>
      </c>
      <c r="B43" s="4" t="n"/>
      <c r="C43" s="4" t="n"/>
      <c r="D43" s="4" t="n"/>
      <c r="E43" s="4" t="n"/>
      <c r="F43" s="4" t="n"/>
      <c r="G43" s="4" t="n"/>
      <c r="H43" s="4" t="n"/>
      <c r="I43" s="3" t="n"/>
      <c r="J43" s="3" t="n"/>
    </row>
    <row r="44" ht="54" customHeight="1">
      <c r="A44" s="4" t="n">
        <v>5</v>
      </c>
      <c r="B44" s="4" t="n"/>
      <c r="C44" s="4" t="n"/>
      <c r="D44" s="4" t="n"/>
      <c r="E44" s="4" t="n"/>
      <c r="F44" s="4" t="n"/>
      <c r="G44" s="4" t="n"/>
      <c r="H44" s="4" t="n"/>
      <c r="I44" s="3" t="n"/>
      <c r="J44" s="3" t="n"/>
    </row>
    <row r="45" ht="54" customHeight="1">
      <c r="A45" s="4" t="n">
        <v>6</v>
      </c>
      <c r="B45" s="4" t="n"/>
      <c r="C45" s="4" t="n"/>
      <c r="D45" s="4" t="n"/>
      <c r="E45" s="4" t="n"/>
      <c r="F45" s="4" t="n"/>
      <c r="G45" s="4" t="n"/>
      <c r="H45" s="4" t="n"/>
      <c r="I45" s="3" t="n"/>
      <c r="J45" s="3" t="n"/>
    </row>
    <row r="46" ht="54" customHeight="1">
      <c r="A46" s="4" t="n">
        <v>7</v>
      </c>
      <c r="B46" s="4" t="n"/>
      <c r="C46" s="4" t="n"/>
      <c r="D46" s="4" t="n"/>
      <c r="E46" s="4" t="n"/>
      <c r="F46" s="4" t="n"/>
      <c r="G46" s="4" t="n"/>
      <c r="H46" s="4" t="n"/>
      <c r="I46" s="3" t="n"/>
      <c r="J46" s="3" t="n"/>
    </row>
    <row r="47" ht="54" customHeight="1">
      <c r="A47" s="4" t="n">
        <v>8</v>
      </c>
      <c r="B47" s="4" t="n"/>
      <c r="C47" s="4" t="n"/>
      <c r="D47" s="4" t="n"/>
      <c r="E47" s="4" t="n"/>
      <c r="F47" s="4" t="n"/>
      <c r="G47" s="4" t="n"/>
      <c r="H47" s="4" t="n"/>
      <c r="I47" s="3" t="n"/>
      <c r="J47" s="3" t="n"/>
    </row>
    <row r="48" ht="54" customHeight="1">
      <c r="A48" s="4" t="n">
        <v>9</v>
      </c>
      <c r="B48" s="4" t="n"/>
      <c r="C48" s="4" t="n"/>
      <c r="D48" s="4" t="n"/>
      <c r="E48" s="4" t="n"/>
      <c r="F48" s="4" t="n"/>
      <c r="G48" s="4" t="n"/>
      <c r="H48" s="4" t="n"/>
      <c r="I48" s="3" t="n"/>
      <c r="J48" s="3" t="n"/>
    </row>
    <row r="49" ht="54" customHeight="1">
      <c r="A49" s="4" t="n">
        <v>10</v>
      </c>
      <c r="B49" s="4" t="n"/>
      <c r="C49" s="4" t="n"/>
      <c r="D49" s="4" t="n"/>
      <c r="E49" s="4" t="n"/>
      <c r="F49" s="4" t="n"/>
      <c r="G49" s="4" t="n"/>
      <c r="H49" s="4" t="n"/>
      <c r="I49" s="3" t="n"/>
      <c r="J49" s="3" t="n"/>
    </row>
    <row r="50" ht="54" customHeight="1">
      <c r="A50" s="4" t="n">
        <v>11</v>
      </c>
      <c r="B50" s="4" t="n"/>
      <c r="C50" s="4" t="n"/>
      <c r="D50" s="4" t="n"/>
      <c r="E50" s="4" t="n"/>
      <c r="F50" s="4" t="n"/>
      <c r="G50" s="4" t="n"/>
      <c r="H50" s="4" t="n"/>
      <c r="I50" s="3" t="n"/>
      <c r="J50" s="3" t="n"/>
    </row>
    <row r="51" ht="54" customHeight="1">
      <c r="A51" s="4" t="n">
        <v>12</v>
      </c>
      <c r="B51" s="4" t="n"/>
      <c r="C51" s="4" t="n"/>
      <c r="D51" s="4" t="n"/>
      <c r="E51" s="4" t="n"/>
      <c r="F51" s="4" t="n"/>
      <c r="G51" s="4" t="n"/>
      <c r="H51" s="4" t="n"/>
      <c r="I51" s="3" t="n"/>
      <c r="J51" s="3" t="n"/>
    </row>
    <row r="52" ht="54" customHeight="1">
      <c r="A52" s="4" t="n">
        <v>13</v>
      </c>
      <c r="B52" s="4" t="n"/>
      <c r="C52" s="4" t="n"/>
      <c r="D52" s="4" t="n"/>
      <c r="E52" s="4" t="n"/>
      <c r="F52" s="4" t="n"/>
      <c r="G52" s="4" t="n"/>
      <c r="H52" s="4" t="n"/>
      <c r="I52" s="3" t="n"/>
      <c r="J52" s="3" t="n"/>
    </row>
    <row r="53" ht="54" customHeight="1">
      <c r="A53" s="4" t="n">
        <v>14</v>
      </c>
      <c r="B53" s="4" t="n"/>
      <c r="C53" s="4" t="n"/>
      <c r="D53" s="4" t="n"/>
      <c r="E53" s="4" t="n"/>
      <c r="F53" s="4" t="n"/>
      <c r="G53" s="4" t="n"/>
      <c r="H53" s="4" t="n"/>
      <c r="I53" s="3" t="n"/>
      <c r="J53" s="3" t="n"/>
    </row>
    <row r="54" ht="54" customHeight="1">
      <c r="A54" s="4" t="n">
        <v>15</v>
      </c>
      <c r="B54" s="4" t="n"/>
      <c r="C54" s="4" t="n"/>
      <c r="D54" s="4" t="n"/>
      <c r="E54" s="4" t="n"/>
      <c r="F54" s="4" t="n"/>
      <c r="G54" s="4" t="n"/>
      <c r="H54" s="4" t="n"/>
      <c r="I54" s="3" t="n"/>
      <c r="J54" s="3" t="n"/>
    </row>
    <row r="55" ht="54" customHeight="1">
      <c r="A55" s="4" t="n">
        <v>16</v>
      </c>
      <c r="B55" s="4" t="n"/>
      <c r="C55" s="4" t="n"/>
      <c r="D55" s="4" t="n"/>
      <c r="E55" s="4" t="n"/>
      <c r="F55" s="4" t="n"/>
      <c r="G55" s="4" t="n"/>
      <c r="H55" s="4" t="n"/>
      <c r="I55" s="3" t="n"/>
      <c r="J55" s="3" t="n"/>
    </row>
    <row r="56" ht="54" customHeight="1">
      <c r="A56" s="4" t="n">
        <v>17</v>
      </c>
      <c r="B56" s="4" t="n"/>
      <c r="C56" s="4" t="n"/>
      <c r="D56" s="4" t="n"/>
      <c r="E56" s="4" t="n"/>
      <c r="F56" s="4" t="n"/>
      <c r="G56" s="4" t="n"/>
      <c r="H56" s="4" t="n"/>
      <c r="I56" s="3" t="n"/>
      <c r="J56" s="3" t="n"/>
    </row>
    <row r="57" ht="54" customHeight="1">
      <c r="A57" s="4" t="n">
        <v>18</v>
      </c>
      <c r="B57" s="4" t="n"/>
      <c r="C57" s="4" t="n"/>
      <c r="D57" s="4" t="n"/>
      <c r="E57" s="4" t="n"/>
      <c r="F57" s="4" t="n"/>
      <c r="G57" s="4" t="n"/>
      <c r="H57" s="4" t="n"/>
      <c r="I57" s="3" t="n"/>
      <c r="J57" s="3" t="n"/>
    </row>
    <row r="58" ht="54" customHeight="1">
      <c r="A58" s="4" t="n">
        <v>19</v>
      </c>
      <c r="B58" s="4" t="n"/>
      <c r="C58" s="4" t="n"/>
      <c r="D58" s="4" t="n"/>
      <c r="E58" s="4" t="n"/>
      <c r="F58" s="4" t="n"/>
      <c r="G58" s="4" t="n"/>
      <c r="H58" s="4" t="n"/>
      <c r="I58" s="3" t="n"/>
      <c r="J58" s="3" t="n"/>
    </row>
    <row r="59" ht="54" customHeight="1">
      <c r="A59" s="4" t="n">
        <v>20</v>
      </c>
      <c r="B59" s="4" t="n"/>
      <c r="C59" s="4" t="n"/>
      <c r="D59" s="4" t="n"/>
      <c r="E59" s="4" t="n"/>
      <c r="F59" s="4" t="n"/>
      <c r="G59" s="4" t="n"/>
      <c r="H59" s="4" t="n"/>
      <c r="I59" s="3" t="n"/>
      <c r="J59" s="3" t="n"/>
    </row>
    <row r="60">
      <c r="A60" s="3" t="n"/>
      <c r="B60" s="3" t="n"/>
      <c r="C60" s="3" t="n"/>
      <c r="D60" s="3" t="n"/>
      <c r="E60" s="3" t="n"/>
      <c r="F60" s="3" t="n"/>
      <c r="G60" s="3" t="n"/>
      <c r="H60" s="3" t="n"/>
      <c r="I60" s="3" t="n"/>
      <c r="J60" s="3" t="n"/>
    </row>
    <row r="61">
      <c r="A61" s="8" t="inlineStr">
        <is>
          <t>Final expert verdict</t>
        </is>
      </c>
      <c r="B61" s="3" t="n"/>
      <c r="C61" s="3" t="n"/>
      <c r="D61" s="3" t="n"/>
      <c r="E61" s="3" t="n"/>
      <c r="F61" s="3" t="n"/>
      <c r="G61" s="3" t="n"/>
      <c r="H61" s="3" t="n"/>
      <c r="I61" s="3" t="n"/>
      <c r="J61" s="3" t="n"/>
    </row>
    <row r="62">
      <c r="A62" s="12" t="inlineStr">
        <is>
          <t>Is the answer acceptable?</t>
        </is>
      </c>
      <c r="B62" s="4" t="inlineStr"/>
      <c r="C62" s="4" t="n"/>
      <c r="D62" s="4" t="n"/>
      <c r="E62" s="4" t="n"/>
      <c r="F62" s="4" t="n"/>
      <c r="G62" s="4" t="n"/>
      <c r="H62" s="4" t="n"/>
      <c r="I62" s="3" t="n"/>
      <c r="J62" s="3" t="n"/>
    </row>
    <row r="63" ht="54" customHeight="1">
      <c r="A63" s="12" t="inlineStr">
        <is>
          <t>Overall comment / required fixes</t>
        </is>
      </c>
      <c r="B63" s="4" t="n"/>
      <c r="C63" s="4" t="n"/>
      <c r="D63" s="4" t="n"/>
      <c r="E63" s="4" t="n"/>
      <c r="F63" s="4" t="n"/>
      <c r="G63" s="4" t="n"/>
      <c r="H63" s="4" t="n"/>
      <c r="I63" s="3" t="n"/>
      <c r="J63" s="3" t="n"/>
    </row>
    <row r="64">
      <c r="A64" s="4" t="n"/>
      <c r="B64" s="4" t="n"/>
      <c r="C64" s="4" t="n"/>
      <c r="D64" s="4" t="n"/>
      <c r="E64" s="4" t="n"/>
      <c r="F64" s="4" t="n"/>
      <c r="G64" s="4" t="n"/>
      <c r="H64" s="4" t="n"/>
      <c r="I64" s="3" t="n"/>
      <c r="J64" s="3" t="n"/>
    </row>
    <row r="65">
      <c r="A65" s="12" t="inlineStr">
        <is>
          <t>Missing key sources?</t>
        </is>
      </c>
      <c r="B65" s="4" t="n"/>
      <c r="C65" s="4" t="n"/>
      <c r="D65" s="4" t="n"/>
      <c r="E65" s="4" t="n"/>
      <c r="F65" s="4" t="n"/>
      <c r="G65" s="4" t="n"/>
      <c r="H65" s="4" t="n"/>
      <c r="I65" s="3" t="n"/>
      <c r="J65" s="3" t="n"/>
    </row>
    <row r="66">
      <c r="A66" s="12" t="inlineStr">
        <is>
          <t>Review completed?</t>
        </is>
      </c>
      <c r="B66" s="4" t="inlineStr"/>
      <c r="C66" s="4" t="n"/>
      <c r="D66" s="4" t="n"/>
      <c r="E66" s="4" t="n"/>
      <c r="F66" s="4" t="n"/>
      <c r="G66" s="4" t="n"/>
      <c r="H66" s="4" t="n"/>
      <c r="I66" s="3" t="n"/>
      <c r="J66" s="3" t="n"/>
    </row>
    <row r="67">
      <c r="A67" s="12" t="inlineStr">
        <is>
          <t>Reviewer</t>
        </is>
      </c>
      <c r="B67" s="4" t="n"/>
      <c r="C67" s="12" t="inlineStr">
        <is>
          <t>Review date</t>
        </is>
      </c>
      <c r="D67" s="5" t="inlineStr"/>
      <c r="E67" s="4" t="n"/>
      <c r="F67" s="4" t="n"/>
      <c r="G67" s="4" t="n"/>
      <c r="H67" s="4" t="n"/>
      <c r="I67" s="3" t="n"/>
      <c r="J67" s="3" t="n"/>
    </row>
    <row r="68">
      <c r="A68" s="3" t="n"/>
      <c r="B68" s="3" t="n"/>
      <c r="C68" s="3" t="n"/>
      <c r="D68" s="3" t="n"/>
      <c r="E68" s="3" t="n"/>
      <c r="F68" s="3" t="n"/>
      <c r="G68" s="3" t="n"/>
      <c r="H68" s="3" t="n"/>
      <c r="I68" s="3" t="n"/>
      <c r="J68" s="3" t="n"/>
    </row>
    <row r="69">
      <c r="A69" s="8" t="inlineStr">
        <is>
          <t>Original source notes</t>
        </is>
      </c>
      <c r="B69" s="3" t="n"/>
      <c r="C69" s="3" t="n"/>
      <c r="D69" s="3" t="n"/>
      <c r="E69" s="3" t="n"/>
      <c r="F69" s="3" t="n"/>
      <c r="G69" s="3" t="n"/>
      <c r="H69" s="3" t="n"/>
      <c r="I69" s="3" t="n"/>
      <c r="J69" s="3" t="n"/>
    </row>
    <row r="70">
      <c r="A70" s="12" t="inlineStr">
        <is>
          <t>WAB notes</t>
        </is>
      </c>
      <c r="B70" s="4" t="inlineStr"/>
      <c r="C70" s="4" t="n"/>
      <c r="D70" s="4" t="n"/>
      <c r="E70" s="4" t="n"/>
      <c r="F70" s="4" t="n"/>
      <c r="G70" s="4" t="n"/>
      <c r="H70" s="4" t="n"/>
      <c r="I70" s="3" t="n"/>
      <c r="J70" s="3" t="n"/>
    </row>
    <row r="71" ht="54" customHeight="1">
      <c r="A71" s="12" t="inlineStr">
        <is>
          <t>Reviewer notes from question approval</t>
        </is>
      </c>
      <c r="B71" s="4" t="inlineStr">
        <is>
          <t>I like the substance of the question but let's frame it like this "May the Commission use evidence of an infringement falling outside the subject matter of the inspection decision? What are the limits imposed by the relevant case law on the use of such incidental findings, and on what conditions may a chance discovery justify a new inspection?"</t>
        </is>
      </c>
      <c r="C71" s="4" t="n"/>
      <c r="D71" s="4" t="n"/>
      <c r="E71" s="4" t="n"/>
      <c r="F71" s="4" t="n"/>
      <c r="G71" s="4" t="n"/>
      <c r="H71" s="4" t="n"/>
      <c r="I71" s="3" t="n"/>
      <c r="J71" s="3" t="n"/>
    </row>
    <row r="72">
      <c r="A72" s="4" t="n"/>
      <c r="B72" s="4" t="n"/>
      <c r="C72" s="4" t="n"/>
      <c r="D72" s="4" t="n"/>
      <c r="E72" s="4" t="n"/>
      <c r="F72" s="4" t="n"/>
      <c r="G72" s="4" t="n"/>
      <c r="H72" s="4" t="n"/>
      <c r="I72" s="3" t="n"/>
      <c r="J72" s="3" t="n"/>
    </row>
  </sheetData>
  <autoFilter ref="A21:J36"/>
  <mergeCells count="20">
    <mergeCell ref="B65:H65"/>
    <mergeCell ref="B71:H72"/>
    <mergeCell ref="B6:H6"/>
    <mergeCell ref="A20:J20"/>
    <mergeCell ref="A1:H1"/>
    <mergeCell ref="B5:H5"/>
    <mergeCell ref="A61:H61"/>
    <mergeCell ref="A69:H69"/>
    <mergeCell ref="B4:H4"/>
    <mergeCell ref="B62:H62"/>
    <mergeCell ref="B7:H7"/>
    <mergeCell ref="B66:H66"/>
    <mergeCell ref="A3:H3"/>
    <mergeCell ref="A16:H18"/>
    <mergeCell ref="B70:H70"/>
    <mergeCell ref="A14:H14"/>
    <mergeCell ref="B63:H64"/>
    <mergeCell ref="B8:H8"/>
    <mergeCell ref="B10:H12"/>
    <mergeCell ref="A38:H38"/>
  </mergeCells>
  <dataValidations count="9">
    <dataValidation sqref="C22:C36" showDropDown="0" showInputMessage="0" showErrorMessage="0" allowBlank="1" type="list">
      <formula1>=Lists!$F$2:$F$5</formula1>
    </dataValidation>
    <dataValidation sqref="F22:F36" showDropDown="0" showInputMessage="0" showErrorMessage="0" allowBlank="1" type="list">
      <formula1>=Lists!$G$2:$G$4</formula1>
    </dataValidation>
    <dataValidation sqref="G22:G36" showDropDown="0" showInputMessage="0" showErrorMessage="0" allowBlank="1" type="list">
      <formula1>=Lists!$G$2:$G$4</formula1>
    </dataValidation>
    <dataValidation sqref="H22:H36" showDropDown="0" showInputMessage="0" showErrorMessage="0" allowBlank="1" type="list">
      <formula1>=Lists!$G$2:$G$4</formula1>
    </dataValidation>
    <dataValidation sqref="I22:I36" showDropDown="0" showInputMessage="0" showErrorMessage="0" allowBlank="1" type="list">
      <formula1>=Lists!$H$2:$H$6</formula1>
    </dataValidation>
    <dataValidation sqref="D40:D59" showDropDown="0" showInputMessage="0" showErrorMessage="0" allowBlank="1" type="list">
      <formula1>=Lists!$D$2:$D$7</formula1>
    </dataValidation>
    <dataValidation sqref="E40:E59" showDropDown="0" showInputMessage="0" showErrorMessage="0" allowBlank="1" type="list">
      <formula1>=Lists!$E$2:$E$8</formula1>
    </dataValidation>
    <dataValidation sqref="B62" showDropDown="0" showInputMessage="0" showErrorMessage="0" allowBlank="1" type="list">
      <formula1>=Lists!$C$2:$C$4</formula1>
    </dataValidation>
    <dataValidation sqref="B66" showDropDown="0" showInputMessage="0" showErrorMessage="0" allowBlank="1" type="list">
      <formula1>=Lists!$A$2:$A$3</formula1>
    </dataValidation>
  </dataValidations>
  <pageMargins left="0.75" right="0.75" top="1" bottom="1" header="0.5" footer="0.5"/>
</worksheet>
</file>

<file path=xl/worksheets/sheet41.xml><?xml version="1.0" encoding="utf-8"?>
<worksheet xmlns="http://schemas.openxmlformats.org/spreadsheetml/2006/main">
  <sheetPr>
    <outlinePr summaryBelow="1" summaryRight="1"/>
    <pageSetUpPr/>
  </sheetPr>
  <dimension ref="A1:J72"/>
  <sheetViews>
    <sheetView showGridLines="0" workbookViewId="0">
      <pane ySplit="21" topLeftCell="A22" activePane="bottomLeft" state="frozen"/>
      <selection pane="bottomLeft" activeCell="A1" sqref="A1"/>
    </sheetView>
  </sheetViews>
  <sheetFormatPr baseColWidth="8" defaultRowHeight="15"/>
  <cols>
    <col width="12" customWidth="1" min="1" max="1"/>
    <col width="34" customWidth="1" min="2" max="2"/>
    <col width="22" customWidth="1" min="3" max="3"/>
    <col width="18" customWidth="1" min="4" max="4"/>
    <col width="20" customWidth="1" min="5" max="5"/>
    <col width="30" customWidth="1" min="6" max="6"/>
    <col width="34" customWidth="1" min="7" max="7"/>
    <col width="18" customWidth="1" min="8" max="8"/>
    <col width="18" customWidth="1" min="9" max="9"/>
    <col width="30" customWidth="1" min="10" max="10"/>
  </cols>
  <sheetData>
    <row r="1" ht="28" customHeight="1">
      <c r="A1" s="6" t="inlineStr">
        <is>
          <t>Q46 — Expert Review</t>
        </is>
      </c>
      <c r="B1" s="3" t="n"/>
      <c r="C1" s="3" t="n"/>
      <c r="D1" s="3" t="n"/>
      <c r="E1" s="3" t="n"/>
      <c r="F1" s="3" t="n"/>
      <c r="G1" s="3" t="n"/>
      <c r="H1" s="3" t="n"/>
      <c r="I1" s="3" t="n"/>
      <c r="J1" s="3" t="n"/>
    </row>
    <row r="2">
      <c r="A2" s="3" t="n"/>
      <c r="B2" s="3" t="n"/>
      <c r="C2" s="3" t="n"/>
      <c r="D2" s="3" t="n"/>
      <c r="E2" s="3" t="n"/>
      <c r="F2" s="3" t="n"/>
      <c r="G2" s="3" t="n"/>
      <c r="H2" s="3" t="n"/>
      <c r="I2" s="3" t="n"/>
      <c r="J2" s="3" t="n"/>
    </row>
    <row r="3">
      <c r="A3" s="8" t="inlineStr">
        <is>
          <t>Question metadata</t>
        </is>
      </c>
      <c r="B3" s="3" t="n"/>
      <c r="C3" s="3" t="n"/>
      <c r="D3" s="3" t="n"/>
      <c r="E3" s="3" t="n"/>
      <c r="F3" s="3" t="n"/>
      <c r="G3" s="3" t="n"/>
      <c r="H3" s="3" t="n"/>
      <c r="I3" s="3" t="n"/>
      <c r="J3" s="3" t="n"/>
    </row>
    <row r="4">
      <c r="A4" s="9" t="inlineStr">
        <is>
          <t>Question ID</t>
        </is>
      </c>
      <c r="B4" s="3" t="n">
        <v>46</v>
      </c>
      <c r="C4" s="3" t="n"/>
      <c r="D4" s="3" t="n"/>
      <c r="E4" s="3" t="n"/>
      <c r="F4" s="3" t="n"/>
      <c r="G4" s="3" t="n"/>
      <c r="H4" s="3" t="n"/>
      <c r="I4" s="3" t="n"/>
      <c r="J4" s="3" t="n"/>
    </row>
    <row r="5">
      <c r="A5" s="9" t="inlineStr">
        <is>
          <t>Topic</t>
        </is>
      </c>
      <c r="B5" s="3" t="inlineStr">
        <is>
          <t>Dawn raids — evidence found by accident</t>
        </is>
      </c>
      <c r="C5" s="3" t="n"/>
      <c r="D5" s="3" t="n"/>
      <c r="E5" s="3" t="n"/>
      <c r="F5" s="3" t="n"/>
      <c r="G5" s="3" t="n"/>
      <c r="H5" s="3" t="n"/>
      <c r="I5" s="3" t="n"/>
      <c r="J5" s="3" t="n"/>
    </row>
    <row r="6">
      <c r="A6" s="9" t="inlineStr">
        <is>
          <t>Scope</t>
        </is>
      </c>
      <c r="B6" s="3" t="inlineStr">
        <is>
          <t>EU</t>
        </is>
      </c>
      <c r="C6" s="3" t="n"/>
      <c r="D6" s="3" t="n"/>
      <c r="E6" s="3" t="n"/>
      <c r="F6" s="3" t="n"/>
      <c r="G6" s="3" t="n"/>
      <c r="H6" s="3" t="n"/>
      <c r="I6" s="3" t="n"/>
      <c r="J6" s="3" t="n"/>
    </row>
    <row r="7">
      <c r="A7" s="9" t="inlineStr">
        <is>
          <t>Original reviewer</t>
        </is>
      </c>
      <c r="B7" s="3" t="inlineStr">
        <is>
          <t>Carolina</t>
        </is>
      </c>
      <c r="C7" s="3" t="n"/>
      <c r="D7" s="3" t="n"/>
      <c r="E7" s="3" t="n"/>
      <c r="F7" s="3" t="n"/>
      <c r="G7" s="3" t="n"/>
      <c r="H7" s="3" t="n"/>
      <c r="I7" s="3" t="n"/>
      <c r="J7" s="3" t="n"/>
    </row>
    <row r="8">
      <c r="A8" s="9" t="inlineStr">
        <is>
          <t>Original status</t>
        </is>
      </c>
      <c r="B8" s="3" t="inlineStr">
        <is>
          <t>Approved</t>
        </is>
      </c>
      <c r="C8" s="3" t="n"/>
      <c r="D8" s="3" t="n"/>
      <c r="E8" s="3" t="n"/>
      <c r="F8" s="3" t="n"/>
      <c r="G8" s="3" t="n"/>
      <c r="H8" s="3" t="n"/>
      <c r="I8" s="3" t="n"/>
      <c r="J8" s="3" t="n"/>
    </row>
    <row r="9">
      <c r="A9" s="3" t="n"/>
      <c r="B9" s="3" t="n"/>
      <c r="C9" s="3" t="n"/>
      <c r="D9" s="3" t="n"/>
      <c r="E9" s="3" t="n"/>
      <c r="F9" s="3" t="n"/>
      <c r="G9" s="3" t="n"/>
      <c r="H9" s="3" t="n"/>
      <c r="I9" s="3" t="n"/>
      <c r="J9" s="3" t="n"/>
    </row>
    <row r="10" ht="45" customHeight="1">
      <c r="A10" s="9" t="inlineStr">
        <is>
          <t>Question</t>
        </is>
      </c>
      <c r="B10" s="3" t="inlineStr">
        <is>
          <t>Can the Commission inspect a company over conduct a national authority has already investigated? What limits apply, and how have the courts treated the overlap?</t>
        </is>
      </c>
      <c r="C10" s="3" t="n"/>
      <c r="D10" s="3" t="n"/>
      <c r="E10" s="3" t="n"/>
      <c r="F10" s="3" t="n"/>
      <c r="G10" s="3" t="n"/>
      <c r="H10" s="3" t="n"/>
      <c r="I10" s="3" t="n"/>
      <c r="J10" s="3" t="n"/>
    </row>
    <row r="11">
      <c r="A11" s="3" t="n"/>
      <c r="B11" s="3" t="n"/>
      <c r="C11" s="3" t="n"/>
      <c r="D11" s="3" t="n"/>
      <c r="E11" s="3" t="n"/>
      <c r="F11" s="3" t="n"/>
      <c r="G11" s="3" t="n"/>
      <c r="H11" s="3" t="n"/>
      <c r="I11" s="3" t="n"/>
      <c r="J11" s="3" t="n"/>
    </row>
    <row r="12">
      <c r="A12" s="3" t="n"/>
      <c r="B12" s="3" t="n"/>
      <c r="C12" s="3" t="n"/>
      <c r="D12" s="3" t="n"/>
      <c r="E12" s="3" t="n"/>
      <c r="F12" s="3" t="n"/>
      <c r="G12" s="3" t="n"/>
      <c r="H12" s="3" t="n"/>
      <c r="I12" s="3" t="n"/>
      <c r="J12" s="3" t="n"/>
    </row>
    <row r="13">
      <c r="A13" s="3" t="n"/>
      <c r="B13" s="3" t="n"/>
      <c r="C13" s="3" t="n"/>
      <c r="D13" s="3" t="n"/>
      <c r="E13" s="3" t="n"/>
      <c r="F13" s="3" t="n"/>
      <c r="G13" s="3" t="n"/>
      <c r="H13" s="3" t="n"/>
      <c r="I13" s="3" t="n"/>
      <c r="J13" s="3" t="n"/>
    </row>
    <row r="14">
      <c r="A14" s="8" t="inlineStr">
        <is>
          <t>Generated answer</t>
        </is>
      </c>
      <c r="B14" s="3" t="n"/>
      <c r="C14" s="3" t="n"/>
      <c r="D14" s="3" t="n"/>
      <c r="E14" s="3" t="n"/>
      <c r="F14" s="3" t="n"/>
      <c r="G14" s="3" t="n"/>
      <c r="H14" s="3" t="n"/>
      <c r="I14" s="3" t="n"/>
      <c r="J14" s="3" t="n"/>
    </row>
    <row r="15">
      <c r="A15" s="10" t="inlineStr">
        <is>
          <t>Paste the generated answer below.</t>
        </is>
      </c>
      <c r="B15" s="3" t="n"/>
      <c r="C15" s="3" t="n"/>
      <c r="D15" s="3" t="n"/>
      <c r="E15" s="3" t="n"/>
      <c r="F15" s="3" t="n"/>
      <c r="G15" s="3" t="n"/>
      <c r="H15" s="3" t="n"/>
      <c r="I15" s="3" t="n"/>
      <c r="J15" s="3" t="n"/>
    </row>
    <row r="16" ht="90" customHeight="1">
      <c r="A16" s="3" t="inlineStr"/>
      <c r="B16" s="3" t="n"/>
      <c r="C16" s="3" t="n"/>
      <c r="D16" s="3" t="n"/>
      <c r="E16" s="3" t="n"/>
      <c r="F16" s="3" t="n"/>
      <c r="G16" s="3" t="n"/>
      <c r="H16" s="3" t="n"/>
      <c r="I16" s="3" t="n"/>
      <c r="J16" s="3" t="n"/>
    </row>
    <row r="17" ht="30" customHeight="1">
      <c r="A17" s="3" t="n"/>
      <c r="B17" s="3" t="n"/>
      <c r="C17" s="3" t="n"/>
      <c r="D17" s="3" t="n"/>
      <c r="E17" s="3" t="n"/>
      <c r="F17" s="3" t="n"/>
      <c r="G17" s="3" t="n"/>
      <c r="H17" s="3" t="n"/>
      <c r="I17" s="3" t="n"/>
      <c r="J17" s="3" t="n"/>
    </row>
    <row r="18" ht="30" customHeight="1">
      <c r="A18" s="3" t="n"/>
      <c r="B18" s="3" t="n"/>
      <c r="C18" s="3" t="n"/>
      <c r="D18" s="3" t="n"/>
      <c r="E18" s="3" t="n"/>
      <c r="F18" s="3" t="n"/>
      <c r="G18" s="3" t="n"/>
      <c r="H18" s="3" t="n"/>
      <c r="I18" s="3" t="n"/>
      <c r="J18" s="3" t="n"/>
    </row>
    <row r="19">
      <c r="A19" s="9" t="inlineStr">
        <is>
          <t>Run ID</t>
        </is>
      </c>
      <c r="B19" s="3" t="inlineStr"/>
      <c r="C19" s="9" t="inlineStr">
        <is>
          <t>Run date</t>
        </is>
      </c>
      <c r="D19" s="3" t="inlineStr"/>
      <c r="E19" s="9" t="inlineStr">
        <is>
          <t>Model / prompt version</t>
        </is>
      </c>
      <c r="F19" s="3" t="inlineStr"/>
      <c r="G19" s="9" t="inlineStr">
        <is>
          <t>Corpus snapshot</t>
        </is>
      </c>
      <c r="H19" s="3" t="inlineStr"/>
      <c r="I19" s="3" t="n"/>
      <c r="J19" s="3" t="n"/>
    </row>
    <row r="20">
      <c r="A20" s="8" t="inlineStr">
        <is>
          <t>Retrieval set review</t>
        </is>
      </c>
      <c r="B20" s="3" t="n"/>
      <c r="C20" s="3" t="n"/>
      <c r="D20" s="3" t="n"/>
      <c r="E20" s="3" t="n"/>
      <c r="F20" s="3" t="n"/>
      <c r="G20" s="3" t="n"/>
      <c r="H20" s="3" t="n"/>
      <c r="I20" s="3" t="n"/>
      <c r="J20" s="3" t="n"/>
    </row>
    <row r="21">
      <c r="A21" s="11" t="inlineStr">
        <is>
          <t>Rank</t>
        </is>
      </c>
      <c r="B21" s="11" t="inlineStr">
        <is>
          <t>Retrieved source</t>
        </is>
      </c>
      <c r="C21" s="11" t="inlineStr">
        <is>
          <t>Source type</t>
        </is>
      </c>
      <c r="D21" s="11" t="inlineStr">
        <is>
          <t>Jurisdiction</t>
        </is>
      </c>
      <c r="E21" s="11" t="inlineStr">
        <is>
          <t>URL / Document ID</t>
        </is>
      </c>
      <c r="F21" s="11" t="inlineStr">
        <is>
          <t>Returned by engine?</t>
        </is>
      </c>
      <c r="G21" s="11" t="inlineStr">
        <is>
          <t>Required source?</t>
        </is>
      </c>
      <c r="H21" s="11" t="inlineStr">
        <is>
          <t>Trap?</t>
        </is>
      </c>
      <c r="I21" s="11" t="inlineStr">
        <is>
          <t>Expert verdict</t>
        </is>
      </c>
      <c r="J21" s="11" t="inlineStr">
        <is>
          <t>Notes</t>
        </is>
      </c>
    </row>
    <row r="22" ht="44" customHeight="1">
      <c r="A22" s="4" t="n">
        <v>1</v>
      </c>
      <c r="B22" s="4" t="n"/>
      <c r="C22" s="4" t="n"/>
      <c r="D22" s="4" t="n"/>
      <c r="E22" s="4" t="n"/>
      <c r="F22" s="4" t="n"/>
      <c r="G22" s="4" t="n"/>
      <c r="H22" s="4" t="n"/>
      <c r="I22" s="4" t="n"/>
      <c r="J22" s="4" t="n"/>
    </row>
    <row r="23" ht="44" customHeight="1">
      <c r="A23" s="4" t="n">
        <v>2</v>
      </c>
      <c r="B23" s="4" t="n"/>
      <c r="C23" s="4" t="n"/>
      <c r="D23" s="4" t="n"/>
      <c r="E23" s="4" t="n"/>
      <c r="F23" s="4" t="n"/>
      <c r="G23" s="4" t="n"/>
      <c r="H23" s="4" t="n"/>
      <c r="I23" s="4" t="n"/>
      <c r="J23" s="4" t="n"/>
    </row>
    <row r="24" ht="44" customHeight="1">
      <c r="A24" s="4" t="n">
        <v>3</v>
      </c>
      <c r="B24" s="4" t="n"/>
      <c r="C24" s="4" t="n"/>
      <c r="D24" s="4" t="n"/>
      <c r="E24" s="4" t="n"/>
      <c r="F24" s="4" t="n"/>
      <c r="G24" s="4" t="n"/>
      <c r="H24" s="4" t="n"/>
      <c r="I24" s="4" t="n"/>
      <c r="J24" s="4" t="n"/>
    </row>
    <row r="25" ht="44" customHeight="1">
      <c r="A25" s="4" t="n">
        <v>4</v>
      </c>
      <c r="B25" s="4" t="n"/>
      <c r="C25" s="4" t="n"/>
      <c r="D25" s="4" t="n"/>
      <c r="E25" s="4" t="n"/>
      <c r="F25" s="4" t="n"/>
      <c r="G25" s="4" t="n"/>
      <c r="H25" s="4" t="n"/>
      <c r="I25" s="4" t="n"/>
      <c r="J25" s="4" t="n"/>
    </row>
    <row r="26" ht="44" customHeight="1">
      <c r="A26" s="4" t="n">
        <v>5</v>
      </c>
      <c r="B26" s="4" t="n"/>
      <c r="C26" s="4" t="n"/>
      <c r="D26" s="4" t="n"/>
      <c r="E26" s="4" t="n"/>
      <c r="F26" s="4" t="n"/>
      <c r="G26" s="4" t="n"/>
      <c r="H26" s="4" t="n"/>
      <c r="I26" s="4" t="n"/>
      <c r="J26" s="4" t="n"/>
    </row>
    <row r="27" ht="44" customHeight="1">
      <c r="A27" s="4" t="n">
        <v>6</v>
      </c>
      <c r="B27" s="4" t="n"/>
      <c r="C27" s="4" t="n"/>
      <c r="D27" s="4" t="n"/>
      <c r="E27" s="4" t="n"/>
      <c r="F27" s="4" t="n"/>
      <c r="G27" s="4" t="n"/>
      <c r="H27" s="4" t="n"/>
      <c r="I27" s="4" t="n"/>
      <c r="J27" s="4" t="n"/>
    </row>
    <row r="28" ht="44" customHeight="1">
      <c r="A28" s="4" t="n">
        <v>7</v>
      </c>
      <c r="B28" s="4" t="n"/>
      <c r="C28" s="4" t="n"/>
      <c r="D28" s="4" t="n"/>
      <c r="E28" s="4" t="n"/>
      <c r="F28" s="4" t="n"/>
      <c r="G28" s="4" t="n"/>
      <c r="H28" s="4" t="n"/>
      <c r="I28" s="4" t="n"/>
      <c r="J28" s="4" t="n"/>
    </row>
    <row r="29" ht="44" customHeight="1">
      <c r="A29" s="4" t="n">
        <v>8</v>
      </c>
      <c r="B29" s="4" t="n"/>
      <c r="C29" s="4" t="n"/>
      <c r="D29" s="4" t="n"/>
      <c r="E29" s="4" t="n"/>
      <c r="F29" s="4" t="n"/>
      <c r="G29" s="4" t="n"/>
      <c r="H29" s="4" t="n"/>
      <c r="I29" s="4" t="n"/>
      <c r="J29" s="4" t="n"/>
    </row>
    <row r="30" ht="44" customHeight="1">
      <c r="A30" s="4" t="n">
        <v>9</v>
      </c>
      <c r="B30" s="4" t="n"/>
      <c r="C30" s="4" t="n"/>
      <c r="D30" s="4" t="n"/>
      <c r="E30" s="4" t="n"/>
      <c r="F30" s="4" t="n"/>
      <c r="G30" s="4" t="n"/>
      <c r="H30" s="4" t="n"/>
      <c r="I30" s="4" t="n"/>
      <c r="J30" s="4" t="n"/>
    </row>
    <row r="31" ht="44" customHeight="1">
      <c r="A31" s="4" t="n">
        <v>10</v>
      </c>
      <c r="B31" s="4" t="n"/>
      <c r="C31" s="4" t="n"/>
      <c r="D31" s="4" t="n"/>
      <c r="E31" s="4" t="n"/>
      <c r="F31" s="4" t="n"/>
      <c r="G31" s="4" t="n"/>
      <c r="H31" s="4" t="n"/>
      <c r="I31" s="4" t="n"/>
      <c r="J31" s="4" t="n"/>
    </row>
    <row r="32" ht="44" customHeight="1">
      <c r="A32" s="4" t="n">
        <v>11</v>
      </c>
      <c r="B32" s="4" t="n"/>
      <c r="C32" s="4" t="n"/>
      <c r="D32" s="4" t="n"/>
      <c r="E32" s="4" t="n"/>
      <c r="F32" s="4" t="n"/>
      <c r="G32" s="4" t="n"/>
      <c r="H32" s="4" t="n"/>
      <c r="I32" s="4" t="n"/>
      <c r="J32" s="4" t="n"/>
    </row>
    <row r="33" ht="44" customHeight="1">
      <c r="A33" s="4" t="n">
        <v>12</v>
      </c>
      <c r="B33" s="4" t="n"/>
      <c r="C33" s="4" t="n"/>
      <c r="D33" s="4" t="n"/>
      <c r="E33" s="4" t="n"/>
      <c r="F33" s="4" t="n"/>
      <c r="G33" s="4" t="n"/>
      <c r="H33" s="4" t="n"/>
      <c r="I33" s="4" t="n"/>
      <c r="J33" s="4" t="n"/>
    </row>
    <row r="34" ht="44" customHeight="1">
      <c r="A34" s="4" t="n">
        <v>13</v>
      </c>
      <c r="B34" s="4" t="n"/>
      <c r="C34" s="4" t="n"/>
      <c r="D34" s="4" t="n"/>
      <c r="E34" s="4" t="n"/>
      <c r="F34" s="4" t="n"/>
      <c r="G34" s="4" t="n"/>
      <c r="H34" s="4" t="n"/>
      <c r="I34" s="4" t="n"/>
      <c r="J34" s="4" t="n"/>
    </row>
    <row r="35" ht="44" customHeight="1">
      <c r="A35" s="4" t="n">
        <v>14</v>
      </c>
      <c r="B35" s="4" t="n"/>
      <c r="C35" s="4" t="n"/>
      <c r="D35" s="4" t="n"/>
      <c r="E35" s="4" t="n"/>
      <c r="F35" s="4" t="n"/>
      <c r="G35" s="4" t="n"/>
      <c r="H35" s="4" t="n"/>
      <c r="I35" s="4" t="n"/>
      <c r="J35" s="4" t="n"/>
    </row>
    <row r="36" ht="44" customHeight="1">
      <c r="A36" s="4" t="n">
        <v>15</v>
      </c>
      <c r="B36" s="4" t="n"/>
      <c r="C36" s="4" t="n"/>
      <c r="D36" s="4" t="n"/>
      <c r="E36" s="4" t="n"/>
      <c r="F36" s="4" t="n"/>
      <c r="G36" s="4" t="n"/>
      <c r="H36" s="4" t="n"/>
      <c r="I36" s="4" t="n"/>
      <c r="J36" s="4" t="n"/>
    </row>
    <row r="37">
      <c r="A37" s="3" t="n"/>
      <c r="B37" s="3" t="n"/>
      <c r="C37" s="3" t="n"/>
      <c r="D37" s="3" t="n"/>
      <c r="E37" s="3" t="n"/>
      <c r="F37" s="3" t="n"/>
      <c r="G37" s="3" t="n"/>
      <c r="H37" s="3" t="n"/>
      <c r="I37" s="3" t="n"/>
      <c r="J37" s="3" t="n"/>
    </row>
    <row r="38">
      <c r="A38" s="8" t="inlineStr">
        <is>
          <t>Claim-by-claim review</t>
        </is>
      </c>
      <c r="B38" s="3" t="n"/>
      <c r="C38" s="3" t="n"/>
      <c r="D38" s="3" t="n"/>
      <c r="E38" s="3" t="n"/>
      <c r="F38" s="3" t="n"/>
      <c r="G38" s="3" t="n"/>
      <c r="H38" s="3" t="n"/>
      <c r="I38" s="3" t="n"/>
      <c r="J38" s="3" t="n"/>
    </row>
    <row r="39">
      <c r="A39" s="11" t="inlineStr">
        <is>
          <t>Claim ID</t>
        </is>
      </c>
      <c r="B39" s="11" t="inlineStr">
        <is>
          <t>Claim from answer</t>
        </is>
      </c>
      <c r="C39" s="11" t="inlineStr">
        <is>
          <t>Citation used</t>
        </is>
      </c>
      <c r="D39" s="11" t="inlineStr">
        <is>
          <t>Expert verdict</t>
        </is>
      </c>
      <c r="E39" s="11" t="inlineStr">
        <is>
          <t>Issue type</t>
        </is>
      </c>
      <c r="F39" s="11" t="inlineStr">
        <is>
          <t>Cited passage / source note</t>
        </is>
      </c>
      <c r="G39" s="11" t="inlineStr">
        <is>
          <t>Required fix / comment</t>
        </is>
      </c>
      <c r="H39" s="11" t="inlineStr">
        <is>
          <t>Reviewer</t>
        </is>
      </c>
      <c r="I39" s="11" t="n"/>
      <c r="J39" s="11" t="n"/>
    </row>
    <row r="40" ht="54" customHeight="1">
      <c r="A40" s="4" t="n">
        <v>1</v>
      </c>
      <c r="B40" s="4" t="n"/>
      <c r="C40" s="4" t="n"/>
      <c r="D40" s="4" t="n"/>
      <c r="E40" s="4" t="n"/>
      <c r="F40" s="4" t="n"/>
      <c r="G40" s="4" t="n"/>
      <c r="H40" s="4" t="n"/>
      <c r="I40" s="3" t="n"/>
      <c r="J40" s="3" t="n"/>
    </row>
    <row r="41" ht="54" customHeight="1">
      <c r="A41" s="4" t="n">
        <v>2</v>
      </c>
      <c r="B41" s="4" t="n"/>
      <c r="C41" s="4" t="n"/>
      <c r="D41" s="4" t="n"/>
      <c r="E41" s="4" t="n"/>
      <c r="F41" s="4" t="n"/>
      <c r="G41" s="4" t="n"/>
      <c r="H41" s="4" t="n"/>
      <c r="I41" s="3" t="n"/>
      <c r="J41" s="3" t="n"/>
    </row>
    <row r="42" ht="54" customHeight="1">
      <c r="A42" s="4" t="n">
        <v>3</v>
      </c>
      <c r="B42" s="4" t="n"/>
      <c r="C42" s="4" t="n"/>
      <c r="D42" s="4" t="n"/>
      <c r="E42" s="4" t="n"/>
      <c r="F42" s="4" t="n"/>
      <c r="G42" s="4" t="n"/>
      <c r="H42" s="4" t="n"/>
      <c r="I42" s="3" t="n"/>
      <c r="J42" s="3" t="n"/>
    </row>
    <row r="43" ht="54" customHeight="1">
      <c r="A43" s="4" t="n">
        <v>4</v>
      </c>
      <c r="B43" s="4" t="n"/>
      <c r="C43" s="4" t="n"/>
      <c r="D43" s="4" t="n"/>
      <c r="E43" s="4" t="n"/>
      <c r="F43" s="4" t="n"/>
      <c r="G43" s="4" t="n"/>
      <c r="H43" s="4" t="n"/>
      <c r="I43" s="3" t="n"/>
      <c r="J43" s="3" t="n"/>
    </row>
    <row r="44" ht="54" customHeight="1">
      <c r="A44" s="4" t="n">
        <v>5</v>
      </c>
      <c r="B44" s="4" t="n"/>
      <c r="C44" s="4" t="n"/>
      <c r="D44" s="4" t="n"/>
      <c r="E44" s="4" t="n"/>
      <c r="F44" s="4" t="n"/>
      <c r="G44" s="4" t="n"/>
      <c r="H44" s="4" t="n"/>
      <c r="I44" s="3" t="n"/>
      <c r="J44" s="3" t="n"/>
    </row>
    <row r="45" ht="54" customHeight="1">
      <c r="A45" s="4" t="n">
        <v>6</v>
      </c>
      <c r="B45" s="4" t="n"/>
      <c r="C45" s="4" t="n"/>
      <c r="D45" s="4" t="n"/>
      <c r="E45" s="4" t="n"/>
      <c r="F45" s="4" t="n"/>
      <c r="G45" s="4" t="n"/>
      <c r="H45" s="4" t="n"/>
      <c r="I45" s="3" t="n"/>
      <c r="J45" s="3" t="n"/>
    </row>
    <row r="46" ht="54" customHeight="1">
      <c r="A46" s="4" t="n">
        <v>7</v>
      </c>
      <c r="B46" s="4" t="n"/>
      <c r="C46" s="4" t="n"/>
      <c r="D46" s="4" t="n"/>
      <c r="E46" s="4" t="n"/>
      <c r="F46" s="4" t="n"/>
      <c r="G46" s="4" t="n"/>
      <c r="H46" s="4" t="n"/>
      <c r="I46" s="3" t="n"/>
      <c r="J46" s="3" t="n"/>
    </row>
    <row r="47" ht="54" customHeight="1">
      <c r="A47" s="4" t="n">
        <v>8</v>
      </c>
      <c r="B47" s="4" t="n"/>
      <c r="C47" s="4" t="n"/>
      <c r="D47" s="4" t="n"/>
      <c r="E47" s="4" t="n"/>
      <c r="F47" s="4" t="n"/>
      <c r="G47" s="4" t="n"/>
      <c r="H47" s="4" t="n"/>
      <c r="I47" s="3" t="n"/>
      <c r="J47" s="3" t="n"/>
    </row>
    <row r="48" ht="54" customHeight="1">
      <c r="A48" s="4" t="n">
        <v>9</v>
      </c>
      <c r="B48" s="4" t="n"/>
      <c r="C48" s="4" t="n"/>
      <c r="D48" s="4" t="n"/>
      <c r="E48" s="4" t="n"/>
      <c r="F48" s="4" t="n"/>
      <c r="G48" s="4" t="n"/>
      <c r="H48" s="4" t="n"/>
      <c r="I48" s="3" t="n"/>
      <c r="J48" s="3" t="n"/>
    </row>
    <row r="49" ht="54" customHeight="1">
      <c r="A49" s="4" t="n">
        <v>10</v>
      </c>
      <c r="B49" s="4" t="n"/>
      <c r="C49" s="4" t="n"/>
      <c r="D49" s="4" t="n"/>
      <c r="E49" s="4" t="n"/>
      <c r="F49" s="4" t="n"/>
      <c r="G49" s="4" t="n"/>
      <c r="H49" s="4" t="n"/>
      <c r="I49" s="3" t="n"/>
      <c r="J49" s="3" t="n"/>
    </row>
    <row r="50" ht="54" customHeight="1">
      <c r="A50" s="4" t="n">
        <v>11</v>
      </c>
      <c r="B50" s="4" t="n"/>
      <c r="C50" s="4" t="n"/>
      <c r="D50" s="4" t="n"/>
      <c r="E50" s="4" t="n"/>
      <c r="F50" s="4" t="n"/>
      <c r="G50" s="4" t="n"/>
      <c r="H50" s="4" t="n"/>
      <c r="I50" s="3" t="n"/>
      <c r="J50" s="3" t="n"/>
    </row>
    <row r="51" ht="54" customHeight="1">
      <c r="A51" s="4" t="n">
        <v>12</v>
      </c>
      <c r="B51" s="4" t="n"/>
      <c r="C51" s="4" t="n"/>
      <c r="D51" s="4" t="n"/>
      <c r="E51" s="4" t="n"/>
      <c r="F51" s="4" t="n"/>
      <c r="G51" s="4" t="n"/>
      <c r="H51" s="4" t="n"/>
      <c r="I51" s="3" t="n"/>
      <c r="J51" s="3" t="n"/>
    </row>
    <row r="52" ht="54" customHeight="1">
      <c r="A52" s="4" t="n">
        <v>13</v>
      </c>
      <c r="B52" s="4" t="n"/>
      <c r="C52" s="4" t="n"/>
      <c r="D52" s="4" t="n"/>
      <c r="E52" s="4" t="n"/>
      <c r="F52" s="4" t="n"/>
      <c r="G52" s="4" t="n"/>
      <c r="H52" s="4" t="n"/>
      <c r="I52" s="3" t="n"/>
      <c r="J52" s="3" t="n"/>
    </row>
    <row r="53" ht="54" customHeight="1">
      <c r="A53" s="4" t="n">
        <v>14</v>
      </c>
      <c r="B53" s="4" t="n"/>
      <c r="C53" s="4" t="n"/>
      <c r="D53" s="4" t="n"/>
      <c r="E53" s="4" t="n"/>
      <c r="F53" s="4" t="n"/>
      <c r="G53" s="4" t="n"/>
      <c r="H53" s="4" t="n"/>
      <c r="I53" s="3" t="n"/>
      <c r="J53" s="3" t="n"/>
    </row>
    <row r="54" ht="54" customHeight="1">
      <c r="A54" s="4" t="n">
        <v>15</v>
      </c>
      <c r="B54" s="4" t="n"/>
      <c r="C54" s="4" t="n"/>
      <c r="D54" s="4" t="n"/>
      <c r="E54" s="4" t="n"/>
      <c r="F54" s="4" t="n"/>
      <c r="G54" s="4" t="n"/>
      <c r="H54" s="4" t="n"/>
      <c r="I54" s="3" t="n"/>
      <c r="J54" s="3" t="n"/>
    </row>
    <row r="55" ht="54" customHeight="1">
      <c r="A55" s="4" t="n">
        <v>16</v>
      </c>
      <c r="B55" s="4" t="n"/>
      <c r="C55" s="4" t="n"/>
      <c r="D55" s="4" t="n"/>
      <c r="E55" s="4" t="n"/>
      <c r="F55" s="4" t="n"/>
      <c r="G55" s="4" t="n"/>
      <c r="H55" s="4" t="n"/>
      <c r="I55" s="3" t="n"/>
      <c r="J55" s="3" t="n"/>
    </row>
    <row r="56" ht="54" customHeight="1">
      <c r="A56" s="4" t="n">
        <v>17</v>
      </c>
      <c r="B56" s="4" t="n"/>
      <c r="C56" s="4" t="n"/>
      <c r="D56" s="4" t="n"/>
      <c r="E56" s="4" t="n"/>
      <c r="F56" s="4" t="n"/>
      <c r="G56" s="4" t="n"/>
      <c r="H56" s="4" t="n"/>
      <c r="I56" s="3" t="n"/>
      <c r="J56" s="3" t="n"/>
    </row>
    <row r="57" ht="54" customHeight="1">
      <c r="A57" s="4" t="n">
        <v>18</v>
      </c>
      <c r="B57" s="4" t="n"/>
      <c r="C57" s="4" t="n"/>
      <c r="D57" s="4" t="n"/>
      <c r="E57" s="4" t="n"/>
      <c r="F57" s="4" t="n"/>
      <c r="G57" s="4" t="n"/>
      <c r="H57" s="4" t="n"/>
      <c r="I57" s="3" t="n"/>
      <c r="J57" s="3" t="n"/>
    </row>
    <row r="58" ht="54" customHeight="1">
      <c r="A58" s="4" t="n">
        <v>19</v>
      </c>
      <c r="B58" s="4" t="n"/>
      <c r="C58" s="4" t="n"/>
      <c r="D58" s="4" t="n"/>
      <c r="E58" s="4" t="n"/>
      <c r="F58" s="4" t="n"/>
      <c r="G58" s="4" t="n"/>
      <c r="H58" s="4" t="n"/>
      <c r="I58" s="3" t="n"/>
      <c r="J58" s="3" t="n"/>
    </row>
    <row r="59" ht="54" customHeight="1">
      <c r="A59" s="4" t="n">
        <v>20</v>
      </c>
      <c r="B59" s="4" t="n"/>
      <c r="C59" s="4" t="n"/>
      <c r="D59" s="4" t="n"/>
      <c r="E59" s="4" t="n"/>
      <c r="F59" s="4" t="n"/>
      <c r="G59" s="4" t="n"/>
      <c r="H59" s="4" t="n"/>
      <c r="I59" s="3" t="n"/>
      <c r="J59" s="3" t="n"/>
    </row>
    <row r="60">
      <c r="A60" s="3" t="n"/>
      <c r="B60" s="3" t="n"/>
      <c r="C60" s="3" t="n"/>
      <c r="D60" s="3" t="n"/>
      <c r="E60" s="3" t="n"/>
      <c r="F60" s="3" t="n"/>
      <c r="G60" s="3" t="n"/>
      <c r="H60" s="3" t="n"/>
      <c r="I60" s="3" t="n"/>
      <c r="J60" s="3" t="n"/>
    </row>
    <row r="61">
      <c r="A61" s="8" t="inlineStr">
        <is>
          <t>Final expert verdict</t>
        </is>
      </c>
      <c r="B61" s="3" t="n"/>
      <c r="C61" s="3" t="n"/>
      <c r="D61" s="3" t="n"/>
      <c r="E61" s="3" t="n"/>
      <c r="F61" s="3" t="n"/>
      <c r="G61" s="3" t="n"/>
      <c r="H61" s="3" t="n"/>
      <c r="I61" s="3" t="n"/>
      <c r="J61" s="3" t="n"/>
    </row>
    <row r="62">
      <c r="A62" s="12" t="inlineStr">
        <is>
          <t>Is the answer acceptable?</t>
        </is>
      </c>
      <c r="B62" s="4" t="inlineStr"/>
      <c r="C62" s="4" t="n"/>
      <c r="D62" s="4" t="n"/>
      <c r="E62" s="4" t="n"/>
      <c r="F62" s="4" t="n"/>
      <c r="G62" s="4" t="n"/>
      <c r="H62" s="4" t="n"/>
      <c r="I62" s="3" t="n"/>
      <c r="J62" s="3" t="n"/>
    </row>
    <row r="63" ht="54" customHeight="1">
      <c r="A63" s="12" t="inlineStr">
        <is>
          <t>Overall comment / required fixes</t>
        </is>
      </c>
      <c r="B63" s="4" t="n"/>
      <c r="C63" s="4" t="n"/>
      <c r="D63" s="4" t="n"/>
      <c r="E63" s="4" t="n"/>
      <c r="F63" s="4" t="n"/>
      <c r="G63" s="4" t="n"/>
      <c r="H63" s="4" t="n"/>
      <c r="I63" s="3" t="n"/>
      <c r="J63" s="3" t="n"/>
    </row>
    <row r="64">
      <c r="A64" s="4" t="n"/>
      <c r="B64" s="4" t="n"/>
      <c r="C64" s="4" t="n"/>
      <c r="D64" s="4" t="n"/>
      <c r="E64" s="4" t="n"/>
      <c r="F64" s="4" t="n"/>
      <c r="G64" s="4" t="n"/>
      <c r="H64" s="4" t="n"/>
      <c r="I64" s="3" t="n"/>
      <c r="J64" s="3" t="n"/>
    </row>
    <row r="65">
      <c r="A65" s="12" t="inlineStr">
        <is>
          <t>Missing key sources?</t>
        </is>
      </c>
      <c r="B65" s="4" t="n"/>
      <c r="C65" s="4" t="n"/>
      <c r="D65" s="4" t="n"/>
      <c r="E65" s="4" t="n"/>
      <c r="F65" s="4" t="n"/>
      <c r="G65" s="4" t="n"/>
      <c r="H65" s="4" t="n"/>
      <c r="I65" s="3" t="n"/>
      <c r="J65" s="3" t="n"/>
    </row>
    <row r="66">
      <c r="A66" s="12" t="inlineStr">
        <is>
          <t>Review completed?</t>
        </is>
      </c>
      <c r="B66" s="4" t="inlineStr"/>
      <c r="C66" s="4" t="n"/>
      <c r="D66" s="4" t="n"/>
      <c r="E66" s="4" t="n"/>
      <c r="F66" s="4" t="n"/>
      <c r="G66" s="4" t="n"/>
      <c r="H66" s="4" t="n"/>
      <c r="I66" s="3" t="n"/>
      <c r="J66" s="3" t="n"/>
    </row>
    <row r="67">
      <c r="A67" s="12" t="inlineStr">
        <is>
          <t>Reviewer</t>
        </is>
      </c>
      <c r="B67" s="4" t="n"/>
      <c r="C67" s="12" t="inlineStr">
        <is>
          <t>Review date</t>
        </is>
      </c>
      <c r="D67" s="5" t="inlineStr"/>
      <c r="E67" s="4" t="n"/>
      <c r="F67" s="4" t="n"/>
      <c r="G67" s="4" t="n"/>
      <c r="H67" s="4" t="n"/>
      <c r="I67" s="3" t="n"/>
      <c r="J67" s="3" t="n"/>
    </row>
    <row r="68">
      <c r="A68" s="3" t="n"/>
      <c r="B68" s="3" t="n"/>
      <c r="C68" s="3" t="n"/>
      <c r="D68" s="3" t="n"/>
      <c r="E68" s="3" t="n"/>
      <c r="F68" s="3" t="n"/>
      <c r="G68" s="3" t="n"/>
      <c r="H68" s="3" t="n"/>
      <c r="I68" s="3" t="n"/>
      <c r="J68" s="3" t="n"/>
    </row>
    <row r="69">
      <c r="A69" s="8" t="inlineStr">
        <is>
          <t>Original source notes</t>
        </is>
      </c>
      <c r="B69" s="3" t="n"/>
      <c r="C69" s="3" t="n"/>
      <c r="D69" s="3" t="n"/>
      <c r="E69" s="3" t="n"/>
      <c r="F69" s="3" t="n"/>
      <c r="G69" s="3" t="n"/>
      <c r="H69" s="3" t="n"/>
      <c r="I69" s="3" t="n"/>
      <c r="J69" s="3" t="n"/>
    </row>
    <row r="70">
      <c r="A70" s="12" t="inlineStr">
        <is>
          <t>WAB notes</t>
        </is>
      </c>
      <c r="B70" s="4" t="inlineStr"/>
      <c r="C70" s="4" t="n"/>
      <c r="D70" s="4" t="n"/>
      <c r="E70" s="4" t="n"/>
      <c r="F70" s="4" t="n"/>
      <c r="G70" s="4" t="n"/>
      <c r="H70" s="4" t="n"/>
      <c r="I70" s="3" t="n"/>
      <c r="J70" s="3" t="n"/>
    </row>
    <row r="71" ht="54" customHeight="1">
      <c r="A71" s="12" t="inlineStr">
        <is>
          <t>Reviewer notes from question approval</t>
        </is>
      </c>
      <c r="B71" s="4" t="inlineStr">
        <is>
          <t>agreed, let's keep the question.</t>
        </is>
      </c>
      <c r="C71" s="4" t="n"/>
      <c r="D71" s="4" t="n"/>
      <c r="E71" s="4" t="n"/>
      <c r="F71" s="4" t="n"/>
      <c r="G71" s="4" t="n"/>
      <c r="H71" s="4" t="n"/>
      <c r="I71" s="3" t="n"/>
      <c r="J71" s="3" t="n"/>
    </row>
    <row r="72">
      <c r="A72" s="4" t="n"/>
      <c r="B72" s="4" t="n"/>
      <c r="C72" s="4" t="n"/>
      <c r="D72" s="4" t="n"/>
      <c r="E72" s="4" t="n"/>
      <c r="F72" s="4" t="n"/>
      <c r="G72" s="4" t="n"/>
      <c r="H72" s="4" t="n"/>
      <c r="I72" s="3" t="n"/>
      <c r="J72" s="3" t="n"/>
    </row>
  </sheetData>
  <autoFilter ref="A21:J36"/>
  <mergeCells count="20">
    <mergeCell ref="B65:H65"/>
    <mergeCell ref="B71:H72"/>
    <mergeCell ref="B6:H6"/>
    <mergeCell ref="A20:J20"/>
    <mergeCell ref="A1:H1"/>
    <mergeCell ref="B5:H5"/>
    <mergeCell ref="A61:H61"/>
    <mergeCell ref="A69:H69"/>
    <mergeCell ref="B4:H4"/>
    <mergeCell ref="B62:H62"/>
    <mergeCell ref="B7:H7"/>
    <mergeCell ref="B66:H66"/>
    <mergeCell ref="A3:H3"/>
    <mergeCell ref="A16:H18"/>
    <mergeCell ref="B70:H70"/>
    <mergeCell ref="A14:H14"/>
    <mergeCell ref="B63:H64"/>
    <mergeCell ref="B8:H8"/>
    <mergeCell ref="B10:H12"/>
    <mergeCell ref="A38:H38"/>
  </mergeCells>
  <dataValidations count="9">
    <dataValidation sqref="C22:C36" showDropDown="0" showInputMessage="0" showErrorMessage="0" allowBlank="1" type="list">
      <formula1>=Lists!$F$2:$F$5</formula1>
    </dataValidation>
    <dataValidation sqref="F22:F36" showDropDown="0" showInputMessage="0" showErrorMessage="0" allowBlank="1" type="list">
      <formula1>=Lists!$G$2:$G$4</formula1>
    </dataValidation>
    <dataValidation sqref="G22:G36" showDropDown="0" showInputMessage="0" showErrorMessage="0" allowBlank="1" type="list">
      <formula1>=Lists!$G$2:$G$4</formula1>
    </dataValidation>
    <dataValidation sqref="H22:H36" showDropDown="0" showInputMessage="0" showErrorMessage="0" allowBlank="1" type="list">
      <formula1>=Lists!$G$2:$G$4</formula1>
    </dataValidation>
    <dataValidation sqref="I22:I36" showDropDown="0" showInputMessage="0" showErrorMessage="0" allowBlank="1" type="list">
      <formula1>=Lists!$H$2:$H$6</formula1>
    </dataValidation>
    <dataValidation sqref="D40:D59" showDropDown="0" showInputMessage="0" showErrorMessage="0" allowBlank="1" type="list">
      <formula1>=Lists!$D$2:$D$7</formula1>
    </dataValidation>
    <dataValidation sqref="E40:E59" showDropDown="0" showInputMessage="0" showErrorMessage="0" allowBlank="1" type="list">
      <formula1>=Lists!$E$2:$E$8</formula1>
    </dataValidation>
    <dataValidation sqref="B62" showDropDown="0" showInputMessage="0" showErrorMessage="0" allowBlank="1" type="list">
      <formula1>=Lists!$C$2:$C$4</formula1>
    </dataValidation>
    <dataValidation sqref="B66" showDropDown="0" showInputMessage="0" showErrorMessage="0" allowBlank="1" type="list">
      <formula1>=Lists!$A$2:$A$3</formula1>
    </dataValidation>
  </dataValidations>
  <pageMargins left="0.75" right="0.75" top="1" bottom="1" header="0.5" footer="0.5"/>
</worksheet>
</file>

<file path=xl/worksheets/sheet42.xml><?xml version="1.0" encoding="utf-8"?>
<worksheet xmlns="http://schemas.openxmlformats.org/spreadsheetml/2006/main">
  <sheetPr>
    <outlinePr summaryBelow="1" summaryRight="1"/>
    <pageSetUpPr/>
  </sheetPr>
  <dimension ref="A1:J72"/>
  <sheetViews>
    <sheetView showGridLines="0" workbookViewId="0">
      <pane ySplit="21" topLeftCell="A22" activePane="bottomLeft" state="frozen"/>
      <selection pane="bottomLeft" activeCell="A1" sqref="A1"/>
    </sheetView>
  </sheetViews>
  <sheetFormatPr baseColWidth="8" defaultRowHeight="15"/>
  <cols>
    <col width="12" customWidth="1" min="1" max="1"/>
    <col width="34" customWidth="1" min="2" max="2"/>
    <col width="22" customWidth="1" min="3" max="3"/>
    <col width="18" customWidth="1" min="4" max="4"/>
    <col width="20" customWidth="1" min="5" max="5"/>
    <col width="30" customWidth="1" min="6" max="6"/>
    <col width="34" customWidth="1" min="7" max="7"/>
    <col width="18" customWidth="1" min="8" max="8"/>
    <col width="18" customWidth="1" min="9" max="9"/>
    <col width="30" customWidth="1" min="10" max="10"/>
  </cols>
  <sheetData>
    <row r="1" ht="28" customHeight="1">
      <c r="A1" s="6" t="inlineStr">
        <is>
          <t>Q47 — Expert Review</t>
        </is>
      </c>
      <c r="B1" s="3" t="n"/>
      <c r="C1" s="3" t="n"/>
      <c r="D1" s="3" t="n"/>
      <c r="E1" s="3" t="n"/>
      <c r="F1" s="3" t="n"/>
      <c r="G1" s="3" t="n"/>
      <c r="H1" s="3" t="n"/>
      <c r="I1" s="3" t="n"/>
      <c r="J1" s="3" t="n"/>
    </row>
    <row r="2">
      <c r="A2" s="3" t="n"/>
      <c r="B2" s="3" t="n"/>
      <c r="C2" s="3" t="n"/>
      <c r="D2" s="3" t="n"/>
      <c r="E2" s="3" t="n"/>
      <c r="F2" s="3" t="n"/>
      <c r="G2" s="3" t="n"/>
      <c r="H2" s="3" t="n"/>
      <c r="I2" s="3" t="n"/>
      <c r="J2" s="3" t="n"/>
    </row>
    <row r="3">
      <c r="A3" s="8" t="inlineStr">
        <is>
          <t>Question metadata</t>
        </is>
      </c>
      <c r="B3" s="3" t="n"/>
      <c r="C3" s="3" t="n"/>
      <c r="D3" s="3" t="n"/>
      <c r="E3" s="3" t="n"/>
      <c r="F3" s="3" t="n"/>
      <c r="G3" s="3" t="n"/>
      <c r="H3" s="3" t="n"/>
      <c r="I3" s="3" t="n"/>
      <c r="J3" s="3" t="n"/>
    </row>
    <row r="4">
      <c r="A4" s="9" t="inlineStr">
        <is>
          <t>Question ID</t>
        </is>
      </c>
      <c r="B4" s="3" t="n">
        <v>47</v>
      </c>
      <c r="C4" s="3" t="n"/>
      <c r="D4" s="3" t="n"/>
      <c r="E4" s="3" t="n"/>
      <c r="F4" s="3" t="n"/>
      <c r="G4" s="3" t="n"/>
      <c r="H4" s="3" t="n"/>
      <c r="I4" s="3" t="n"/>
      <c r="J4" s="3" t="n"/>
    </row>
    <row r="5">
      <c r="A5" s="9" t="inlineStr">
        <is>
          <t>Topic</t>
        </is>
      </c>
      <c r="B5" s="3" t="inlineStr">
        <is>
          <t>Dawn raids — premises and the courts</t>
        </is>
      </c>
      <c r="C5" s="3" t="n"/>
      <c r="D5" s="3" t="n"/>
      <c r="E5" s="3" t="n"/>
      <c r="F5" s="3" t="n"/>
      <c r="G5" s="3" t="n"/>
      <c r="H5" s="3" t="n"/>
      <c r="I5" s="3" t="n"/>
      <c r="J5" s="3" t="n"/>
    </row>
    <row r="6">
      <c r="A6" s="9" t="inlineStr">
        <is>
          <t>Scope</t>
        </is>
      </c>
      <c r="B6" s="3" t="inlineStr">
        <is>
          <t>EU</t>
        </is>
      </c>
      <c r="C6" s="3" t="n"/>
      <c r="D6" s="3" t="n"/>
      <c r="E6" s="3" t="n"/>
      <c r="F6" s="3" t="n"/>
      <c r="G6" s="3" t="n"/>
      <c r="H6" s="3" t="n"/>
      <c r="I6" s="3" t="n"/>
      <c r="J6" s="3" t="n"/>
    </row>
    <row r="7">
      <c r="A7" s="9" t="inlineStr">
        <is>
          <t>Original reviewer</t>
        </is>
      </c>
      <c r="B7" s="3" t="inlineStr">
        <is>
          <t>Carolina</t>
        </is>
      </c>
      <c r="C7" s="3" t="n"/>
      <c r="D7" s="3" t="n"/>
      <c r="E7" s="3" t="n"/>
      <c r="F7" s="3" t="n"/>
      <c r="G7" s="3" t="n"/>
      <c r="H7" s="3" t="n"/>
      <c r="I7" s="3" t="n"/>
      <c r="J7" s="3" t="n"/>
    </row>
    <row r="8">
      <c r="A8" s="9" t="inlineStr">
        <is>
          <t>Original status</t>
        </is>
      </c>
      <c r="B8" s="3" t="inlineStr">
        <is>
          <t>Approved</t>
        </is>
      </c>
      <c r="C8" s="3" t="n"/>
      <c r="D8" s="3" t="n"/>
      <c r="E8" s="3" t="n"/>
      <c r="F8" s="3" t="n"/>
      <c r="G8" s="3" t="n"/>
      <c r="H8" s="3" t="n"/>
      <c r="I8" s="3" t="n"/>
      <c r="J8" s="3" t="n"/>
    </row>
    <row r="9">
      <c r="A9" s="3" t="n"/>
      <c r="B9" s="3" t="n"/>
      <c r="C9" s="3" t="n"/>
      <c r="D9" s="3" t="n"/>
      <c r="E9" s="3" t="n"/>
      <c r="F9" s="3" t="n"/>
      <c r="G9" s="3" t="n"/>
      <c r="H9" s="3" t="n"/>
      <c r="I9" s="3" t="n"/>
      <c r="J9" s="3" t="n"/>
    </row>
    <row r="10" ht="45" customHeight="1">
      <c r="A10" s="9" t="inlineStr">
        <is>
          <t>Question</t>
        </is>
      </c>
      <c r="B10" s="3" t="inlineStr">
        <is>
          <t>How is the inviolability of business premises reconciled with the Commission's inspection powers under Article 20 of Regulation 1/2003 — in particular, when is prior judicial authorisation required, and what may the national court asked to authorise coercive assistance review under Article 20(8)?</t>
        </is>
      </c>
      <c r="C10" s="3" t="n"/>
      <c r="D10" s="3" t="n"/>
      <c r="E10" s="3" t="n"/>
      <c r="F10" s="3" t="n"/>
      <c r="G10" s="3" t="n"/>
      <c r="H10" s="3" t="n"/>
      <c r="I10" s="3" t="n"/>
      <c r="J10" s="3" t="n"/>
    </row>
    <row r="11">
      <c r="A11" s="3" t="n"/>
      <c r="B11" s="3" t="n"/>
      <c r="C11" s="3" t="n"/>
      <c r="D11" s="3" t="n"/>
      <c r="E11" s="3" t="n"/>
      <c r="F11" s="3" t="n"/>
      <c r="G11" s="3" t="n"/>
      <c r="H11" s="3" t="n"/>
      <c r="I11" s="3" t="n"/>
      <c r="J11" s="3" t="n"/>
    </row>
    <row r="12">
      <c r="A12" s="3" t="n"/>
      <c r="B12" s="3" t="n"/>
      <c r="C12" s="3" t="n"/>
      <c r="D12" s="3" t="n"/>
      <c r="E12" s="3" t="n"/>
      <c r="F12" s="3" t="n"/>
      <c r="G12" s="3" t="n"/>
      <c r="H12" s="3" t="n"/>
      <c r="I12" s="3" t="n"/>
      <c r="J12" s="3" t="n"/>
    </row>
    <row r="13">
      <c r="A13" s="3" t="n"/>
      <c r="B13" s="3" t="n"/>
      <c r="C13" s="3" t="n"/>
      <c r="D13" s="3" t="n"/>
      <c r="E13" s="3" t="n"/>
      <c r="F13" s="3" t="n"/>
      <c r="G13" s="3" t="n"/>
      <c r="H13" s="3" t="n"/>
      <c r="I13" s="3" t="n"/>
      <c r="J13" s="3" t="n"/>
    </row>
    <row r="14">
      <c r="A14" s="8" t="inlineStr">
        <is>
          <t>Generated answer</t>
        </is>
      </c>
      <c r="B14" s="3" t="n"/>
      <c r="C14" s="3" t="n"/>
      <c r="D14" s="3" t="n"/>
      <c r="E14" s="3" t="n"/>
      <c r="F14" s="3" t="n"/>
      <c r="G14" s="3" t="n"/>
      <c r="H14" s="3" t="n"/>
      <c r="I14" s="3" t="n"/>
      <c r="J14" s="3" t="n"/>
    </row>
    <row r="15">
      <c r="A15" s="10" t="inlineStr">
        <is>
          <t>Paste the generated answer below.</t>
        </is>
      </c>
      <c r="B15" s="3" t="n"/>
      <c r="C15" s="3" t="n"/>
      <c r="D15" s="3" t="n"/>
      <c r="E15" s="3" t="n"/>
      <c r="F15" s="3" t="n"/>
      <c r="G15" s="3" t="n"/>
      <c r="H15" s="3" t="n"/>
      <c r="I15" s="3" t="n"/>
      <c r="J15" s="3" t="n"/>
    </row>
    <row r="16" ht="90" customHeight="1">
      <c r="A16" s="3" t="inlineStr"/>
      <c r="B16" s="3" t="n"/>
      <c r="C16" s="3" t="n"/>
      <c r="D16" s="3" t="n"/>
      <c r="E16" s="3" t="n"/>
      <c r="F16" s="3" t="n"/>
      <c r="G16" s="3" t="n"/>
      <c r="H16" s="3" t="n"/>
      <c r="I16" s="3" t="n"/>
      <c r="J16" s="3" t="n"/>
    </row>
    <row r="17" ht="30" customHeight="1">
      <c r="A17" s="3" t="n"/>
      <c r="B17" s="3" t="n"/>
      <c r="C17" s="3" t="n"/>
      <c r="D17" s="3" t="n"/>
      <c r="E17" s="3" t="n"/>
      <c r="F17" s="3" t="n"/>
      <c r="G17" s="3" t="n"/>
      <c r="H17" s="3" t="n"/>
      <c r="I17" s="3" t="n"/>
      <c r="J17" s="3" t="n"/>
    </row>
    <row r="18" ht="30" customHeight="1">
      <c r="A18" s="3" t="n"/>
      <c r="B18" s="3" t="n"/>
      <c r="C18" s="3" t="n"/>
      <c r="D18" s="3" t="n"/>
      <c r="E18" s="3" t="n"/>
      <c r="F18" s="3" t="n"/>
      <c r="G18" s="3" t="n"/>
      <c r="H18" s="3" t="n"/>
      <c r="I18" s="3" t="n"/>
      <c r="J18" s="3" t="n"/>
    </row>
    <row r="19">
      <c r="A19" s="9" t="inlineStr">
        <is>
          <t>Run ID</t>
        </is>
      </c>
      <c r="B19" s="3" t="inlineStr"/>
      <c r="C19" s="9" t="inlineStr">
        <is>
          <t>Run date</t>
        </is>
      </c>
      <c r="D19" s="3" t="inlineStr"/>
      <c r="E19" s="9" t="inlineStr">
        <is>
          <t>Model / prompt version</t>
        </is>
      </c>
      <c r="F19" s="3" t="inlineStr"/>
      <c r="G19" s="9" t="inlineStr">
        <is>
          <t>Corpus snapshot</t>
        </is>
      </c>
      <c r="H19" s="3" t="inlineStr"/>
      <c r="I19" s="3" t="n"/>
      <c r="J19" s="3" t="n"/>
    </row>
    <row r="20">
      <c r="A20" s="8" t="inlineStr">
        <is>
          <t>Retrieval set review</t>
        </is>
      </c>
      <c r="B20" s="3" t="n"/>
      <c r="C20" s="3" t="n"/>
      <c r="D20" s="3" t="n"/>
      <c r="E20" s="3" t="n"/>
      <c r="F20" s="3" t="n"/>
      <c r="G20" s="3" t="n"/>
      <c r="H20" s="3" t="n"/>
      <c r="I20" s="3" t="n"/>
      <c r="J20" s="3" t="n"/>
    </row>
    <row r="21">
      <c r="A21" s="11" t="inlineStr">
        <is>
          <t>Rank</t>
        </is>
      </c>
      <c r="B21" s="11" t="inlineStr">
        <is>
          <t>Retrieved source</t>
        </is>
      </c>
      <c r="C21" s="11" t="inlineStr">
        <is>
          <t>Source type</t>
        </is>
      </c>
      <c r="D21" s="11" t="inlineStr">
        <is>
          <t>Jurisdiction</t>
        </is>
      </c>
      <c r="E21" s="11" t="inlineStr">
        <is>
          <t>URL / Document ID</t>
        </is>
      </c>
      <c r="F21" s="11" t="inlineStr">
        <is>
          <t>Returned by engine?</t>
        </is>
      </c>
      <c r="G21" s="11" t="inlineStr">
        <is>
          <t>Required source?</t>
        </is>
      </c>
      <c r="H21" s="11" t="inlineStr">
        <is>
          <t>Trap?</t>
        </is>
      </c>
      <c r="I21" s="11" t="inlineStr">
        <is>
          <t>Expert verdict</t>
        </is>
      </c>
      <c r="J21" s="11" t="inlineStr">
        <is>
          <t>Notes</t>
        </is>
      </c>
    </row>
    <row r="22" ht="44" customHeight="1">
      <c r="A22" s="4" t="n">
        <v>1</v>
      </c>
      <c r="B22" s="4" t="n"/>
      <c r="C22" s="4" t="n"/>
      <c r="D22" s="4" t="n"/>
      <c r="E22" s="4" t="n"/>
      <c r="F22" s="4" t="n"/>
      <c r="G22" s="4" t="n"/>
      <c r="H22" s="4" t="n"/>
      <c r="I22" s="4" t="n"/>
      <c r="J22" s="4" t="n"/>
    </row>
    <row r="23" ht="44" customHeight="1">
      <c r="A23" s="4" t="n">
        <v>2</v>
      </c>
      <c r="B23" s="4" t="n"/>
      <c r="C23" s="4" t="n"/>
      <c r="D23" s="4" t="n"/>
      <c r="E23" s="4" t="n"/>
      <c r="F23" s="4" t="n"/>
      <c r="G23" s="4" t="n"/>
      <c r="H23" s="4" t="n"/>
      <c r="I23" s="4" t="n"/>
      <c r="J23" s="4" t="n"/>
    </row>
    <row r="24" ht="44" customHeight="1">
      <c r="A24" s="4" t="n">
        <v>3</v>
      </c>
      <c r="B24" s="4" t="n"/>
      <c r="C24" s="4" t="n"/>
      <c r="D24" s="4" t="n"/>
      <c r="E24" s="4" t="n"/>
      <c r="F24" s="4" t="n"/>
      <c r="G24" s="4" t="n"/>
      <c r="H24" s="4" t="n"/>
      <c r="I24" s="4" t="n"/>
      <c r="J24" s="4" t="n"/>
    </row>
    <row r="25" ht="44" customHeight="1">
      <c r="A25" s="4" t="n">
        <v>4</v>
      </c>
      <c r="B25" s="4" t="n"/>
      <c r="C25" s="4" t="n"/>
      <c r="D25" s="4" t="n"/>
      <c r="E25" s="4" t="n"/>
      <c r="F25" s="4" t="n"/>
      <c r="G25" s="4" t="n"/>
      <c r="H25" s="4" t="n"/>
      <c r="I25" s="4" t="n"/>
      <c r="J25" s="4" t="n"/>
    </row>
    <row r="26" ht="44" customHeight="1">
      <c r="A26" s="4" t="n">
        <v>5</v>
      </c>
      <c r="B26" s="4" t="n"/>
      <c r="C26" s="4" t="n"/>
      <c r="D26" s="4" t="n"/>
      <c r="E26" s="4" t="n"/>
      <c r="F26" s="4" t="n"/>
      <c r="G26" s="4" t="n"/>
      <c r="H26" s="4" t="n"/>
      <c r="I26" s="4" t="n"/>
      <c r="J26" s="4" t="n"/>
    </row>
    <row r="27" ht="44" customHeight="1">
      <c r="A27" s="4" t="n">
        <v>6</v>
      </c>
      <c r="B27" s="4" t="n"/>
      <c r="C27" s="4" t="n"/>
      <c r="D27" s="4" t="n"/>
      <c r="E27" s="4" t="n"/>
      <c r="F27" s="4" t="n"/>
      <c r="G27" s="4" t="n"/>
      <c r="H27" s="4" t="n"/>
      <c r="I27" s="4" t="n"/>
      <c r="J27" s="4" t="n"/>
    </row>
    <row r="28" ht="44" customHeight="1">
      <c r="A28" s="4" t="n">
        <v>7</v>
      </c>
      <c r="B28" s="4" t="n"/>
      <c r="C28" s="4" t="n"/>
      <c r="D28" s="4" t="n"/>
      <c r="E28" s="4" t="n"/>
      <c r="F28" s="4" t="n"/>
      <c r="G28" s="4" t="n"/>
      <c r="H28" s="4" t="n"/>
      <c r="I28" s="4" t="n"/>
      <c r="J28" s="4" t="n"/>
    </row>
    <row r="29" ht="44" customHeight="1">
      <c r="A29" s="4" t="n">
        <v>8</v>
      </c>
      <c r="B29" s="4" t="n"/>
      <c r="C29" s="4" t="n"/>
      <c r="D29" s="4" t="n"/>
      <c r="E29" s="4" t="n"/>
      <c r="F29" s="4" t="n"/>
      <c r="G29" s="4" t="n"/>
      <c r="H29" s="4" t="n"/>
      <c r="I29" s="4" t="n"/>
      <c r="J29" s="4" t="n"/>
    </row>
    <row r="30" ht="44" customHeight="1">
      <c r="A30" s="4" t="n">
        <v>9</v>
      </c>
      <c r="B30" s="4" t="n"/>
      <c r="C30" s="4" t="n"/>
      <c r="D30" s="4" t="n"/>
      <c r="E30" s="4" t="n"/>
      <c r="F30" s="4" t="n"/>
      <c r="G30" s="4" t="n"/>
      <c r="H30" s="4" t="n"/>
      <c r="I30" s="4" t="n"/>
      <c r="J30" s="4" t="n"/>
    </row>
    <row r="31" ht="44" customHeight="1">
      <c r="A31" s="4" t="n">
        <v>10</v>
      </c>
      <c r="B31" s="4" t="n"/>
      <c r="C31" s="4" t="n"/>
      <c r="D31" s="4" t="n"/>
      <c r="E31" s="4" t="n"/>
      <c r="F31" s="4" t="n"/>
      <c r="G31" s="4" t="n"/>
      <c r="H31" s="4" t="n"/>
      <c r="I31" s="4" t="n"/>
      <c r="J31" s="4" t="n"/>
    </row>
    <row r="32" ht="44" customHeight="1">
      <c r="A32" s="4" t="n">
        <v>11</v>
      </c>
      <c r="B32" s="4" t="n"/>
      <c r="C32" s="4" t="n"/>
      <c r="D32" s="4" t="n"/>
      <c r="E32" s="4" t="n"/>
      <c r="F32" s="4" t="n"/>
      <c r="G32" s="4" t="n"/>
      <c r="H32" s="4" t="n"/>
      <c r="I32" s="4" t="n"/>
      <c r="J32" s="4" t="n"/>
    </row>
    <row r="33" ht="44" customHeight="1">
      <c r="A33" s="4" t="n">
        <v>12</v>
      </c>
      <c r="B33" s="4" t="n"/>
      <c r="C33" s="4" t="n"/>
      <c r="D33" s="4" t="n"/>
      <c r="E33" s="4" t="n"/>
      <c r="F33" s="4" t="n"/>
      <c r="G33" s="4" t="n"/>
      <c r="H33" s="4" t="n"/>
      <c r="I33" s="4" t="n"/>
      <c r="J33" s="4" t="n"/>
    </row>
    <row r="34" ht="44" customHeight="1">
      <c r="A34" s="4" t="n">
        <v>13</v>
      </c>
      <c r="B34" s="4" t="n"/>
      <c r="C34" s="4" t="n"/>
      <c r="D34" s="4" t="n"/>
      <c r="E34" s="4" t="n"/>
      <c r="F34" s="4" t="n"/>
      <c r="G34" s="4" t="n"/>
      <c r="H34" s="4" t="n"/>
      <c r="I34" s="4" t="n"/>
      <c r="J34" s="4" t="n"/>
    </row>
    <row r="35" ht="44" customHeight="1">
      <c r="A35" s="4" t="n">
        <v>14</v>
      </c>
      <c r="B35" s="4" t="n"/>
      <c r="C35" s="4" t="n"/>
      <c r="D35" s="4" t="n"/>
      <c r="E35" s="4" t="n"/>
      <c r="F35" s="4" t="n"/>
      <c r="G35" s="4" t="n"/>
      <c r="H35" s="4" t="n"/>
      <c r="I35" s="4" t="n"/>
      <c r="J35" s="4" t="n"/>
    </row>
    <row r="36" ht="44" customHeight="1">
      <c r="A36" s="4" t="n">
        <v>15</v>
      </c>
      <c r="B36" s="4" t="n"/>
      <c r="C36" s="4" t="n"/>
      <c r="D36" s="4" t="n"/>
      <c r="E36" s="4" t="n"/>
      <c r="F36" s="4" t="n"/>
      <c r="G36" s="4" t="n"/>
      <c r="H36" s="4" t="n"/>
      <c r="I36" s="4" t="n"/>
      <c r="J36" s="4" t="n"/>
    </row>
    <row r="37">
      <c r="A37" s="3" t="n"/>
      <c r="B37" s="3" t="n"/>
      <c r="C37" s="3" t="n"/>
      <c r="D37" s="3" t="n"/>
      <c r="E37" s="3" t="n"/>
      <c r="F37" s="3" t="n"/>
      <c r="G37" s="3" t="n"/>
      <c r="H37" s="3" t="n"/>
      <c r="I37" s="3" t="n"/>
      <c r="J37" s="3" t="n"/>
    </row>
    <row r="38">
      <c r="A38" s="8" t="inlineStr">
        <is>
          <t>Claim-by-claim review</t>
        </is>
      </c>
      <c r="B38" s="3" t="n"/>
      <c r="C38" s="3" t="n"/>
      <c r="D38" s="3" t="n"/>
      <c r="E38" s="3" t="n"/>
      <c r="F38" s="3" t="n"/>
      <c r="G38" s="3" t="n"/>
      <c r="H38" s="3" t="n"/>
      <c r="I38" s="3" t="n"/>
      <c r="J38" s="3" t="n"/>
    </row>
    <row r="39">
      <c r="A39" s="11" t="inlineStr">
        <is>
          <t>Claim ID</t>
        </is>
      </c>
      <c r="B39" s="11" t="inlineStr">
        <is>
          <t>Claim from answer</t>
        </is>
      </c>
      <c r="C39" s="11" t="inlineStr">
        <is>
          <t>Citation used</t>
        </is>
      </c>
      <c r="D39" s="11" t="inlineStr">
        <is>
          <t>Expert verdict</t>
        </is>
      </c>
      <c r="E39" s="11" t="inlineStr">
        <is>
          <t>Issue type</t>
        </is>
      </c>
      <c r="F39" s="11" t="inlineStr">
        <is>
          <t>Cited passage / source note</t>
        </is>
      </c>
      <c r="G39" s="11" t="inlineStr">
        <is>
          <t>Required fix / comment</t>
        </is>
      </c>
      <c r="H39" s="11" t="inlineStr">
        <is>
          <t>Reviewer</t>
        </is>
      </c>
      <c r="I39" s="11" t="n"/>
      <c r="J39" s="11" t="n"/>
    </row>
    <row r="40" ht="54" customHeight="1">
      <c r="A40" s="4" t="n">
        <v>1</v>
      </c>
      <c r="B40" s="4" t="n"/>
      <c r="C40" s="4" t="n"/>
      <c r="D40" s="4" t="n"/>
      <c r="E40" s="4" t="n"/>
      <c r="F40" s="4" t="n"/>
      <c r="G40" s="4" t="n"/>
      <c r="H40" s="4" t="n"/>
      <c r="I40" s="3" t="n"/>
      <c r="J40" s="3" t="n"/>
    </row>
    <row r="41" ht="54" customHeight="1">
      <c r="A41" s="4" t="n">
        <v>2</v>
      </c>
      <c r="B41" s="4" t="n"/>
      <c r="C41" s="4" t="n"/>
      <c r="D41" s="4" t="n"/>
      <c r="E41" s="4" t="n"/>
      <c r="F41" s="4" t="n"/>
      <c r="G41" s="4" t="n"/>
      <c r="H41" s="4" t="n"/>
      <c r="I41" s="3" t="n"/>
      <c r="J41" s="3" t="n"/>
    </row>
    <row r="42" ht="54" customHeight="1">
      <c r="A42" s="4" t="n">
        <v>3</v>
      </c>
      <c r="B42" s="4" t="n"/>
      <c r="C42" s="4" t="n"/>
      <c r="D42" s="4" t="n"/>
      <c r="E42" s="4" t="n"/>
      <c r="F42" s="4" t="n"/>
      <c r="G42" s="4" t="n"/>
      <c r="H42" s="4" t="n"/>
      <c r="I42" s="3" t="n"/>
      <c r="J42" s="3" t="n"/>
    </row>
    <row r="43" ht="54" customHeight="1">
      <c r="A43" s="4" t="n">
        <v>4</v>
      </c>
      <c r="B43" s="4" t="n"/>
      <c r="C43" s="4" t="n"/>
      <c r="D43" s="4" t="n"/>
      <c r="E43" s="4" t="n"/>
      <c r="F43" s="4" t="n"/>
      <c r="G43" s="4" t="n"/>
      <c r="H43" s="4" t="n"/>
      <c r="I43" s="3" t="n"/>
      <c r="J43" s="3" t="n"/>
    </row>
    <row r="44" ht="54" customHeight="1">
      <c r="A44" s="4" t="n">
        <v>5</v>
      </c>
      <c r="B44" s="4" t="n"/>
      <c r="C44" s="4" t="n"/>
      <c r="D44" s="4" t="n"/>
      <c r="E44" s="4" t="n"/>
      <c r="F44" s="4" t="n"/>
      <c r="G44" s="4" t="n"/>
      <c r="H44" s="4" t="n"/>
      <c r="I44" s="3" t="n"/>
      <c r="J44" s="3" t="n"/>
    </row>
    <row r="45" ht="54" customHeight="1">
      <c r="A45" s="4" t="n">
        <v>6</v>
      </c>
      <c r="B45" s="4" t="n"/>
      <c r="C45" s="4" t="n"/>
      <c r="D45" s="4" t="n"/>
      <c r="E45" s="4" t="n"/>
      <c r="F45" s="4" t="n"/>
      <c r="G45" s="4" t="n"/>
      <c r="H45" s="4" t="n"/>
      <c r="I45" s="3" t="n"/>
      <c r="J45" s="3" t="n"/>
    </row>
    <row r="46" ht="54" customHeight="1">
      <c r="A46" s="4" t="n">
        <v>7</v>
      </c>
      <c r="B46" s="4" t="n"/>
      <c r="C46" s="4" t="n"/>
      <c r="D46" s="4" t="n"/>
      <c r="E46" s="4" t="n"/>
      <c r="F46" s="4" t="n"/>
      <c r="G46" s="4" t="n"/>
      <c r="H46" s="4" t="n"/>
      <c r="I46" s="3" t="n"/>
      <c r="J46" s="3" t="n"/>
    </row>
    <row r="47" ht="54" customHeight="1">
      <c r="A47" s="4" t="n">
        <v>8</v>
      </c>
      <c r="B47" s="4" t="n"/>
      <c r="C47" s="4" t="n"/>
      <c r="D47" s="4" t="n"/>
      <c r="E47" s="4" t="n"/>
      <c r="F47" s="4" t="n"/>
      <c r="G47" s="4" t="n"/>
      <c r="H47" s="4" t="n"/>
      <c r="I47" s="3" t="n"/>
      <c r="J47" s="3" t="n"/>
    </row>
    <row r="48" ht="54" customHeight="1">
      <c r="A48" s="4" t="n">
        <v>9</v>
      </c>
      <c r="B48" s="4" t="n"/>
      <c r="C48" s="4" t="n"/>
      <c r="D48" s="4" t="n"/>
      <c r="E48" s="4" t="n"/>
      <c r="F48" s="4" t="n"/>
      <c r="G48" s="4" t="n"/>
      <c r="H48" s="4" t="n"/>
      <c r="I48" s="3" t="n"/>
      <c r="J48" s="3" t="n"/>
    </row>
    <row r="49" ht="54" customHeight="1">
      <c r="A49" s="4" t="n">
        <v>10</v>
      </c>
      <c r="B49" s="4" t="n"/>
      <c r="C49" s="4" t="n"/>
      <c r="D49" s="4" t="n"/>
      <c r="E49" s="4" t="n"/>
      <c r="F49" s="4" t="n"/>
      <c r="G49" s="4" t="n"/>
      <c r="H49" s="4" t="n"/>
      <c r="I49" s="3" t="n"/>
      <c r="J49" s="3" t="n"/>
    </row>
    <row r="50" ht="54" customHeight="1">
      <c r="A50" s="4" t="n">
        <v>11</v>
      </c>
      <c r="B50" s="4" t="n"/>
      <c r="C50" s="4" t="n"/>
      <c r="D50" s="4" t="n"/>
      <c r="E50" s="4" t="n"/>
      <c r="F50" s="4" t="n"/>
      <c r="G50" s="4" t="n"/>
      <c r="H50" s="4" t="n"/>
      <c r="I50" s="3" t="n"/>
      <c r="J50" s="3" t="n"/>
    </row>
    <row r="51" ht="54" customHeight="1">
      <c r="A51" s="4" t="n">
        <v>12</v>
      </c>
      <c r="B51" s="4" t="n"/>
      <c r="C51" s="4" t="n"/>
      <c r="D51" s="4" t="n"/>
      <c r="E51" s="4" t="n"/>
      <c r="F51" s="4" t="n"/>
      <c r="G51" s="4" t="n"/>
      <c r="H51" s="4" t="n"/>
      <c r="I51" s="3" t="n"/>
      <c r="J51" s="3" t="n"/>
    </row>
    <row r="52" ht="54" customHeight="1">
      <c r="A52" s="4" t="n">
        <v>13</v>
      </c>
      <c r="B52" s="4" t="n"/>
      <c r="C52" s="4" t="n"/>
      <c r="D52" s="4" t="n"/>
      <c r="E52" s="4" t="n"/>
      <c r="F52" s="4" t="n"/>
      <c r="G52" s="4" t="n"/>
      <c r="H52" s="4" t="n"/>
      <c r="I52" s="3" t="n"/>
      <c r="J52" s="3" t="n"/>
    </row>
    <row r="53" ht="54" customHeight="1">
      <c r="A53" s="4" t="n">
        <v>14</v>
      </c>
      <c r="B53" s="4" t="n"/>
      <c r="C53" s="4" t="n"/>
      <c r="D53" s="4" t="n"/>
      <c r="E53" s="4" t="n"/>
      <c r="F53" s="4" t="n"/>
      <c r="G53" s="4" t="n"/>
      <c r="H53" s="4" t="n"/>
      <c r="I53" s="3" t="n"/>
      <c r="J53" s="3" t="n"/>
    </row>
    <row r="54" ht="54" customHeight="1">
      <c r="A54" s="4" t="n">
        <v>15</v>
      </c>
      <c r="B54" s="4" t="n"/>
      <c r="C54" s="4" t="n"/>
      <c r="D54" s="4" t="n"/>
      <c r="E54" s="4" t="n"/>
      <c r="F54" s="4" t="n"/>
      <c r="G54" s="4" t="n"/>
      <c r="H54" s="4" t="n"/>
      <c r="I54" s="3" t="n"/>
      <c r="J54" s="3" t="n"/>
    </row>
    <row r="55" ht="54" customHeight="1">
      <c r="A55" s="4" t="n">
        <v>16</v>
      </c>
      <c r="B55" s="4" t="n"/>
      <c r="C55" s="4" t="n"/>
      <c r="D55" s="4" t="n"/>
      <c r="E55" s="4" t="n"/>
      <c r="F55" s="4" t="n"/>
      <c r="G55" s="4" t="n"/>
      <c r="H55" s="4" t="n"/>
      <c r="I55" s="3" t="n"/>
      <c r="J55" s="3" t="n"/>
    </row>
    <row r="56" ht="54" customHeight="1">
      <c r="A56" s="4" t="n">
        <v>17</v>
      </c>
      <c r="B56" s="4" t="n"/>
      <c r="C56" s="4" t="n"/>
      <c r="D56" s="4" t="n"/>
      <c r="E56" s="4" t="n"/>
      <c r="F56" s="4" t="n"/>
      <c r="G56" s="4" t="n"/>
      <c r="H56" s="4" t="n"/>
      <c r="I56" s="3" t="n"/>
      <c r="J56" s="3" t="n"/>
    </row>
    <row r="57" ht="54" customHeight="1">
      <c r="A57" s="4" t="n">
        <v>18</v>
      </c>
      <c r="B57" s="4" t="n"/>
      <c r="C57" s="4" t="n"/>
      <c r="D57" s="4" t="n"/>
      <c r="E57" s="4" t="n"/>
      <c r="F57" s="4" t="n"/>
      <c r="G57" s="4" t="n"/>
      <c r="H57" s="4" t="n"/>
      <c r="I57" s="3" t="n"/>
      <c r="J57" s="3" t="n"/>
    </row>
    <row r="58" ht="54" customHeight="1">
      <c r="A58" s="4" t="n">
        <v>19</v>
      </c>
      <c r="B58" s="4" t="n"/>
      <c r="C58" s="4" t="n"/>
      <c r="D58" s="4" t="n"/>
      <c r="E58" s="4" t="n"/>
      <c r="F58" s="4" t="n"/>
      <c r="G58" s="4" t="n"/>
      <c r="H58" s="4" t="n"/>
      <c r="I58" s="3" t="n"/>
      <c r="J58" s="3" t="n"/>
    </row>
    <row r="59" ht="54" customHeight="1">
      <c r="A59" s="4" t="n">
        <v>20</v>
      </c>
      <c r="B59" s="4" t="n"/>
      <c r="C59" s="4" t="n"/>
      <c r="D59" s="4" t="n"/>
      <c r="E59" s="4" t="n"/>
      <c r="F59" s="4" t="n"/>
      <c r="G59" s="4" t="n"/>
      <c r="H59" s="4" t="n"/>
      <c r="I59" s="3" t="n"/>
      <c r="J59" s="3" t="n"/>
    </row>
    <row r="60">
      <c r="A60" s="3" t="n"/>
      <c r="B60" s="3" t="n"/>
      <c r="C60" s="3" t="n"/>
      <c r="D60" s="3" t="n"/>
      <c r="E60" s="3" t="n"/>
      <c r="F60" s="3" t="n"/>
      <c r="G60" s="3" t="n"/>
      <c r="H60" s="3" t="n"/>
      <c r="I60" s="3" t="n"/>
      <c r="J60" s="3" t="n"/>
    </row>
    <row r="61">
      <c r="A61" s="8" t="inlineStr">
        <is>
          <t>Final expert verdict</t>
        </is>
      </c>
      <c r="B61" s="3" t="n"/>
      <c r="C61" s="3" t="n"/>
      <c r="D61" s="3" t="n"/>
      <c r="E61" s="3" t="n"/>
      <c r="F61" s="3" t="n"/>
      <c r="G61" s="3" t="n"/>
      <c r="H61" s="3" t="n"/>
      <c r="I61" s="3" t="n"/>
      <c r="J61" s="3" t="n"/>
    </row>
    <row r="62">
      <c r="A62" s="12" t="inlineStr">
        <is>
          <t>Is the answer acceptable?</t>
        </is>
      </c>
      <c r="B62" s="4" t="inlineStr"/>
      <c r="C62" s="4" t="n"/>
      <c r="D62" s="4" t="n"/>
      <c r="E62" s="4" t="n"/>
      <c r="F62" s="4" t="n"/>
      <c r="G62" s="4" t="n"/>
      <c r="H62" s="4" t="n"/>
      <c r="I62" s="3" t="n"/>
      <c r="J62" s="3" t="n"/>
    </row>
    <row r="63" ht="54" customHeight="1">
      <c r="A63" s="12" t="inlineStr">
        <is>
          <t>Overall comment / required fixes</t>
        </is>
      </c>
      <c r="B63" s="4" t="n"/>
      <c r="C63" s="4" t="n"/>
      <c r="D63" s="4" t="n"/>
      <c r="E63" s="4" t="n"/>
      <c r="F63" s="4" t="n"/>
      <c r="G63" s="4" t="n"/>
      <c r="H63" s="4" t="n"/>
      <c r="I63" s="3" t="n"/>
      <c r="J63" s="3" t="n"/>
    </row>
    <row r="64">
      <c r="A64" s="4" t="n"/>
      <c r="B64" s="4" t="n"/>
      <c r="C64" s="4" t="n"/>
      <c r="D64" s="4" t="n"/>
      <c r="E64" s="4" t="n"/>
      <c r="F64" s="4" t="n"/>
      <c r="G64" s="4" t="n"/>
      <c r="H64" s="4" t="n"/>
      <c r="I64" s="3" t="n"/>
      <c r="J64" s="3" t="n"/>
    </row>
    <row r="65">
      <c r="A65" s="12" t="inlineStr">
        <is>
          <t>Missing key sources?</t>
        </is>
      </c>
      <c r="B65" s="4" t="n"/>
      <c r="C65" s="4" t="n"/>
      <c r="D65" s="4" t="n"/>
      <c r="E65" s="4" t="n"/>
      <c r="F65" s="4" t="n"/>
      <c r="G65" s="4" t="n"/>
      <c r="H65" s="4" t="n"/>
      <c r="I65" s="3" t="n"/>
      <c r="J65" s="3" t="n"/>
    </row>
    <row r="66">
      <c r="A66" s="12" t="inlineStr">
        <is>
          <t>Review completed?</t>
        </is>
      </c>
      <c r="B66" s="4" t="inlineStr"/>
      <c r="C66" s="4" t="n"/>
      <c r="D66" s="4" t="n"/>
      <c r="E66" s="4" t="n"/>
      <c r="F66" s="4" t="n"/>
      <c r="G66" s="4" t="n"/>
      <c r="H66" s="4" t="n"/>
      <c r="I66" s="3" t="n"/>
      <c r="J66" s="3" t="n"/>
    </row>
    <row r="67">
      <c r="A67" s="12" t="inlineStr">
        <is>
          <t>Reviewer</t>
        </is>
      </c>
      <c r="B67" s="4" t="n"/>
      <c r="C67" s="12" t="inlineStr">
        <is>
          <t>Review date</t>
        </is>
      </c>
      <c r="D67" s="5" t="inlineStr"/>
      <c r="E67" s="4" t="n"/>
      <c r="F67" s="4" t="n"/>
      <c r="G67" s="4" t="n"/>
      <c r="H67" s="4" t="n"/>
      <c r="I67" s="3" t="n"/>
      <c r="J67" s="3" t="n"/>
    </row>
    <row r="68">
      <c r="A68" s="3" t="n"/>
      <c r="B68" s="3" t="n"/>
      <c r="C68" s="3" t="n"/>
      <c r="D68" s="3" t="n"/>
      <c r="E68" s="3" t="n"/>
      <c r="F68" s="3" t="n"/>
      <c r="G68" s="3" t="n"/>
      <c r="H68" s="3" t="n"/>
      <c r="I68" s="3" t="n"/>
      <c r="J68" s="3" t="n"/>
    </row>
    <row r="69">
      <c r="A69" s="8" t="inlineStr">
        <is>
          <t>Original source notes</t>
        </is>
      </c>
      <c r="B69" s="3" t="n"/>
      <c r="C69" s="3" t="n"/>
      <c r="D69" s="3" t="n"/>
      <c r="E69" s="3" t="n"/>
      <c r="F69" s="3" t="n"/>
      <c r="G69" s="3" t="n"/>
      <c r="H69" s="3" t="n"/>
      <c r="I69" s="3" t="n"/>
      <c r="J69" s="3" t="n"/>
    </row>
    <row r="70">
      <c r="A70" s="12" t="inlineStr">
        <is>
          <t>WAB notes</t>
        </is>
      </c>
      <c r="B70" s="4" t="inlineStr">
        <is>
          <t>Article 21 of Regulation 1/2003 covers inspections of homes and other non-business premises, where prior authorisation by a national court is always required. We have folded that into this question — tell us if it deserves its own.</t>
        </is>
      </c>
      <c r="C70" s="4" t="n"/>
      <c r="D70" s="4" t="n"/>
      <c r="E70" s="4" t="n"/>
      <c r="F70" s="4" t="n"/>
      <c r="G70" s="4" t="n"/>
      <c r="H70" s="4" t="n"/>
      <c r="I70" s="3" t="n"/>
      <c r="J70" s="3" t="n"/>
    </row>
    <row r="71" ht="54" customHeight="1">
      <c r="A71" s="12" t="inlineStr">
        <is>
          <t>Reviewer notes from question approval</t>
        </is>
      </c>
      <c r="B71" s="4" t="inlineStr">
        <is>
          <t>agreed on the substance but let's frame it this way "How is the inviolability of business premises reconciled with the Commission's inspection powers under Article 20 of Regulation 1/2003 — in particular, when is prior judicial authorisation required, and what may the national court asked to authorise coercive assistance review under Article 20(8)?"</t>
        </is>
      </c>
      <c r="C71" s="4" t="n"/>
      <c r="D71" s="4" t="n"/>
      <c r="E71" s="4" t="n"/>
      <c r="F71" s="4" t="n"/>
      <c r="G71" s="4" t="n"/>
      <c r="H71" s="4" t="n"/>
      <c r="I71" s="3" t="n"/>
      <c r="J71" s="3" t="n"/>
    </row>
    <row r="72">
      <c r="A72" s="4" t="n"/>
      <c r="B72" s="4" t="n"/>
      <c r="C72" s="4" t="n"/>
      <c r="D72" s="4" t="n"/>
      <c r="E72" s="4" t="n"/>
      <c r="F72" s="4" t="n"/>
      <c r="G72" s="4" t="n"/>
      <c r="H72" s="4" t="n"/>
      <c r="I72" s="3" t="n"/>
      <c r="J72" s="3" t="n"/>
    </row>
  </sheetData>
  <autoFilter ref="A21:J36"/>
  <mergeCells count="20">
    <mergeCell ref="B65:H65"/>
    <mergeCell ref="B71:H72"/>
    <mergeCell ref="B6:H6"/>
    <mergeCell ref="A20:J20"/>
    <mergeCell ref="A1:H1"/>
    <mergeCell ref="B5:H5"/>
    <mergeCell ref="A61:H61"/>
    <mergeCell ref="A69:H69"/>
    <mergeCell ref="B4:H4"/>
    <mergeCell ref="B62:H62"/>
    <mergeCell ref="B7:H7"/>
    <mergeCell ref="B66:H66"/>
    <mergeCell ref="A3:H3"/>
    <mergeCell ref="A16:H18"/>
    <mergeCell ref="B70:H70"/>
    <mergeCell ref="A14:H14"/>
    <mergeCell ref="B63:H64"/>
    <mergeCell ref="B8:H8"/>
    <mergeCell ref="B10:H12"/>
    <mergeCell ref="A38:H38"/>
  </mergeCells>
  <dataValidations count="9">
    <dataValidation sqref="C22:C36" showDropDown="0" showInputMessage="0" showErrorMessage="0" allowBlank="1" type="list">
      <formula1>=Lists!$F$2:$F$5</formula1>
    </dataValidation>
    <dataValidation sqref="F22:F36" showDropDown="0" showInputMessage="0" showErrorMessage="0" allowBlank="1" type="list">
      <formula1>=Lists!$G$2:$G$4</formula1>
    </dataValidation>
    <dataValidation sqref="G22:G36" showDropDown="0" showInputMessage="0" showErrorMessage="0" allowBlank="1" type="list">
      <formula1>=Lists!$G$2:$G$4</formula1>
    </dataValidation>
    <dataValidation sqref="H22:H36" showDropDown="0" showInputMessage="0" showErrorMessage="0" allowBlank="1" type="list">
      <formula1>=Lists!$G$2:$G$4</formula1>
    </dataValidation>
    <dataValidation sqref="I22:I36" showDropDown="0" showInputMessage="0" showErrorMessage="0" allowBlank="1" type="list">
      <formula1>=Lists!$H$2:$H$6</formula1>
    </dataValidation>
    <dataValidation sqref="D40:D59" showDropDown="0" showInputMessage="0" showErrorMessage="0" allowBlank="1" type="list">
      <formula1>=Lists!$D$2:$D$7</formula1>
    </dataValidation>
    <dataValidation sqref="E40:E59" showDropDown="0" showInputMessage="0" showErrorMessage="0" allowBlank="1" type="list">
      <formula1>=Lists!$E$2:$E$8</formula1>
    </dataValidation>
    <dataValidation sqref="B62" showDropDown="0" showInputMessage="0" showErrorMessage="0" allowBlank="1" type="list">
      <formula1>=Lists!$C$2:$C$4</formula1>
    </dataValidation>
    <dataValidation sqref="B66" showDropDown="0" showInputMessage="0" showErrorMessage="0" allowBlank="1" type="list">
      <formula1>=Lists!$A$2:$A$3</formula1>
    </dataValidation>
  </dataValidations>
  <pageMargins left="0.75" right="0.75" top="1" bottom="1" header="0.5" footer="0.5"/>
</worksheet>
</file>

<file path=xl/worksheets/sheet43.xml><?xml version="1.0" encoding="utf-8"?>
<worksheet xmlns="http://schemas.openxmlformats.org/spreadsheetml/2006/main">
  <sheetPr>
    <outlinePr summaryBelow="1" summaryRight="1"/>
    <pageSetUpPr/>
  </sheetPr>
  <dimension ref="A1:J72"/>
  <sheetViews>
    <sheetView showGridLines="0" workbookViewId="0">
      <pane ySplit="21" topLeftCell="A22" activePane="bottomLeft" state="frozen"/>
      <selection pane="bottomLeft" activeCell="A1" sqref="A1"/>
    </sheetView>
  </sheetViews>
  <sheetFormatPr baseColWidth="8" defaultRowHeight="15"/>
  <cols>
    <col width="12" customWidth="1" min="1" max="1"/>
    <col width="34" customWidth="1" min="2" max="2"/>
    <col width="22" customWidth="1" min="3" max="3"/>
    <col width="18" customWidth="1" min="4" max="4"/>
    <col width="20" customWidth="1" min="5" max="5"/>
    <col width="30" customWidth="1" min="6" max="6"/>
    <col width="34" customWidth="1" min="7" max="7"/>
    <col width="18" customWidth="1" min="8" max="8"/>
    <col width="18" customWidth="1" min="9" max="9"/>
    <col width="30" customWidth="1" min="10" max="10"/>
  </cols>
  <sheetData>
    <row r="1" ht="28" customHeight="1">
      <c r="A1" s="6" t="inlineStr">
        <is>
          <t>Q48 — Expert Review</t>
        </is>
      </c>
      <c r="B1" s="3" t="n"/>
      <c r="C1" s="3" t="n"/>
      <c r="D1" s="3" t="n"/>
      <c r="E1" s="3" t="n"/>
      <c r="F1" s="3" t="n"/>
      <c r="G1" s="3" t="n"/>
      <c r="H1" s="3" t="n"/>
      <c r="I1" s="3" t="n"/>
      <c r="J1" s="3" t="n"/>
    </row>
    <row r="2">
      <c r="A2" s="3" t="n"/>
      <c r="B2" s="3" t="n"/>
      <c r="C2" s="3" t="n"/>
      <c r="D2" s="3" t="n"/>
      <c r="E2" s="3" t="n"/>
      <c r="F2" s="3" t="n"/>
      <c r="G2" s="3" t="n"/>
      <c r="H2" s="3" t="n"/>
      <c r="I2" s="3" t="n"/>
      <c r="J2" s="3" t="n"/>
    </row>
    <row r="3">
      <c r="A3" s="8" t="inlineStr">
        <is>
          <t>Question metadata</t>
        </is>
      </c>
      <c r="B3" s="3" t="n"/>
      <c r="C3" s="3" t="n"/>
      <c r="D3" s="3" t="n"/>
      <c r="E3" s="3" t="n"/>
      <c r="F3" s="3" t="n"/>
      <c r="G3" s="3" t="n"/>
      <c r="H3" s="3" t="n"/>
      <c r="I3" s="3" t="n"/>
      <c r="J3" s="3" t="n"/>
    </row>
    <row r="4">
      <c r="A4" s="9" t="inlineStr">
        <is>
          <t>Question ID</t>
        </is>
      </c>
      <c r="B4" s="3" t="n">
        <v>48</v>
      </c>
      <c r="C4" s="3" t="n"/>
      <c r="D4" s="3" t="n"/>
      <c r="E4" s="3" t="n"/>
      <c r="F4" s="3" t="n"/>
      <c r="G4" s="3" t="n"/>
      <c r="H4" s="3" t="n"/>
      <c r="I4" s="3" t="n"/>
      <c r="J4" s="3" t="n"/>
    </row>
    <row r="5">
      <c r="A5" s="9" t="inlineStr">
        <is>
          <t>Topic</t>
        </is>
      </c>
      <c r="B5" s="3" t="inlineStr">
        <is>
          <t>Dawn raids — premises and the courts</t>
        </is>
      </c>
      <c r="C5" s="3" t="n"/>
      <c r="D5" s="3" t="n"/>
      <c r="E5" s="3" t="n"/>
      <c r="F5" s="3" t="n"/>
      <c r="G5" s="3" t="n"/>
      <c r="H5" s="3" t="n"/>
      <c r="I5" s="3" t="n"/>
      <c r="J5" s="3" t="n"/>
    </row>
    <row r="6">
      <c r="A6" s="9" t="inlineStr">
        <is>
          <t>Scope</t>
        </is>
      </c>
      <c r="B6" s="3" t="inlineStr">
        <is>
          <t>EU</t>
        </is>
      </c>
      <c r="C6" s="3" t="n"/>
      <c r="D6" s="3" t="n"/>
      <c r="E6" s="3" t="n"/>
      <c r="F6" s="3" t="n"/>
      <c r="G6" s="3" t="n"/>
      <c r="H6" s="3" t="n"/>
      <c r="I6" s="3" t="n"/>
      <c r="J6" s="3" t="n"/>
    </row>
    <row r="7">
      <c r="A7" s="9" t="inlineStr">
        <is>
          <t>Original reviewer</t>
        </is>
      </c>
      <c r="B7" s="3" t="inlineStr">
        <is>
          <t>Carolina</t>
        </is>
      </c>
      <c r="C7" s="3" t="n"/>
      <c r="D7" s="3" t="n"/>
      <c r="E7" s="3" t="n"/>
      <c r="F7" s="3" t="n"/>
      <c r="G7" s="3" t="n"/>
      <c r="H7" s="3" t="n"/>
      <c r="I7" s="3" t="n"/>
      <c r="J7" s="3" t="n"/>
    </row>
    <row r="8">
      <c r="A8" s="9" t="inlineStr">
        <is>
          <t>Original status</t>
        </is>
      </c>
      <c r="B8" s="3" t="inlineStr">
        <is>
          <t>Approved</t>
        </is>
      </c>
      <c r="C8" s="3" t="n"/>
      <c r="D8" s="3" t="n"/>
      <c r="E8" s="3" t="n"/>
      <c r="F8" s="3" t="n"/>
      <c r="G8" s="3" t="n"/>
      <c r="H8" s="3" t="n"/>
      <c r="I8" s="3" t="n"/>
      <c r="J8" s="3" t="n"/>
    </row>
    <row r="9">
      <c r="A9" s="3" t="n"/>
      <c r="B9" s="3" t="n"/>
      <c r="C9" s="3" t="n"/>
      <c r="D9" s="3" t="n"/>
      <c r="E9" s="3" t="n"/>
      <c r="F9" s="3" t="n"/>
      <c r="G9" s="3" t="n"/>
      <c r="H9" s="3" t="n"/>
      <c r="I9" s="3" t="n"/>
      <c r="J9" s="3" t="n"/>
    </row>
    <row r="10" ht="45" customHeight="1">
      <c r="A10" s="9" t="inlineStr">
        <is>
          <t>Question</t>
        </is>
      </c>
      <c r="B10" s="3" t="inlineStr">
        <is>
          <t>In light of the recent case law of the Court of Justice, may a national competition authority seize an undertaking's business emails without prior judicial authorisation, and does full ex post review adequately protect the right to respect for communications under Article 7 of the Charter?</t>
        </is>
      </c>
      <c r="C10" s="3" t="n"/>
      <c r="D10" s="3" t="n"/>
      <c r="E10" s="3" t="n"/>
      <c r="F10" s="3" t="n"/>
      <c r="G10" s="3" t="n"/>
      <c r="H10" s="3" t="n"/>
      <c r="I10" s="3" t="n"/>
      <c r="J10" s="3" t="n"/>
    </row>
    <row r="11">
      <c r="A11" s="3" t="n"/>
      <c r="B11" s="3" t="n"/>
      <c r="C11" s="3" t="n"/>
      <c r="D11" s="3" t="n"/>
      <c r="E11" s="3" t="n"/>
      <c r="F11" s="3" t="n"/>
      <c r="G11" s="3" t="n"/>
      <c r="H11" s="3" t="n"/>
      <c r="I11" s="3" t="n"/>
      <c r="J11" s="3" t="n"/>
    </row>
    <row r="12">
      <c r="A12" s="3" t="n"/>
      <c r="B12" s="3" t="n"/>
      <c r="C12" s="3" t="n"/>
      <c r="D12" s="3" t="n"/>
      <c r="E12" s="3" t="n"/>
      <c r="F12" s="3" t="n"/>
      <c r="G12" s="3" t="n"/>
      <c r="H12" s="3" t="n"/>
      <c r="I12" s="3" t="n"/>
      <c r="J12" s="3" t="n"/>
    </row>
    <row r="13">
      <c r="A13" s="3" t="n"/>
      <c r="B13" s="3" t="n"/>
      <c r="C13" s="3" t="n"/>
      <c r="D13" s="3" t="n"/>
      <c r="E13" s="3" t="n"/>
      <c r="F13" s="3" t="n"/>
      <c r="G13" s="3" t="n"/>
      <c r="H13" s="3" t="n"/>
      <c r="I13" s="3" t="n"/>
      <c r="J13" s="3" t="n"/>
    </row>
    <row r="14">
      <c r="A14" s="8" t="inlineStr">
        <is>
          <t>Generated answer</t>
        </is>
      </c>
      <c r="B14" s="3" t="n"/>
      <c r="C14" s="3" t="n"/>
      <c r="D14" s="3" t="n"/>
      <c r="E14" s="3" t="n"/>
      <c r="F14" s="3" t="n"/>
      <c r="G14" s="3" t="n"/>
      <c r="H14" s="3" t="n"/>
      <c r="I14" s="3" t="n"/>
      <c r="J14" s="3" t="n"/>
    </row>
    <row r="15">
      <c r="A15" s="10" t="inlineStr">
        <is>
          <t>Paste the generated answer below.</t>
        </is>
      </c>
      <c r="B15" s="3" t="n"/>
      <c r="C15" s="3" t="n"/>
      <c r="D15" s="3" t="n"/>
      <c r="E15" s="3" t="n"/>
      <c r="F15" s="3" t="n"/>
      <c r="G15" s="3" t="n"/>
      <c r="H15" s="3" t="n"/>
      <c r="I15" s="3" t="n"/>
      <c r="J15" s="3" t="n"/>
    </row>
    <row r="16" ht="90" customHeight="1">
      <c r="A16" s="3" t="inlineStr"/>
      <c r="B16" s="3" t="n"/>
      <c r="C16" s="3" t="n"/>
      <c r="D16" s="3" t="n"/>
      <c r="E16" s="3" t="n"/>
      <c r="F16" s="3" t="n"/>
      <c r="G16" s="3" t="n"/>
      <c r="H16" s="3" t="n"/>
      <c r="I16" s="3" t="n"/>
      <c r="J16" s="3" t="n"/>
    </row>
    <row r="17" ht="30" customHeight="1">
      <c r="A17" s="3" t="n"/>
      <c r="B17" s="3" t="n"/>
      <c r="C17" s="3" t="n"/>
      <c r="D17" s="3" t="n"/>
      <c r="E17" s="3" t="n"/>
      <c r="F17" s="3" t="n"/>
      <c r="G17" s="3" t="n"/>
      <c r="H17" s="3" t="n"/>
      <c r="I17" s="3" t="n"/>
      <c r="J17" s="3" t="n"/>
    </row>
    <row r="18" ht="30" customHeight="1">
      <c r="A18" s="3" t="n"/>
      <c r="B18" s="3" t="n"/>
      <c r="C18" s="3" t="n"/>
      <c r="D18" s="3" t="n"/>
      <c r="E18" s="3" t="n"/>
      <c r="F18" s="3" t="n"/>
      <c r="G18" s="3" t="n"/>
      <c r="H18" s="3" t="n"/>
      <c r="I18" s="3" t="n"/>
      <c r="J18" s="3" t="n"/>
    </row>
    <row r="19">
      <c r="A19" s="9" t="inlineStr">
        <is>
          <t>Run ID</t>
        </is>
      </c>
      <c r="B19" s="3" t="inlineStr"/>
      <c r="C19" s="9" t="inlineStr">
        <is>
          <t>Run date</t>
        </is>
      </c>
      <c r="D19" s="3" t="inlineStr"/>
      <c r="E19" s="9" t="inlineStr">
        <is>
          <t>Model / prompt version</t>
        </is>
      </c>
      <c r="F19" s="3" t="inlineStr"/>
      <c r="G19" s="9" t="inlineStr">
        <is>
          <t>Corpus snapshot</t>
        </is>
      </c>
      <c r="H19" s="3" t="inlineStr"/>
      <c r="I19" s="3" t="n"/>
      <c r="J19" s="3" t="n"/>
    </row>
    <row r="20">
      <c r="A20" s="8" t="inlineStr">
        <is>
          <t>Retrieval set review</t>
        </is>
      </c>
      <c r="B20" s="3" t="n"/>
      <c r="C20" s="3" t="n"/>
      <c r="D20" s="3" t="n"/>
      <c r="E20" s="3" t="n"/>
      <c r="F20" s="3" t="n"/>
      <c r="G20" s="3" t="n"/>
      <c r="H20" s="3" t="n"/>
      <c r="I20" s="3" t="n"/>
      <c r="J20" s="3" t="n"/>
    </row>
    <row r="21">
      <c r="A21" s="11" t="inlineStr">
        <is>
          <t>Rank</t>
        </is>
      </c>
      <c r="B21" s="11" t="inlineStr">
        <is>
          <t>Retrieved source</t>
        </is>
      </c>
      <c r="C21" s="11" t="inlineStr">
        <is>
          <t>Source type</t>
        </is>
      </c>
      <c r="D21" s="11" t="inlineStr">
        <is>
          <t>Jurisdiction</t>
        </is>
      </c>
      <c r="E21" s="11" t="inlineStr">
        <is>
          <t>URL / Document ID</t>
        </is>
      </c>
      <c r="F21" s="11" t="inlineStr">
        <is>
          <t>Returned by engine?</t>
        </is>
      </c>
      <c r="G21" s="11" t="inlineStr">
        <is>
          <t>Required source?</t>
        </is>
      </c>
      <c r="H21" s="11" t="inlineStr">
        <is>
          <t>Trap?</t>
        </is>
      </c>
      <c r="I21" s="11" t="inlineStr">
        <is>
          <t>Expert verdict</t>
        </is>
      </c>
      <c r="J21" s="11" t="inlineStr">
        <is>
          <t>Notes</t>
        </is>
      </c>
    </row>
    <row r="22" ht="44" customHeight="1">
      <c r="A22" s="4" t="n">
        <v>1</v>
      </c>
      <c r="B22" s="4" t="n"/>
      <c r="C22" s="4" t="n"/>
      <c r="D22" s="4" t="n"/>
      <c r="E22" s="4" t="n"/>
      <c r="F22" s="4" t="n"/>
      <c r="G22" s="4" t="n"/>
      <c r="H22" s="4" t="n"/>
      <c r="I22" s="4" t="n"/>
      <c r="J22" s="4" t="n"/>
    </row>
    <row r="23" ht="44" customHeight="1">
      <c r="A23" s="4" t="n">
        <v>2</v>
      </c>
      <c r="B23" s="4" t="n"/>
      <c r="C23" s="4" t="n"/>
      <c r="D23" s="4" t="n"/>
      <c r="E23" s="4" t="n"/>
      <c r="F23" s="4" t="n"/>
      <c r="G23" s="4" t="n"/>
      <c r="H23" s="4" t="n"/>
      <c r="I23" s="4" t="n"/>
      <c r="J23" s="4" t="n"/>
    </row>
    <row r="24" ht="44" customHeight="1">
      <c r="A24" s="4" t="n">
        <v>3</v>
      </c>
      <c r="B24" s="4" t="n"/>
      <c r="C24" s="4" t="n"/>
      <c r="D24" s="4" t="n"/>
      <c r="E24" s="4" t="n"/>
      <c r="F24" s="4" t="n"/>
      <c r="G24" s="4" t="n"/>
      <c r="H24" s="4" t="n"/>
      <c r="I24" s="4" t="n"/>
      <c r="J24" s="4" t="n"/>
    </row>
    <row r="25" ht="44" customHeight="1">
      <c r="A25" s="4" t="n">
        <v>4</v>
      </c>
      <c r="B25" s="4" t="n"/>
      <c r="C25" s="4" t="n"/>
      <c r="D25" s="4" t="n"/>
      <c r="E25" s="4" t="n"/>
      <c r="F25" s="4" t="n"/>
      <c r="G25" s="4" t="n"/>
      <c r="H25" s="4" t="n"/>
      <c r="I25" s="4" t="n"/>
      <c r="J25" s="4" t="n"/>
    </row>
    <row r="26" ht="44" customHeight="1">
      <c r="A26" s="4" t="n">
        <v>5</v>
      </c>
      <c r="B26" s="4" t="n"/>
      <c r="C26" s="4" t="n"/>
      <c r="D26" s="4" t="n"/>
      <c r="E26" s="4" t="n"/>
      <c r="F26" s="4" t="n"/>
      <c r="G26" s="4" t="n"/>
      <c r="H26" s="4" t="n"/>
      <c r="I26" s="4" t="n"/>
      <c r="J26" s="4" t="n"/>
    </row>
    <row r="27" ht="44" customHeight="1">
      <c r="A27" s="4" t="n">
        <v>6</v>
      </c>
      <c r="B27" s="4" t="n"/>
      <c r="C27" s="4" t="n"/>
      <c r="D27" s="4" t="n"/>
      <c r="E27" s="4" t="n"/>
      <c r="F27" s="4" t="n"/>
      <c r="G27" s="4" t="n"/>
      <c r="H27" s="4" t="n"/>
      <c r="I27" s="4" t="n"/>
      <c r="J27" s="4" t="n"/>
    </row>
    <row r="28" ht="44" customHeight="1">
      <c r="A28" s="4" t="n">
        <v>7</v>
      </c>
      <c r="B28" s="4" t="n"/>
      <c r="C28" s="4" t="n"/>
      <c r="D28" s="4" t="n"/>
      <c r="E28" s="4" t="n"/>
      <c r="F28" s="4" t="n"/>
      <c r="G28" s="4" t="n"/>
      <c r="H28" s="4" t="n"/>
      <c r="I28" s="4" t="n"/>
      <c r="J28" s="4" t="n"/>
    </row>
    <row r="29" ht="44" customHeight="1">
      <c r="A29" s="4" t="n">
        <v>8</v>
      </c>
      <c r="B29" s="4" t="n"/>
      <c r="C29" s="4" t="n"/>
      <c r="D29" s="4" t="n"/>
      <c r="E29" s="4" t="n"/>
      <c r="F29" s="4" t="n"/>
      <c r="G29" s="4" t="n"/>
      <c r="H29" s="4" t="n"/>
      <c r="I29" s="4" t="n"/>
      <c r="J29" s="4" t="n"/>
    </row>
    <row r="30" ht="44" customHeight="1">
      <c r="A30" s="4" t="n">
        <v>9</v>
      </c>
      <c r="B30" s="4" t="n"/>
      <c r="C30" s="4" t="n"/>
      <c r="D30" s="4" t="n"/>
      <c r="E30" s="4" t="n"/>
      <c r="F30" s="4" t="n"/>
      <c r="G30" s="4" t="n"/>
      <c r="H30" s="4" t="n"/>
      <c r="I30" s="4" t="n"/>
      <c r="J30" s="4" t="n"/>
    </row>
    <row r="31" ht="44" customHeight="1">
      <c r="A31" s="4" t="n">
        <v>10</v>
      </c>
      <c r="B31" s="4" t="n"/>
      <c r="C31" s="4" t="n"/>
      <c r="D31" s="4" t="n"/>
      <c r="E31" s="4" t="n"/>
      <c r="F31" s="4" t="n"/>
      <c r="G31" s="4" t="n"/>
      <c r="H31" s="4" t="n"/>
      <c r="I31" s="4" t="n"/>
      <c r="J31" s="4" t="n"/>
    </row>
    <row r="32" ht="44" customHeight="1">
      <c r="A32" s="4" t="n">
        <v>11</v>
      </c>
      <c r="B32" s="4" t="n"/>
      <c r="C32" s="4" t="n"/>
      <c r="D32" s="4" t="n"/>
      <c r="E32" s="4" t="n"/>
      <c r="F32" s="4" t="n"/>
      <c r="G32" s="4" t="n"/>
      <c r="H32" s="4" t="n"/>
      <c r="I32" s="4" t="n"/>
      <c r="J32" s="4" t="n"/>
    </row>
    <row r="33" ht="44" customHeight="1">
      <c r="A33" s="4" t="n">
        <v>12</v>
      </c>
      <c r="B33" s="4" t="n"/>
      <c r="C33" s="4" t="n"/>
      <c r="D33" s="4" t="n"/>
      <c r="E33" s="4" t="n"/>
      <c r="F33" s="4" t="n"/>
      <c r="G33" s="4" t="n"/>
      <c r="H33" s="4" t="n"/>
      <c r="I33" s="4" t="n"/>
      <c r="J33" s="4" t="n"/>
    </row>
    <row r="34" ht="44" customHeight="1">
      <c r="A34" s="4" t="n">
        <v>13</v>
      </c>
      <c r="B34" s="4" t="n"/>
      <c r="C34" s="4" t="n"/>
      <c r="D34" s="4" t="n"/>
      <c r="E34" s="4" t="n"/>
      <c r="F34" s="4" t="n"/>
      <c r="G34" s="4" t="n"/>
      <c r="H34" s="4" t="n"/>
      <c r="I34" s="4" t="n"/>
      <c r="J34" s="4" t="n"/>
    </row>
    <row r="35" ht="44" customHeight="1">
      <c r="A35" s="4" t="n">
        <v>14</v>
      </c>
      <c r="B35" s="4" t="n"/>
      <c r="C35" s="4" t="n"/>
      <c r="D35" s="4" t="n"/>
      <c r="E35" s="4" t="n"/>
      <c r="F35" s="4" t="n"/>
      <c r="G35" s="4" t="n"/>
      <c r="H35" s="4" t="n"/>
      <c r="I35" s="4" t="n"/>
      <c r="J35" s="4" t="n"/>
    </row>
    <row r="36" ht="44" customHeight="1">
      <c r="A36" s="4" t="n">
        <v>15</v>
      </c>
      <c r="B36" s="4" t="n"/>
      <c r="C36" s="4" t="n"/>
      <c r="D36" s="4" t="n"/>
      <c r="E36" s="4" t="n"/>
      <c r="F36" s="4" t="n"/>
      <c r="G36" s="4" t="n"/>
      <c r="H36" s="4" t="n"/>
      <c r="I36" s="4" t="n"/>
      <c r="J36" s="4" t="n"/>
    </row>
    <row r="37">
      <c r="A37" s="3" t="n"/>
      <c r="B37" s="3" t="n"/>
      <c r="C37" s="3" t="n"/>
      <c r="D37" s="3" t="n"/>
      <c r="E37" s="3" t="n"/>
      <c r="F37" s="3" t="n"/>
      <c r="G37" s="3" t="n"/>
      <c r="H37" s="3" t="n"/>
      <c r="I37" s="3" t="n"/>
      <c r="J37" s="3" t="n"/>
    </row>
    <row r="38">
      <c r="A38" s="8" t="inlineStr">
        <is>
          <t>Claim-by-claim review</t>
        </is>
      </c>
      <c r="B38" s="3" t="n"/>
      <c r="C38" s="3" t="n"/>
      <c r="D38" s="3" t="n"/>
      <c r="E38" s="3" t="n"/>
      <c r="F38" s="3" t="n"/>
      <c r="G38" s="3" t="n"/>
      <c r="H38" s="3" t="n"/>
      <c r="I38" s="3" t="n"/>
      <c r="J38" s="3" t="n"/>
    </row>
    <row r="39">
      <c r="A39" s="11" t="inlineStr">
        <is>
          <t>Claim ID</t>
        </is>
      </c>
      <c r="B39" s="11" t="inlineStr">
        <is>
          <t>Claim from answer</t>
        </is>
      </c>
      <c r="C39" s="11" t="inlineStr">
        <is>
          <t>Citation used</t>
        </is>
      </c>
      <c r="D39" s="11" t="inlineStr">
        <is>
          <t>Expert verdict</t>
        </is>
      </c>
      <c r="E39" s="11" t="inlineStr">
        <is>
          <t>Issue type</t>
        </is>
      </c>
      <c r="F39" s="11" t="inlineStr">
        <is>
          <t>Cited passage / source note</t>
        </is>
      </c>
      <c r="G39" s="11" t="inlineStr">
        <is>
          <t>Required fix / comment</t>
        </is>
      </c>
      <c r="H39" s="11" t="inlineStr">
        <is>
          <t>Reviewer</t>
        </is>
      </c>
      <c r="I39" s="11" t="n"/>
      <c r="J39" s="11" t="n"/>
    </row>
    <row r="40" ht="54" customHeight="1">
      <c r="A40" s="4" t="n">
        <v>1</v>
      </c>
      <c r="B40" s="4" t="n"/>
      <c r="C40" s="4" t="n"/>
      <c r="D40" s="4" t="n"/>
      <c r="E40" s="4" t="n"/>
      <c r="F40" s="4" t="n"/>
      <c r="G40" s="4" t="n"/>
      <c r="H40" s="4" t="n"/>
      <c r="I40" s="3" t="n"/>
      <c r="J40" s="3" t="n"/>
    </row>
    <row r="41" ht="54" customHeight="1">
      <c r="A41" s="4" t="n">
        <v>2</v>
      </c>
      <c r="B41" s="4" t="n"/>
      <c r="C41" s="4" t="n"/>
      <c r="D41" s="4" t="n"/>
      <c r="E41" s="4" t="n"/>
      <c r="F41" s="4" t="n"/>
      <c r="G41" s="4" t="n"/>
      <c r="H41" s="4" t="n"/>
      <c r="I41" s="3" t="n"/>
      <c r="J41" s="3" t="n"/>
    </row>
    <row r="42" ht="54" customHeight="1">
      <c r="A42" s="4" t="n">
        <v>3</v>
      </c>
      <c r="B42" s="4" t="n"/>
      <c r="C42" s="4" t="n"/>
      <c r="D42" s="4" t="n"/>
      <c r="E42" s="4" t="n"/>
      <c r="F42" s="4" t="n"/>
      <c r="G42" s="4" t="n"/>
      <c r="H42" s="4" t="n"/>
      <c r="I42" s="3" t="n"/>
      <c r="J42" s="3" t="n"/>
    </row>
    <row r="43" ht="54" customHeight="1">
      <c r="A43" s="4" t="n">
        <v>4</v>
      </c>
      <c r="B43" s="4" t="n"/>
      <c r="C43" s="4" t="n"/>
      <c r="D43" s="4" t="n"/>
      <c r="E43" s="4" t="n"/>
      <c r="F43" s="4" t="n"/>
      <c r="G43" s="4" t="n"/>
      <c r="H43" s="4" t="n"/>
      <c r="I43" s="3" t="n"/>
      <c r="J43" s="3" t="n"/>
    </row>
    <row r="44" ht="54" customHeight="1">
      <c r="A44" s="4" t="n">
        <v>5</v>
      </c>
      <c r="B44" s="4" t="n"/>
      <c r="C44" s="4" t="n"/>
      <c r="D44" s="4" t="n"/>
      <c r="E44" s="4" t="n"/>
      <c r="F44" s="4" t="n"/>
      <c r="G44" s="4" t="n"/>
      <c r="H44" s="4" t="n"/>
      <c r="I44" s="3" t="n"/>
      <c r="J44" s="3" t="n"/>
    </row>
    <row r="45" ht="54" customHeight="1">
      <c r="A45" s="4" t="n">
        <v>6</v>
      </c>
      <c r="B45" s="4" t="n"/>
      <c r="C45" s="4" t="n"/>
      <c r="D45" s="4" t="n"/>
      <c r="E45" s="4" t="n"/>
      <c r="F45" s="4" t="n"/>
      <c r="G45" s="4" t="n"/>
      <c r="H45" s="4" t="n"/>
      <c r="I45" s="3" t="n"/>
      <c r="J45" s="3" t="n"/>
    </row>
    <row r="46" ht="54" customHeight="1">
      <c r="A46" s="4" t="n">
        <v>7</v>
      </c>
      <c r="B46" s="4" t="n"/>
      <c r="C46" s="4" t="n"/>
      <c r="D46" s="4" t="n"/>
      <c r="E46" s="4" t="n"/>
      <c r="F46" s="4" t="n"/>
      <c r="G46" s="4" t="n"/>
      <c r="H46" s="4" t="n"/>
      <c r="I46" s="3" t="n"/>
      <c r="J46" s="3" t="n"/>
    </row>
    <row r="47" ht="54" customHeight="1">
      <c r="A47" s="4" t="n">
        <v>8</v>
      </c>
      <c r="B47" s="4" t="n"/>
      <c r="C47" s="4" t="n"/>
      <c r="D47" s="4" t="n"/>
      <c r="E47" s="4" t="n"/>
      <c r="F47" s="4" t="n"/>
      <c r="G47" s="4" t="n"/>
      <c r="H47" s="4" t="n"/>
      <c r="I47" s="3" t="n"/>
      <c r="J47" s="3" t="n"/>
    </row>
    <row r="48" ht="54" customHeight="1">
      <c r="A48" s="4" t="n">
        <v>9</v>
      </c>
      <c r="B48" s="4" t="n"/>
      <c r="C48" s="4" t="n"/>
      <c r="D48" s="4" t="n"/>
      <c r="E48" s="4" t="n"/>
      <c r="F48" s="4" t="n"/>
      <c r="G48" s="4" t="n"/>
      <c r="H48" s="4" t="n"/>
      <c r="I48" s="3" t="n"/>
      <c r="J48" s="3" t="n"/>
    </row>
    <row r="49" ht="54" customHeight="1">
      <c r="A49" s="4" t="n">
        <v>10</v>
      </c>
      <c r="B49" s="4" t="n"/>
      <c r="C49" s="4" t="n"/>
      <c r="D49" s="4" t="n"/>
      <c r="E49" s="4" t="n"/>
      <c r="F49" s="4" t="n"/>
      <c r="G49" s="4" t="n"/>
      <c r="H49" s="4" t="n"/>
      <c r="I49" s="3" t="n"/>
      <c r="J49" s="3" t="n"/>
    </row>
    <row r="50" ht="54" customHeight="1">
      <c r="A50" s="4" t="n">
        <v>11</v>
      </c>
      <c r="B50" s="4" t="n"/>
      <c r="C50" s="4" t="n"/>
      <c r="D50" s="4" t="n"/>
      <c r="E50" s="4" t="n"/>
      <c r="F50" s="4" t="n"/>
      <c r="G50" s="4" t="n"/>
      <c r="H50" s="4" t="n"/>
      <c r="I50" s="3" t="n"/>
      <c r="J50" s="3" t="n"/>
    </row>
    <row r="51" ht="54" customHeight="1">
      <c r="A51" s="4" t="n">
        <v>12</v>
      </c>
      <c r="B51" s="4" t="n"/>
      <c r="C51" s="4" t="n"/>
      <c r="D51" s="4" t="n"/>
      <c r="E51" s="4" t="n"/>
      <c r="F51" s="4" t="n"/>
      <c r="G51" s="4" t="n"/>
      <c r="H51" s="4" t="n"/>
      <c r="I51" s="3" t="n"/>
      <c r="J51" s="3" t="n"/>
    </row>
    <row r="52" ht="54" customHeight="1">
      <c r="A52" s="4" t="n">
        <v>13</v>
      </c>
      <c r="B52" s="4" t="n"/>
      <c r="C52" s="4" t="n"/>
      <c r="D52" s="4" t="n"/>
      <c r="E52" s="4" t="n"/>
      <c r="F52" s="4" t="n"/>
      <c r="G52" s="4" t="n"/>
      <c r="H52" s="4" t="n"/>
      <c r="I52" s="3" t="n"/>
      <c r="J52" s="3" t="n"/>
    </row>
    <row r="53" ht="54" customHeight="1">
      <c r="A53" s="4" t="n">
        <v>14</v>
      </c>
      <c r="B53" s="4" t="n"/>
      <c r="C53" s="4" t="n"/>
      <c r="D53" s="4" t="n"/>
      <c r="E53" s="4" t="n"/>
      <c r="F53" s="4" t="n"/>
      <c r="G53" s="4" t="n"/>
      <c r="H53" s="4" t="n"/>
      <c r="I53" s="3" t="n"/>
      <c r="J53" s="3" t="n"/>
    </row>
    <row r="54" ht="54" customHeight="1">
      <c r="A54" s="4" t="n">
        <v>15</v>
      </c>
      <c r="B54" s="4" t="n"/>
      <c r="C54" s="4" t="n"/>
      <c r="D54" s="4" t="n"/>
      <c r="E54" s="4" t="n"/>
      <c r="F54" s="4" t="n"/>
      <c r="G54" s="4" t="n"/>
      <c r="H54" s="4" t="n"/>
      <c r="I54" s="3" t="n"/>
      <c r="J54" s="3" t="n"/>
    </row>
    <row r="55" ht="54" customHeight="1">
      <c r="A55" s="4" t="n">
        <v>16</v>
      </c>
      <c r="B55" s="4" t="n"/>
      <c r="C55" s="4" t="n"/>
      <c r="D55" s="4" t="n"/>
      <c r="E55" s="4" t="n"/>
      <c r="F55" s="4" t="n"/>
      <c r="G55" s="4" t="n"/>
      <c r="H55" s="4" t="n"/>
      <c r="I55" s="3" t="n"/>
      <c r="J55" s="3" t="n"/>
    </row>
    <row r="56" ht="54" customHeight="1">
      <c r="A56" s="4" t="n">
        <v>17</v>
      </c>
      <c r="B56" s="4" t="n"/>
      <c r="C56" s="4" t="n"/>
      <c r="D56" s="4" t="n"/>
      <c r="E56" s="4" t="n"/>
      <c r="F56" s="4" t="n"/>
      <c r="G56" s="4" t="n"/>
      <c r="H56" s="4" t="n"/>
      <c r="I56" s="3" t="n"/>
      <c r="J56" s="3" t="n"/>
    </row>
    <row r="57" ht="54" customHeight="1">
      <c r="A57" s="4" t="n">
        <v>18</v>
      </c>
      <c r="B57" s="4" t="n"/>
      <c r="C57" s="4" t="n"/>
      <c r="D57" s="4" t="n"/>
      <c r="E57" s="4" t="n"/>
      <c r="F57" s="4" t="n"/>
      <c r="G57" s="4" t="n"/>
      <c r="H57" s="4" t="n"/>
      <c r="I57" s="3" t="n"/>
      <c r="J57" s="3" t="n"/>
    </row>
    <row r="58" ht="54" customHeight="1">
      <c r="A58" s="4" t="n">
        <v>19</v>
      </c>
      <c r="B58" s="4" t="n"/>
      <c r="C58" s="4" t="n"/>
      <c r="D58" s="4" t="n"/>
      <c r="E58" s="4" t="n"/>
      <c r="F58" s="4" t="n"/>
      <c r="G58" s="4" t="n"/>
      <c r="H58" s="4" t="n"/>
      <c r="I58" s="3" t="n"/>
      <c r="J58" s="3" t="n"/>
    </row>
    <row r="59" ht="54" customHeight="1">
      <c r="A59" s="4" t="n">
        <v>20</v>
      </c>
      <c r="B59" s="4" t="n"/>
      <c r="C59" s="4" t="n"/>
      <c r="D59" s="4" t="n"/>
      <c r="E59" s="4" t="n"/>
      <c r="F59" s="4" t="n"/>
      <c r="G59" s="4" t="n"/>
      <c r="H59" s="4" t="n"/>
      <c r="I59" s="3" t="n"/>
      <c r="J59" s="3" t="n"/>
    </row>
    <row r="60">
      <c r="A60" s="3" t="n"/>
      <c r="B60" s="3" t="n"/>
      <c r="C60" s="3" t="n"/>
      <c r="D60" s="3" t="n"/>
      <c r="E60" s="3" t="n"/>
      <c r="F60" s="3" t="n"/>
      <c r="G60" s="3" t="n"/>
      <c r="H60" s="3" t="n"/>
      <c r="I60" s="3" t="n"/>
      <c r="J60" s="3" t="n"/>
    </row>
    <row r="61">
      <c r="A61" s="8" t="inlineStr">
        <is>
          <t>Final expert verdict</t>
        </is>
      </c>
      <c r="B61" s="3" t="n"/>
      <c r="C61" s="3" t="n"/>
      <c r="D61" s="3" t="n"/>
      <c r="E61" s="3" t="n"/>
      <c r="F61" s="3" t="n"/>
      <c r="G61" s="3" t="n"/>
      <c r="H61" s="3" t="n"/>
      <c r="I61" s="3" t="n"/>
      <c r="J61" s="3" t="n"/>
    </row>
    <row r="62">
      <c r="A62" s="12" t="inlineStr">
        <is>
          <t>Is the answer acceptable?</t>
        </is>
      </c>
      <c r="B62" s="4" t="inlineStr"/>
      <c r="C62" s="4" t="n"/>
      <c r="D62" s="4" t="n"/>
      <c r="E62" s="4" t="n"/>
      <c r="F62" s="4" t="n"/>
      <c r="G62" s="4" t="n"/>
      <c r="H62" s="4" t="n"/>
      <c r="I62" s="3" t="n"/>
      <c r="J62" s="3" t="n"/>
    </row>
    <row r="63" ht="54" customHeight="1">
      <c r="A63" s="12" t="inlineStr">
        <is>
          <t>Overall comment / required fixes</t>
        </is>
      </c>
      <c r="B63" s="4" t="n"/>
      <c r="C63" s="4" t="n"/>
      <c r="D63" s="4" t="n"/>
      <c r="E63" s="4" t="n"/>
      <c r="F63" s="4" t="n"/>
      <c r="G63" s="4" t="n"/>
      <c r="H63" s="4" t="n"/>
      <c r="I63" s="3" t="n"/>
      <c r="J63" s="3" t="n"/>
    </row>
    <row r="64">
      <c r="A64" s="4" t="n"/>
      <c r="B64" s="4" t="n"/>
      <c r="C64" s="4" t="n"/>
      <c r="D64" s="4" t="n"/>
      <c r="E64" s="4" t="n"/>
      <c r="F64" s="4" t="n"/>
      <c r="G64" s="4" t="n"/>
      <c r="H64" s="4" t="n"/>
      <c r="I64" s="3" t="n"/>
      <c r="J64" s="3" t="n"/>
    </row>
    <row r="65">
      <c r="A65" s="12" t="inlineStr">
        <is>
          <t>Missing key sources?</t>
        </is>
      </c>
      <c r="B65" s="4" t="n"/>
      <c r="C65" s="4" t="n"/>
      <c r="D65" s="4" t="n"/>
      <c r="E65" s="4" t="n"/>
      <c r="F65" s="4" t="n"/>
      <c r="G65" s="4" t="n"/>
      <c r="H65" s="4" t="n"/>
      <c r="I65" s="3" t="n"/>
      <c r="J65" s="3" t="n"/>
    </row>
    <row r="66">
      <c r="A66" s="12" t="inlineStr">
        <is>
          <t>Review completed?</t>
        </is>
      </c>
      <c r="B66" s="4" t="inlineStr"/>
      <c r="C66" s="4" t="n"/>
      <c r="D66" s="4" t="n"/>
      <c r="E66" s="4" t="n"/>
      <c r="F66" s="4" t="n"/>
      <c r="G66" s="4" t="n"/>
      <c r="H66" s="4" t="n"/>
      <c r="I66" s="3" t="n"/>
      <c r="J66" s="3" t="n"/>
    </row>
    <row r="67">
      <c r="A67" s="12" t="inlineStr">
        <is>
          <t>Reviewer</t>
        </is>
      </c>
      <c r="B67" s="4" t="n"/>
      <c r="C67" s="12" t="inlineStr">
        <is>
          <t>Review date</t>
        </is>
      </c>
      <c r="D67" s="5" t="inlineStr"/>
      <c r="E67" s="4" t="n"/>
      <c r="F67" s="4" t="n"/>
      <c r="G67" s="4" t="n"/>
      <c r="H67" s="4" t="n"/>
      <c r="I67" s="3" t="n"/>
      <c r="J67" s="3" t="n"/>
    </row>
    <row r="68">
      <c r="A68" s="3" t="n"/>
      <c r="B68" s="3" t="n"/>
      <c r="C68" s="3" t="n"/>
      <c r="D68" s="3" t="n"/>
      <c r="E68" s="3" t="n"/>
      <c r="F68" s="3" t="n"/>
      <c r="G68" s="3" t="n"/>
      <c r="H68" s="3" t="n"/>
      <c r="I68" s="3" t="n"/>
      <c r="J68" s="3" t="n"/>
    </row>
    <row r="69">
      <c r="A69" s="8" t="inlineStr">
        <is>
          <t>Original source notes</t>
        </is>
      </c>
      <c r="B69" s="3" t="n"/>
      <c r="C69" s="3" t="n"/>
      <c r="D69" s="3" t="n"/>
      <c r="E69" s="3" t="n"/>
      <c r="F69" s="3" t="n"/>
      <c r="G69" s="3" t="n"/>
      <c r="H69" s="3" t="n"/>
      <c r="I69" s="3" t="n"/>
      <c r="J69" s="3" t="n"/>
    </row>
    <row r="70">
      <c r="A70" s="12" t="inlineStr">
        <is>
          <t>WAB notes</t>
        </is>
      </c>
      <c r="B70" s="4" t="inlineStr"/>
      <c r="C70" s="4" t="n"/>
      <c r="D70" s="4" t="n"/>
      <c r="E70" s="4" t="n"/>
      <c r="F70" s="4" t="n"/>
      <c r="G70" s="4" t="n"/>
      <c r="H70" s="4" t="n"/>
      <c r="I70" s="3" t="n"/>
      <c r="J70" s="3" t="n"/>
    </row>
    <row r="71" ht="54" customHeight="1">
      <c r="A71" s="12" t="inlineStr">
        <is>
          <t>Reviewer notes from question approval</t>
        </is>
      </c>
      <c r="B71" s="4" t="inlineStr">
        <is>
          <t>agreed on substance but let's frame it like this: "In light of the recent case law of the Court of Justice, may a national competition authority seize an undertaking's business emails without prior judicial authorisation, and does full ex post review adequately protect the right to respect for communications under Article 7 of the Charter?"</t>
        </is>
      </c>
      <c r="C71" s="4" t="n"/>
      <c r="D71" s="4" t="n"/>
      <c r="E71" s="4" t="n"/>
      <c r="F71" s="4" t="n"/>
      <c r="G71" s="4" t="n"/>
      <c r="H71" s="4" t="n"/>
      <c r="I71" s="3" t="n"/>
      <c r="J71" s="3" t="n"/>
    </row>
    <row r="72">
      <c r="A72" s="4" t="n"/>
      <c r="B72" s="4" t="n"/>
      <c r="C72" s="4" t="n"/>
      <c r="D72" s="4" t="n"/>
      <c r="E72" s="4" t="n"/>
      <c r="F72" s="4" t="n"/>
      <c r="G72" s="4" t="n"/>
      <c r="H72" s="4" t="n"/>
      <c r="I72" s="3" t="n"/>
      <c r="J72" s="3" t="n"/>
    </row>
  </sheetData>
  <autoFilter ref="A21:J36"/>
  <mergeCells count="20">
    <mergeCell ref="B65:H65"/>
    <mergeCell ref="B71:H72"/>
    <mergeCell ref="B6:H6"/>
    <mergeCell ref="A20:J20"/>
    <mergeCell ref="A1:H1"/>
    <mergeCell ref="B5:H5"/>
    <mergeCell ref="A61:H61"/>
    <mergeCell ref="A69:H69"/>
    <mergeCell ref="B4:H4"/>
    <mergeCell ref="B62:H62"/>
    <mergeCell ref="B7:H7"/>
    <mergeCell ref="B66:H66"/>
    <mergeCell ref="A3:H3"/>
    <mergeCell ref="A16:H18"/>
    <mergeCell ref="B70:H70"/>
    <mergeCell ref="A14:H14"/>
    <mergeCell ref="B63:H64"/>
    <mergeCell ref="B8:H8"/>
    <mergeCell ref="B10:H12"/>
    <mergeCell ref="A38:H38"/>
  </mergeCells>
  <dataValidations count="9">
    <dataValidation sqref="C22:C36" showDropDown="0" showInputMessage="0" showErrorMessage="0" allowBlank="1" type="list">
      <formula1>=Lists!$F$2:$F$5</formula1>
    </dataValidation>
    <dataValidation sqref="F22:F36" showDropDown="0" showInputMessage="0" showErrorMessage="0" allowBlank="1" type="list">
      <formula1>=Lists!$G$2:$G$4</formula1>
    </dataValidation>
    <dataValidation sqref="G22:G36" showDropDown="0" showInputMessage="0" showErrorMessage="0" allowBlank="1" type="list">
      <formula1>=Lists!$G$2:$G$4</formula1>
    </dataValidation>
    <dataValidation sqref="H22:H36" showDropDown="0" showInputMessage="0" showErrorMessage="0" allowBlank="1" type="list">
      <formula1>=Lists!$G$2:$G$4</formula1>
    </dataValidation>
    <dataValidation sqref="I22:I36" showDropDown="0" showInputMessage="0" showErrorMessage="0" allowBlank="1" type="list">
      <formula1>=Lists!$H$2:$H$6</formula1>
    </dataValidation>
    <dataValidation sqref="D40:D59" showDropDown="0" showInputMessage="0" showErrorMessage="0" allowBlank="1" type="list">
      <formula1>=Lists!$D$2:$D$7</formula1>
    </dataValidation>
    <dataValidation sqref="E40:E59" showDropDown="0" showInputMessage="0" showErrorMessage="0" allowBlank="1" type="list">
      <formula1>=Lists!$E$2:$E$8</formula1>
    </dataValidation>
    <dataValidation sqref="B62" showDropDown="0" showInputMessage="0" showErrorMessage="0" allowBlank="1" type="list">
      <formula1>=Lists!$C$2:$C$4</formula1>
    </dataValidation>
    <dataValidation sqref="B66" showDropDown="0" showInputMessage="0" showErrorMessage="0" allowBlank="1" type="list">
      <formula1>=Lists!$A$2:$A$3</formula1>
    </dataValidation>
  </dataValidations>
  <pageMargins left="0.75" right="0.75" top="1" bottom="1" header="0.5" footer="0.5"/>
</worksheet>
</file>

<file path=xl/worksheets/sheet44.xml><?xml version="1.0" encoding="utf-8"?>
<worksheet xmlns="http://schemas.openxmlformats.org/spreadsheetml/2006/main">
  <sheetPr>
    <outlinePr summaryBelow="1" summaryRight="1"/>
    <pageSetUpPr/>
  </sheetPr>
  <dimension ref="A1:J72"/>
  <sheetViews>
    <sheetView showGridLines="0" workbookViewId="0">
      <pane ySplit="21" topLeftCell="A22" activePane="bottomLeft" state="frozen"/>
      <selection pane="bottomLeft" activeCell="A1" sqref="A1"/>
    </sheetView>
  </sheetViews>
  <sheetFormatPr baseColWidth="8" defaultRowHeight="15"/>
  <cols>
    <col width="12" customWidth="1" min="1" max="1"/>
    <col width="34" customWidth="1" min="2" max="2"/>
    <col width="22" customWidth="1" min="3" max="3"/>
    <col width="18" customWidth="1" min="4" max="4"/>
    <col width="20" customWidth="1" min="5" max="5"/>
    <col width="30" customWidth="1" min="6" max="6"/>
    <col width="34" customWidth="1" min="7" max="7"/>
    <col width="18" customWidth="1" min="8" max="8"/>
    <col width="18" customWidth="1" min="9" max="9"/>
    <col width="30" customWidth="1" min="10" max="10"/>
  </cols>
  <sheetData>
    <row r="1" ht="28" customHeight="1">
      <c r="A1" s="6" t="inlineStr">
        <is>
          <t>Q49 — Expert Review</t>
        </is>
      </c>
      <c r="B1" s="3" t="n"/>
      <c r="C1" s="3" t="n"/>
      <c r="D1" s="3" t="n"/>
      <c r="E1" s="3" t="n"/>
      <c r="F1" s="3" t="n"/>
      <c r="G1" s="3" t="n"/>
      <c r="H1" s="3" t="n"/>
      <c r="I1" s="3" t="n"/>
      <c r="J1" s="3" t="n"/>
    </row>
    <row r="2">
      <c r="A2" s="3" t="n"/>
      <c r="B2" s="3" t="n"/>
      <c r="C2" s="3" t="n"/>
      <c r="D2" s="3" t="n"/>
      <c r="E2" s="3" t="n"/>
      <c r="F2" s="3" t="n"/>
      <c r="G2" s="3" t="n"/>
      <c r="H2" s="3" t="n"/>
      <c r="I2" s="3" t="n"/>
      <c r="J2" s="3" t="n"/>
    </row>
    <row r="3">
      <c r="A3" s="8" t="inlineStr">
        <is>
          <t>Question metadata</t>
        </is>
      </c>
      <c r="B3" s="3" t="n"/>
      <c r="C3" s="3" t="n"/>
      <c r="D3" s="3" t="n"/>
      <c r="E3" s="3" t="n"/>
      <c r="F3" s="3" t="n"/>
      <c r="G3" s="3" t="n"/>
      <c r="H3" s="3" t="n"/>
      <c r="I3" s="3" t="n"/>
      <c r="J3" s="3" t="n"/>
    </row>
    <row r="4">
      <c r="A4" s="9" t="inlineStr">
        <is>
          <t>Question ID</t>
        </is>
      </c>
      <c r="B4" s="3" t="n">
        <v>49</v>
      </c>
      <c r="C4" s="3" t="n"/>
      <c r="D4" s="3" t="n"/>
      <c r="E4" s="3" t="n"/>
      <c r="F4" s="3" t="n"/>
      <c r="G4" s="3" t="n"/>
      <c r="H4" s="3" t="n"/>
      <c r="I4" s="3" t="n"/>
      <c r="J4" s="3" t="n"/>
    </row>
    <row r="5">
      <c r="A5" s="9" t="inlineStr">
        <is>
          <t>Topic</t>
        </is>
      </c>
      <c r="B5" s="3" t="inlineStr">
        <is>
          <t>Dawn raids — premises and the courts</t>
        </is>
      </c>
      <c r="C5" s="3" t="n"/>
      <c r="D5" s="3" t="n"/>
      <c r="E5" s="3" t="n"/>
      <c r="F5" s="3" t="n"/>
      <c r="G5" s="3" t="n"/>
      <c r="H5" s="3" t="n"/>
      <c r="I5" s="3" t="n"/>
      <c r="J5" s="3" t="n"/>
    </row>
    <row r="6">
      <c r="A6" s="9" t="inlineStr">
        <is>
          <t>Scope</t>
        </is>
      </c>
      <c r="B6" s="3" t="inlineStr">
        <is>
          <t>France</t>
        </is>
      </c>
      <c r="C6" s="3" t="n"/>
      <c r="D6" s="3" t="n"/>
      <c r="E6" s="3" t="n"/>
      <c r="F6" s="3" t="n"/>
      <c r="G6" s="3" t="n"/>
      <c r="H6" s="3" t="n"/>
      <c r="I6" s="3" t="n"/>
      <c r="J6" s="3" t="n"/>
    </row>
    <row r="7">
      <c r="A7" s="9" t="inlineStr">
        <is>
          <t>Original reviewer</t>
        </is>
      </c>
      <c r="B7" s="3" t="inlineStr">
        <is>
          <t>Jeanne</t>
        </is>
      </c>
      <c r="C7" s="3" t="n"/>
      <c r="D7" s="3" t="n"/>
      <c r="E7" s="3" t="n"/>
      <c r="F7" s="3" t="n"/>
      <c r="G7" s="3" t="n"/>
      <c r="H7" s="3" t="n"/>
      <c r="I7" s="3" t="n"/>
      <c r="J7" s="3" t="n"/>
    </row>
    <row r="8">
      <c r="A8" s="9" t="inlineStr">
        <is>
          <t>Original status</t>
        </is>
      </c>
      <c r="B8" s="3" t="inlineStr">
        <is>
          <t>Approved</t>
        </is>
      </c>
      <c r="C8" s="3" t="n"/>
      <c r="D8" s="3" t="n"/>
      <c r="E8" s="3" t="n"/>
      <c r="F8" s="3" t="n"/>
      <c r="G8" s="3" t="n"/>
      <c r="H8" s="3" t="n"/>
      <c r="I8" s="3" t="n"/>
      <c r="J8" s="3" t="n"/>
    </row>
    <row r="9">
      <c r="A9" s="3" t="n"/>
      <c r="B9" s="3" t="n"/>
      <c r="C9" s="3" t="n"/>
      <c r="D9" s="3" t="n"/>
      <c r="E9" s="3" t="n"/>
      <c r="F9" s="3" t="n"/>
      <c r="G9" s="3" t="n"/>
      <c r="H9" s="3" t="n"/>
      <c r="I9" s="3" t="n"/>
      <c r="J9" s="3" t="n"/>
    </row>
    <row r="10" ht="45" customHeight="1">
      <c r="A10" s="9" t="inlineStr">
        <is>
          <t>Question</t>
        </is>
      </c>
      <c r="B10" s="3" t="inlineStr">
        <is>
          <t>When must a French dawn raid be authorised in advance by the juge des libertés et de la détention , and what does that judge control  before, during, and after the operation?</t>
        </is>
      </c>
      <c r="C10" s="3" t="n"/>
      <c r="D10" s="3" t="n"/>
      <c r="E10" s="3" t="n"/>
      <c r="F10" s="3" t="n"/>
      <c r="G10" s="3" t="n"/>
      <c r="H10" s="3" t="n"/>
      <c r="I10" s="3" t="n"/>
      <c r="J10" s="3" t="n"/>
    </row>
    <row r="11">
      <c r="A11" s="3" t="n"/>
      <c r="B11" s="3" t="n"/>
      <c r="C11" s="3" t="n"/>
      <c r="D11" s="3" t="n"/>
      <c r="E11" s="3" t="n"/>
      <c r="F11" s="3" t="n"/>
      <c r="G11" s="3" t="n"/>
      <c r="H11" s="3" t="n"/>
      <c r="I11" s="3" t="n"/>
      <c r="J11" s="3" t="n"/>
    </row>
    <row r="12">
      <c r="A12" s="3" t="n"/>
      <c r="B12" s="3" t="n"/>
      <c r="C12" s="3" t="n"/>
      <c r="D12" s="3" t="n"/>
      <c r="E12" s="3" t="n"/>
      <c r="F12" s="3" t="n"/>
      <c r="G12" s="3" t="n"/>
      <c r="H12" s="3" t="n"/>
      <c r="I12" s="3" t="n"/>
      <c r="J12" s="3" t="n"/>
    </row>
    <row r="13">
      <c r="A13" s="3" t="n"/>
      <c r="B13" s="3" t="n"/>
      <c r="C13" s="3" t="n"/>
      <c r="D13" s="3" t="n"/>
      <c r="E13" s="3" t="n"/>
      <c r="F13" s="3" t="n"/>
      <c r="G13" s="3" t="n"/>
      <c r="H13" s="3" t="n"/>
      <c r="I13" s="3" t="n"/>
      <c r="J13" s="3" t="n"/>
    </row>
    <row r="14">
      <c r="A14" s="8" t="inlineStr">
        <is>
          <t>Generated answer</t>
        </is>
      </c>
      <c r="B14" s="3" t="n"/>
      <c r="C14" s="3" t="n"/>
      <c r="D14" s="3" t="n"/>
      <c r="E14" s="3" t="n"/>
      <c r="F14" s="3" t="n"/>
      <c r="G14" s="3" t="n"/>
      <c r="H14" s="3" t="n"/>
      <c r="I14" s="3" t="n"/>
      <c r="J14" s="3" t="n"/>
    </row>
    <row r="15">
      <c r="A15" s="10" t="inlineStr">
        <is>
          <t>Paste the generated answer below.</t>
        </is>
      </c>
      <c r="B15" s="3" t="n"/>
      <c r="C15" s="3" t="n"/>
      <c r="D15" s="3" t="n"/>
      <c r="E15" s="3" t="n"/>
      <c r="F15" s="3" t="n"/>
      <c r="G15" s="3" t="n"/>
      <c r="H15" s="3" t="n"/>
      <c r="I15" s="3" t="n"/>
      <c r="J15" s="3" t="n"/>
    </row>
    <row r="16" ht="90" customHeight="1">
      <c r="A16" s="3" t="inlineStr"/>
      <c r="B16" s="3" t="n"/>
      <c r="C16" s="3" t="n"/>
      <c r="D16" s="3" t="n"/>
      <c r="E16" s="3" t="n"/>
      <c r="F16" s="3" t="n"/>
      <c r="G16" s="3" t="n"/>
      <c r="H16" s="3" t="n"/>
      <c r="I16" s="3" t="n"/>
      <c r="J16" s="3" t="n"/>
    </row>
    <row r="17" ht="30" customHeight="1">
      <c r="A17" s="3" t="n"/>
      <c r="B17" s="3" t="n"/>
      <c r="C17" s="3" t="n"/>
      <c r="D17" s="3" t="n"/>
      <c r="E17" s="3" t="n"/>
      <c r="F17" s="3" t="n"/>
      <c r="G17" s="3" t="n"/>
      <c r="H17" s="3" t="n"/>
      <c r="I17" s="3" t="n"/>
      <c r="J17" s="3" t="n"/>
    </row>
    <row r="18" ht="30" customHeight="1">
      <c r="A18" s="3" t="n"/>
      <c r="B18" s="3" t="n"/>
      <c r="C18" s="3" t="n"/>
      <c r="D18" s="3" t="n"/>
      <c r="E18" s="3" t="n"/>
      <c r="F18" s="3" t="n"/>
      <c r="G18" s="3" t="n"/>
      <c r="H18" s="3" t="n"/>
      <c r="I18" s="3" t="n"/>
      <c r="J18" s="3" t="n"/>
    </row>
    <row r="19">
      <c r="A19" s="9" t="inlineStr">
        <is>
          <t>Run ID</t>
        </is>
      </c>
      <c r="B19" s="3" t="inlineStr"/>
      <c r="C19" s="9" t="inlineStr">
        <is>
          <t>Run date</t>
        </is>
      </c>
      <c r="D19" s="3" t="inlineStr"/>
      <c r="E19" s="9" t="inlineStr">
        <is>
          <t>Model / prompt version</t>
        </is>
      </c>
      <c r="F19" s="3" t="inlineStr"/>
      <c r="G19" s="9" t="inlineStr">
        <is>
          <t>Corpus snapshot</t>
        </is>
      </c>
      <c r="H19" s="3" t="inlineStr"/>
      <c r="I19" s="3" t="n"/>
      <c r="J19" s="3" t="n"/>
    </row>
    <row r="20">
      <c r="A20" s="8" t="inlineStr">
        <is>
          <t>Retrieval set review</t>
        </is>
      </c>
      <c r="B20" s="3" t="n"/>
      <c r="C20" s="3" t="n"/>
      <c r="D20" s="3" t="n"/>
      <c r="E20" s="3" t="n"/>
      <c r="F20" s="3" t="n"/>
      <c r="G20" s="3" t="n"/>
      <c r="H20" s="3" t="n"/>
      <c r="I20" s="3" t="n"/>
      <c r="J20" s="3" t="n"/>
    </row>
    <row r="21">
      <c r="A21" s="11" t="inlineStr">
        <is>
          <t>Rank</t>
        </is>
      </c>
      <c r="B21" s="11" t="inlineStr">
        <is>
          <t>Retrieved source</t>
        </is>
      </c>
      <c r="C21" s="11" t="inlineStr">
        <is>
          <t>Source type</t>
        </is>
      </c>
      <c r="D21" s="11" t="inlineStr">
        <is>
          <t>Jurisdiction</t>
        </is>
      </c>
      <c r="E21" s="11" t="inlineStr">
        <is>
          <t>URL / Document ID</t>
        </is>
      </c>
      <c r="F21" s="11" t="inlineStr">
        <is>
          <t>Returned by engine?</t>
        </is>
      </c>
      <c r="G21" s="11" t="inlineStr">
        <is>
          <t>Required source?</t>
        </is>
      </c>
      <c r="H21" s="11" t="inlineStr">
        <is>
          <t>Trap?</t>
        </is>
      </c>
      <c r="I21" s="11" t="inlineStr">
        <is>
          <t>Expert verdict</t>
        </is>
      </c>
      <c r="J21" s="11" t="inlineStr">
        <is>
          <t>Notes</t>
        </is>
      </c>
    </row>
    <row r="22" ht="44" customHeight="1">
      <c r="A22" s="4" t="n">
        <v>1</v>
      </c>
      <c r="B22" s="4" t="n"/>
      <c r="C22" s="4" t="n"/>
      <c r="D22" s="4" t="n"/>
      <c r="E22" s="4" t="n"/>
      <c r="F22" s="4" t="n"/>
      <c r="G22" s="4" t="n"/>
      <c r="H22" s="4" t="n"/>
      <c r="I22" s="4" t="n"/>
      <c r="J22" s="4" t="n"/>
    </row>
    <row r="23" ht="44" customHeight="1">
      <c r="A23" s="4" t="n">
        <v>2</v>
      </c>
      <c r="B23" s="4" t="n"/>
      <c r="C23" s="4" t="n"/>
      <c r="D23" s="4" t="n"/>
      <c r="E23" s="4" t="n"/>
      <c r="F23" s="4" t="n"/>
      <c r="G23" s="4" t="n"/>
      <c r="H23" s="4" t="n"/>
      <c r="I23" s="4" t="n"/>
      <c r="J23" s="4" t="n"/>
    </row>
    <row r="24" ht="44" customHeight="1">
      <c r="A24" s="4" t="n">
        <v>3</v>
      </c>
      <c r="B24" s="4" t="n"/>
      <c r="C24" s="4" t="n"/>
      <c r="D24" s="4" t="n"/>
      <c r="E24" s="4" t="n"/>
      <c r="F24" s="4" t="n"/>
      <c r="G24" s="4" t="n"/>
      <c r="H24" s="4" t="n"/>
      <c r="I24" s="4" t="n"/>
      <c r="J24" s="4" t="n"/>
    </row>
    <row r="25" ht="44" customHeight="1">
      <c r="A25" s="4" t="n">
        <v>4</v>
      </c>
      <c r="B25" s="4" t="n"/>
      <c r="C25" s="4" t="n"/>
      <c r="D25" s="4" t="n"/>
      <c r="E25" s="4" t="n"/>
      <c r="F25" s="4" t="n"/>
      <c r="G25" s="4" t="n"/>
      <c r="H25" s="4" t="n"/>
      <c r="I25" s="4" t="n"/>
      <c r="J25" s="4" t="n"/>
    </row>
    <row r="26" ht="44" customHeight="1">
      <c r="A26" s="4" t="n">
        <v>5</v>
      </c>
      <c r="B26" s="4" t="n"/>
      <c r="C26" s="4" t="n"/>
      <c r="D26" s="4" t="n"/>
      <c r="E26" s="4" t="n"/>
      <c r="F26" s="4" t="n"/>
      <c r="G26" s="4" t="n"/>
      <c r="H26" s="4" t="n"/>
      <c r="I26" s="4" t="n"/>
      <c r="J26" s="4" t="n"/>
    </row>
    <row r="27" ht="44" customHeight="1">
      <c r="A27" s="4" t="n">
        <v>6</v>
      </c>
      <c r="B27" s="4" t="n"/>
      <c r="C27" s="4" t="n"/>
      <c r="D27" s="4" t="n"/>
      <c r="E27" s="4" t="n"/>
      <c r="F27" s="4" t="n"/>
      <c r="G27" s="4" t="n"/>
      <c r="H27" s="4" t="n"/>
      <c r="I27" s="4" t="n"/>
      <c r="J27" s="4" t="n"/>
    </row>
    <row r="28" ht="44" customHeight="1">
      <c r="A28" s="4" t="n">
        <v>7</v>
      </c>
      <c r="B28" s="4" t="n"/>
      <c r="C28" s="4" t="n"/>
      <c r="D28" s="4" t="n"/>
      <c r="E28" s="4" t="n"/>
      <c r="F28" s="4" t="n"/>
      <c r="G28" s="4" t="n"/>
      <c r="H28" s="4" t="n"/>
      <c r="I28" s="4" t="n"/>
      <c r="J28" s="4" t="n"/>
    </row>
    <row r="29" ht="44" customHeight="1">
      <c r="A29" s="4" t="n">
        <v>8</v>
      </c>
      <c r="B29" s="4" t="n"/>
      <c r="C29" s="4" t="n"/>
      <c r="D29" s="4" t="n"/>
      <c r="E29" s="4" t="n"/>
      <c r="F29" s="4" t="n"/>
      <c r="G29" s="4" t="n"/>
      <c r="H29" s="4" t="n"/>
      <c r="I29" s="4" t="n"/>
      <c r="J29" s="4" t="n"/>
    </row>
    <row r="30" ht="44" customHeight="1">
      <c r="A30" s="4" t="n">
        <v>9</v>
      </c>
      <c r="B30" s="4" t="n"/>
      <c r="C30" s="4" t="n"/>
      <c r="D30" s="4" t="n"/>
      <c r="E30" s="4" t="n"/>
      <c r="F30" s="4" t="n"/>
      <c r="G30" s="4" t="n"/>
      <c r="H30" s="4" t="n"/>
      <c r="I30" s="4" t="n"/>
      <c r="J30" s="4" t="n"/>
    </row>
    <row r="31" ht="44" customHeight="1">
      <c r="A31" s="4" t="n">
        <v>10</v>
      </c>
      <c r="B31" s="4" t="n"/>
      <c r="C31" s="4" t="n"/>
      <c r="D31" s="4" t="n"/>
      <c r="E31" s="4" t="n"/>
      <c r="F31" s="4" t="n"/>
      <c r="G31" s="4" t="n"/>
      <c r="H31" s="4" t="n"/>
      <c r="I31" s="4" t="n"/>
      <c r="J31" s="4" t="n"/>
    </row>
    <row r="32" ht="44" customHeight="1">
      <c r="A32" s="4" t="n">
        <v>11</v>
      </c>
      <c r="B32" s="4" t="n"/>
      <c r="C32" s="4" t="n"/>
      <c r="D32" s="4" t="n"/>
      <c r="E32" s="4" t="n"/>
      <c r="F32" s="4" t="n"/>
      <c r="G32" s="4" t="n"/>
      <c r="H32" s="4" t="n"/>
      <c r="I32" s="4" t="n"/>
      <c r="J32" s="4" t="n"/>
    </row>
    <row r="33" ht="44" customHeight="1">
      <c r="A33" s="4" t="n">
        <v>12</v>
      </c>
      <c r="B33" s="4" t="n"/>
      <c r="C33" s="4" t="n"/>
      <c r="D33" s="4" t="n"/>
      <c r="E33" s="4" t="n"/>
      <c r="F33" s="4" t="n"/>
      <c r="G33" s="4" t="n"/>
      <c r="H33" s="4" t="n"/>
      <c r="I33" s="4" t="n"/>
      <c r="J33" s="4" t="n"/>
    </row>
    <row r="34" ht="44" customHeight="1">
      <c r="A34" s="4" t="n">
        <v>13</v>
      </c>
      <c r="B34" s="4" t="n"/>
      <c r="C34" s="4" t="n"/>
      <c r="D34" s="4" t="n"/>
      <c r="E34" s="4" t="n"/>
      <c r="F34" s="4" t="n"/>
      <c r="G34" s="4" t="n"/>
      <c r="H34" s="4" t="n"/>
      <c r="I34" s="4" t="n"/>
      <c r="J34" s="4" t="n"/>
    </row>
    <row r="35" ht="44" customHeight="1">
      <c r="A35" s="4" t="n">
        <v>14</v>
      </c>
      <c r="B35" s="4" t="n"/>
      <c r="C35" s="4" t="n"/>
      <c r="D35" s="4" t="n"/>
      <c r="E35" s="4" t="n"/>
      <c r="F35" s="4" t="n"/>
      <c r="G35" s="4" t="n"/>
      <c r="H35" s="4" t="n"/>
      <c r="I35" s="4" t="n"/>
      <c r="J35" s="4" t="n"/>
    </row>
    <row r="36" ht="44" customHeight="1">
      <c r="A36" s="4" t="n">
        <v>15</v>
      </c>
      <c r="B36" s="4" t="n"/>
      <c r="C36" s="4" t="n"/>
      <c r="D36" s="4" t="n"/>
      <c r="E36" s="4" t="n"/>
      <c r="F36" s="4" t="n"/>
      <c r="G36" s="4" t="n"/>
      <c r="H36" s="4" t="n"/>
      <c r="I36" s="4" t="n"/>
      <c r="J36" s="4" t="n"/>
    </row>
    <row r="37">
      <c r="A37" s="3" t="n"/>
      <c r="B37" s="3" t="n"/>
      <c r="C37" s="3" t="n"/>
      <c r="D37" s="3" t="n"/>
      <c r="E37" s="3" t="n"/>
      <c r="F37" s="3" t="n"/>
      <c r="G37" s="3" t="n"/>
      <c r="H37" s="3" t="n"/>
      <c r="I37" s="3" t="n"/>
      <c r="J37" s="3" t="n"/>
    </row>
    <row r="38">
      <c r="A38" s="8" t="inlineStr">
        <is>
          <t>Claim-by-claim review</t>
        </is>
      </c>
      <c r="B38" s="3" t="n"/>
      <c r="C38" s="3" t="n"/>
      <c r="D38" s="3" t="n"/>
      <c r="E38" s="3" t="n"/>
      <c r="F38" s="3" t="n"/>
      <c r="G38" s="3" t="n"/>
      <c r="H38" s="3" t="n"/>
      <c r="I38" s="3" t="n"/>
      <c r="J38" s="3" t="n"/>
    </row>
    <row r="39">
      <c r="A39" s="11" t="inlineStr">
        <is>
          <t>Claim ID</t>
        </is>
      </c>
      <c r="B39" s="11" t="inlineStr">
        <is>
          <t>Claim from answer</t>
        </is>
      </c>
      <c r="C39" s="11" t="inlineStr">
        <is>
          <t>Citation used</t>
        </is>
      </c>
      <c r="D39" s="11" t="inlineStr">
        <is>
          <t>Expert verdict</t>
        </is>
      </c>
      <c r="E39" s="11" t="inlineStr">
        <is>
          <t>Issue type</t>
        </is>
      </c>
      <c r="F39" s="11" t="inlineStr">
        <is>
          <t>Cited passage / source note</t>
        </is>
      </c>
      <c r="G39" s="11" t="inlineStr">
        <is>
          <t>Required fix / comment</t>
        </is>
      </c>
      <c r="H39" s="11" t="inlineStr">
        <is>
          <t>Reviewer</t>
        </is>
      </c>
      <c r="I39" s="11" t="n"/>
      <c r="J39" s="11" t="n"/>
    </row>
    <row r="40" ht="54" customHeight="1">
      <c r="A40" s="4" t="n">
        <v>1</v>
      </c>
      <c r="B40" s="4" t="n"/>
      <c r="C40" s="4" t="n"/>
      <c r="D40" s="4" t="n"/>
      <c r="E40" s="4" t="n"/>
      <c r="F40" s="4" t="n"/>
      <c r="G40" s="4" t="n"/>
      <c r="H40" s="4" t="n"/>
      <c r="I40" s="3" t="n"/>
      <c r="J40" s="3" t="n"/>
    </row>
    <row r="41" ht="54" customHeight="1">
      <c r="A41" s="4" t="n">
        <v>2</v>
      </c>
      <c r="B41" s="4" t="n"/>
      <c r="C41" s="4" t="n"/>
      <c r="D41" s="4" t="n"/>
      <c r="E41" s="4" t="n"/>
      <c r="F41" s="4" t="n"/>
      <c r="G41" s="4" t="n"/>
      <c r="H41" s="4" t="n"/>
      <c r="I41" s="3" t="n"/>
      <c r="J41" s="3" t="n"/>
    </row>
    <row r="42" ht="54" customHeight="1">
      <c r="A42" s="4" t="n">
        <v>3</v>
      </c>
      <c r="B42" s="4" t="n"/>
      <c r="C42" s="4" t="n"/>
      <c r="D42" s="4" t="n"/>
      <c r="E42" s="4" t="n"/>
      <c r="F42" s="4" t="n"/>
      <c r="G42" s="4" t="n"/>
      <c r="H42" s="4" t="n"/>
      <c r="I42" s="3" t="n"/>
      <c r="J42" s="3" t="n"/>
    </row>
    <row r="43" ht="54" customHeight="1">
      <c r="A43" s="4" t="n">
        <v>4</v>
      </c>
      <c r="B43" s="4" t="n"/>
      <c r="C43" s="4" t="n"/>
      <c r="D43" s="4" t="n"/>
      <c r="E43" s="4" t="n"/>
      <c r="F43" s="4" t="n"/>
      <c r="G43" s="4" t="n"/>
      <c r="H43" s="4" t="n"/>
      <c r="I43" s="3" t="n"/>
      <c r="J43" s="3" t="n"/>
    </row>
    <row r="44" ht="54" customHeight="1">
      <c r="A44" s="4" t="n">
        <v>5</v>
      </c>
      <c r="B44" s="4" t="n"/>
      <c r="C44" s="4" t="n"/>
      <c r="D44" s="4" t="n"/>
      <c r="E44" s="4" t="n"/>
      <c r="F44" s="4" t="n"/>
      <c r="G44" s="4" t="n"/>
      <c r="H44" s="4" t="n"/>
      <c r="I44" s="3" t="n"/>
      <c r="J44" s="3" t="n"/>
    </row>
    <row r="45" ht="54" customHeight="1">
      <c r="A45" s="4" t="n">
        <v>6</v>
      </c>
      <c r="B45" s="4" t="n"/>
      <c r="C45" s="4" t="n"/>
      <c r="D45" s="4" t="n"/>
      <c r="E45" s="4" t="n"/>
      <c r="F45" s="4" t="n"/>
      <c r="G45" s="4" t="n"/>
      <c r="H45" s="4" t="n"/>
      <c r="I45" s="3" t="n"/>
      <c r="J45" s="3" t="n"/>
    </row>
    <row r="46" ht="54" customHeight="1">
      <c r="A46" s="4" t="n">
        <v>7</v>
      </c>
      <c r="B46" s="4" t="n"/>
      <c r="C46" s="4" t="n"/>
      <c r="D46" s="4" t="n"/>
      <c r="E46" s="4" t="n"/>
      <c r="F46" s="4" t="n"/>
      <c r="G46" s="4" t="n"/>
      <c r="H46" s="4" t="n"/>
      <c r="I46" s="3" t="n"/>
      <c r="J46" s="3" t="n"/>
    </row>
    <row r="47" ht="54" customHeight="1">
      <c r="A47" s="4" t="n">
        <v>8</v>
      </c>
      <c r="B47" s="4" t="n"/>
      <c r="C47" s="4" t="n"/>
      <c r="D47" s="4" t="n"/>
      <c r="E47" s="4" t="n"/>
      <c r="F47" s="4" t="n"/>
      <c r="G47" s="4" t="n"/>
      <c r="H47" s="4" t="n"/>
      <c r="I47" s="3" t="n"/>
      <c r="J47" s="3" t="n"/>
    </row>
    <row r="48" ht="54" customHeight="1">
      <c r="A48" s="4" t="n">
        <v>9</v>
      </c>
      <c r="B48" s="4" t="n"/>
      <c r="C48" s="4" t="n"/>
      <c r="D48" s="4" t="n"/>
      <c r="E48" s="4" t="n"/>
      <c r="F48" s="4" t="n"/>
      <c r="G48" s="4" t="n"/>
      <c r="H48" s="4" t="n"/>
      <c r="I48" s="3" t="n"/>
      <c r="J48" s="3" t="n"/>
    </row>
    <row r="49" ht="54" customHeight="1">
      <c r="A49" s="4" t="n">
        <v>10</v>
      </c>
      <c r="B49" s="4" t="n"/>
      <c r="C49" s="4" t="n"/>
      <c r="D49" s="4" t="n"/>
      <c r="E49" s="4" t="n"/>
      <c r="F49" s="4" t="n"/>
      <c r="G49" s="4" t="n"/>
      <c r="H49" s="4" t="n"/>
      <c r="I49" s="3" t="n"/>
      <c r="J49" s="3" t="n"/>
    </row>
    <row r="50" ht="54" customHeight="1">
      <c r="A50" s="4" t="n">
        <v>11</v>
      </c>
      <c r="B50" s="4" t="n"/>
      <c r="C50" s="4" t="n"/>
      <c r="D50" s="4" t="n"/>
      <c r="E50" s="4" t="n"/>
      <c r="F50" s="4" t="n"/>
      <c r="G50" s="4" t="n"/>
      <c r="H50" s="4" t="n"/>
      <c r="I50" s="3" t="n"/>
      <c r="J50" s="3" t="n"/>
    </row>
    <row r="51" ht="54" customHeight="1">
      <c r="A51" s="4" t="n">
        <v>12</v>
      </c>
      <c r="B51" s="4" t="n"/>
      <c r="C51" s="4" t="n"/>
      <c r="D51" s="4" t="n"/>
      <c r="E51" s="4" t="n"/>
      <c r="F51" s="4" t="n"/>
      <c r="G51" s="4" t="n"/>
      <c r="H51" s="4" t="n"/>
      <c r="I51" s="3" t="n"/>
      <c r="J51" s="3" t="n"/>
    </row>
    <row r="52" ht="54" customHeight="1">
      <c r="A52" s="4" t="n">
        <v>13</v>
      </c>
      <c r="B52" s="4" t="n"/>
      <c r="C52" s="4" t="n"/>
      <c r="D52" s="4" t="n"/>
      <c r="E52" s="4" t="n"/>
      <c r="F52" s="4" t="n"/>
      <c r="G52" s="4" t="n"/>
      <c r="H52" s="4" t="n"/>
      <c r="I52" s="3" t="n"/>
      <c r="J52" s="3" t="n"/>
    </row>
    <row r="53" ht="54" customHeight="1">
      <c r="A53" s="4" t="n">
        <v>14</v>
      </c>
      <c r="B53" s="4" t="n"/>
      <c r="C53" s="4" t="n"/>
      <c r="D53" s="4" t="n"/>
      <c r="E53" s="4" t="n"/>
      <c r="F53" s="4" t="n"/>
      <c r="G53" s="4" t="n"/>
      <c r="H53" s="4" t="n"/>
      <c r="I53" s="3" t="n"/>
      <c r="J53" s="3" t="n"/>
    </row>
    <row r="54" ht="54" customHeight="1">
      <c r="A54" s="4" t="n">
        <v>15</v>
      </c>
      <c r="B54" s="4" t="n"/>
      <c r="C54" s="4" t="n"/>
      <c r="D54" s="4" t="n"/>
      <c r="E54" s="4" t="n"/>
      <c r="F54" s="4" t="n"/>
      <c r="G54" s="4" t="n"/>
      <c r="H54" s="4" t="n"/>
      <c r="I54" s="3" t="n"/>
      <c r="J54" s="3" t="n"/>
    </row>
    <row r="55" ht="54" customHeight="1">
      <c r="A55" s="4" t="n">
        <v>16</v>
      </c>
      <c r="B55" s="4" t="n"/>
      <c r="C55" s="4" t="n"/>
      <c r="D55" s="4" t="n"/>
      <c r="E55" s="4" t="n"/>
      <c r="F55" s="4" t="n"/>
      <c r="G55" s="4" t="n"/>
      <c r="H55" s="4" t="n"/>
      <c r="I55" s="3" t="n"/>
      <c r="J55" s="3" t="n"/>
    </row>
    <row r="56" ht="54" customHeight="1">
      <c r="A56" s="4" t="n">
        <v>17</v>
      </c>
      <c r="B56" s="4" t="n"/>
      <c r="C56" s="4" t="n"/>
      <c r="D56" s="4" t="n"/>
      <c r="E56" s="4" t="n"/>
      <c r="F56" s="4" t="n"/>
      <c r="G56" s="4" t="n"/>
      <c r="H56" s="4" t="n"/>
      <c r="I56" s="3" t="n"/>
      <c r="J56" s="3" t="n"/>
    </row>
    <row r="57" ht="54" customHeight="1">
      <c r="A57" s="4" t="n">
        <v>18</v>
      </c>
      <c r="B57" s="4" t="n"/>
      <c r="C57" s="4" t="n"/>
      <c r="D57" s="4" t="n"/>
      <c r="E57" s="4" t="n"/>
      <c r="F57" s="4" t="n"/>
      <c r="G57" s="4" t="n"/>
      <c r="H57" s="4" t="n"/>
      <c r="I57" s="3" t="n"/>
      <c r="J57" s="3" t="n"/>
    </row>
    <row r="58" ht="54" customHeight="1">
      <c r="A58" s="4" t="n">
        <v>19</v>
      </c>
      <c r="B58" s="4" t="n"/>
      <c r="C58" s="4" t="n"/>
      <c r="D58" s="4" t="n"/>
      <c r="E58" s="4" t="n"/>
      <c r="F58" s="4" t="n"/>
      <c r="G58" s="4" t="n"/>
      <c r="H58" s="4" t="n"/>
      <c r="I58" s="3" t="n"/>
      <c r="J58" s="3" t="n"/>
    </row>
    <row r="59" ht="54" customHeight="1">
      <c r="A59" s="4" t="n">
        <v>20</v>
      </c>
      <c r="B59" s="4" t="n"/>
      <c r="C59" s="4" t="n"/>
      <c r="D59" s="4" t="n"/>
      <c r="E59" s="4" t="n"/>
      <c r="F59" s="4" t="n"/>
      <c r="G59" s="4" t="n"/>
      <c r="H59" s="4" t="n"/>
      <c r="I59" s="3" t="n"/>
      <c r="J59" s="3" t="n"/>
    </row>
    <row r="60">
      <c r="A60" s="3" t="n"/>
      <c r="B60" s="3" t="n"/>
      <c r="C60" s="3" t="n"/>
      <c r="D60" s="3" t="n"/>
      <c r="E60" s="3" t="n"/>
      <c r="F60" s="3" t="n"/>
      <c r="G60" s="3" t="n"/>
      <c r="H60" s="3" t="n"/>
      <c r="I60" s="3" t="n"/>
      <c r="J60" s="3" t="n"/>
    </row>
    <row r="61">
      <c r="A61" s="8" t="inlineStr">
        <is>
          <t>Final expert verdict</t>
        </is>
      </c>
      <c r="B61" s="3" t="n"/>
      <c r="C61" s="3" t="n"/>
      <c r="D61" s="3" t="n"/>
      <c r="E61" s="3" t="n"/>
      <c r="F61" s="3" t="n"/>
      <c r="G61" s="3" t="n"/>
      <c r="H61" s="3" t="n"/>
      <c r="I61" s="3" t="n"/>
      <c r="J61" s="3" t="n"/>
    </row>
    <row r="62">
      <c r="A62" s="12" t="inlineStr">
        <is>
          <t>Is the answer acceptable?</t>
        </is>
      </c>
      <c r="B62" s="4" t="inlineStr"/>
      <c r="C62" s="4" t="n"/>
      <c r="D62" s="4" t="n"/>
      <c r="E62" s="4" t="n"/>
      <c r="F62" s="4" t="n"/>
      <c r="G62" s="4" t="n"/>
      <c r="H62" s="4" t="n"/>
      <c r="I62" s="3" t="n"/>
      <c r="J62" s="3" t="n"/>
    </row>
    <row r="63" ht="54" customHeight="1">
      <c r="A63" s="12" t="inlineStr">
        <is>
          <t>Overall comment / required fixes</t>
        </is>
      </c>
      <c r="B63" s="4" t="n"/>
      <c r="C63" s="4" t="n"/>
      <c r="D63" s="4" t="n"/>
      <c r="E63" s="4" t="n"/>
      <c r="F63" s="4" t="n"/>
      <c r="G63" s="4" t="n"/>
      <c r="H63" s="4" t="n"/>
      <c r="I63" s="3" t="n"/>
      <c r="J63" s="3" t="n"/>
    </row>
    <row r="64">
      <c r="A64" s="4" t="n"/>
      <c r="B64" s="4" t="n"/>
      <c r="C64" s="4" t="n"/>
      <c r="D64" s="4" t="n"/>
      <c r="E64" s="4" t="n"/>
      <c r="F64" s="4" t="n"/>
      <c r="G64" s="4" t="n"/>
      <c r="H64" s="4" t="n"/>
      <c r="I64" s="3" t="n"/>
      <c r="J64" s="3" t="n"/>
    </row>
    <row r="65">
      <c r="A65" s="12" t="inlineStr">
        <is>
          <t>Missing key sources?</t>
        </is>
      </c>
      <c r="B65" s="4" t="n"/>
      <c r="C65" s="4" t="n"/>
      <c r="D65" s="4" t="n"/>
      <c r="E65" s="4" t="n"/>
      <c r="F65" s="4" t="n"/>
      <c r="G65" s="4" t="n"/>
      <c r="H65" s="4" t="n"/>
      <c r="I65" s="3" t="n"/>
      <c r="J65" s="3" t="n"/>
    </row>
    <row r="66">
      <c r="A66" s="12" t="inlineStr">
        <is>
          <t>Review completed?</t>
        </is>
      </c>
      <c r="B66" s="4" t="inlineStr"/>
      <c r="C66" s="4" t="n"/>
      <c r="D66" s="4" t="n"/>
      <c r="E66" s="4" t="n"/>
      <c r="F66" s="4" t="n"/>
      <c r="G66" s="4" t="n"/>
      <c r="H66" s="4" t="n"/>
      <c r="I66" s="3" t="n"/>
      <c r="J66" s="3" t="n"/>
    </row>
    <row r="67">
      <c r="A67" s="12" t="inlineStr">
        <is>
          <t>Reviewer</t>
        </is>
      </c>
      <c r="B67" s="4" t="n"/>
      <c r="C67" s="12" t="inlineStr">
        <is>
          <t>Review date</t>
        </is>
      </c>
      <c r="D67" s="5" t="inlineStr"/>
      <c r="E67" s="4" t="n"/>
      <c r="F67" s="4" t="n"/>
      <c r="G67" s="4" t="n"/>
      <c r="H67" s="4" t="n"/>
      <c r="I67" s="3" t="n"/>
      <c r="J67" s="3" t="n"/>
    </row>
    <row r="68">
      <c r="A68" s="3" t="n"/>
      <c r="B68" s="3" t="n"/>
      <c r="C68" s="3" t="n"/>
      <c r="D68" s="3" t="n"/>
      <c r="E68" s="3" t="n"/>
      <c r="F68" s="3" t="n"/>
      <c r="G68" s="3" t="n"/>
      <c r="H68" s="3" t="n"/>
      <c r="I68" s="3" t="n"/>
      <c r="J68" s="3" t="n"/>
    </row>
    <row r="69">
      <c r="A69" s="8" t="inlineStr">
        <is>
          <t>Original source notes</t>
        </is>
      </c>
      <c r="B69" s="3" t="n"/>
      <c r="C69" s="3" t="n"/>
      <c r="D69" s="3" t="n"/>
      <c r="E69" s="3" t="n"/>
      <c r="F69" s="3" t="n"/>
      <c r="G69" s="3" t="n"/>
      <c r="H69" s="3" t="n"/>
      <c r="I69" s="3" t="n"/>
      <c r="J69" s="3" t="n"/>
    </row>
    <row r="70">
      <c r="A70" s="12" t="inlineStr">
        <is>
          <t>WAB notes</t>
        </is>
      </c>
      <c r="B70" s="4" t="inlineStr">
        <is>
          <t>Possible overlap with question 33.</t>
        </is>
      </c>
      <c r="C70" s="4" t="n"/>
      <c r="D70" s="4" t="n"/>
      <c r="E70" s="4" t="n"/>
      <c r="F70" s="4" t="n"/>
      <c r="G70" s="4" t="n"/>
      <c r="H70" s="4" t="n"/>
      <c r="I70" s="3" t="n"/>
      <c r="J70" s="3" t="n"/>
    </row>
    <row r="71" ht="54" customHeight="1">
      <c r="A71" s="12" t="inlineStr">
        <is>
          <t>Reviewer notes from question approval</t>
        </is>
      </c>
      <c r="B71" s="4" t="inlineStr">
        <is>
          <t xml:space="preserve">no overlap with question 33, we can keep the question. </t>
        </is>
      </c>
      <c r="C71" s="4" t="n"/>
      <c r="D71" s="4" t="n"/>
      <c r="E71" s="4" t="n"/>
      <c r="F71" s="4" t="n"/>
      <c r="G71" s="4" t="n"/>
      <c r="H71" s="4" t="n"/>
      <c r="I71" s="3" t="n"/>
      <c r="J71" s="3" t="n"/>
    </row>
    <row r="72">
      <c r="A72" s="4" t="n"/>
      <c r="B72" s="4" t="n"/>
      <c r="C72" s="4" t="n"/>
      <c r="D72" s="4" t="n"/>
      <c r="E72" s="4" t="n"/>
      <c r="F72" s="4" t="n"/>
      <c r="G72" s="4" t="n"/>
      <c r="H72" s="4" t="n"/>
      <c r="I72" s="3" t="n"/>
      <c r="J72" s="3" t="n"/>
    </row>
  </sheetData>
  <autoFilter ref="A21:J36"/>
  <mergeCells count="20">
    <mergeCell ref="B65:H65"/>
    <mergeCell ref="B71:H72"/>
    <mergeCell ref="B6:H6"/>
    <mergeCell ref="A20:J20"/>
    <mergeCell ref="A1:H1"/>
    <mergeCell ref="B5:H5"/>
    <mergeCell ref="A61:H61"/>
    <mergeCell ref="A69:H69"/>
    <mergeCell ref="B4:H4"/>
    <mergeCell ref="B62:H62"/>
    <mergeCell ref="B7:H7"/>
    <mergeCell ref="B66:H66"/>
    <mergeCell ref="A3:H3"/>
    <mergeCell ref="A16:H18"/>
    <mergeCell ref="B70:H70"/>
    <mergeCell ref="A14:H14"/>
    <mergeCell ref="B63:H64"/>
    <mergeCell ref="B8:H8"/>
    <mergeCell ref="B10:H12"/>
    <mergeCell ref="A38:H38"/>
  </mergeCells>
  <dataValidations count="9">
    <dataValidation sqref="C22:C36" showDropDown="0" showInputMessage="0" showErrorMessage="0" allowBlank="1" type="list">
      <formula1>=Lists!$F$2:$F$5</formula1>
    </dataValidation>
    <dataValidation sqref="F22:F36" showDropDown="0" showInputMessage="0" showErrorMessage="0" allowBlank="1" type="list">
      <formula1>=Lists!$G$2:$G$4</formula1>
    </dataValidation>
    <dataValidation sqref="G22:G36" showDropDown="0" showInputMessage="0" showErrorMessage="0" allowBlank="1" type="list">
      <formula1>=Lists!$G$2:$G$4</formula1>
    </dataValidation>
    <dataValidation sqref="H22:H36" showDropDown="0" showInputMessage="0" showErrorMessage="0" allowBlank="1" type="list">
      <formula1>=Lists!$G$2:$G$4</formula1>
    </dataValidation>
    <dataValidation sqref="I22:I36" showDropDown="0" showInputMessage="0" showErrorMessage="0" allowBlank="1" type="list">
      <formula1>=Lists!$H$2:$H$6</formula1>
    </dataValidation>
    <dataValidation sqref="D40:D59" showDropDown="0" showInputMessage="0" showErrorMessage="0" allowBlank="1" type="list">
      <formula1>=Lists!$D$2:$D$7</formula1>
    </dataValidation>
    <dataValidation sqref="E40:E59" showDropDown="0" showInputMessage="0" showErrorMessage="0" allowBlank="1" type="list">
      <formula1>=Lists!$E$2:$E$8</formula1>
    </dataValidation>
    <dataValidation sqref="B62" showDropDown="0" showInputMessage="0" showErrorMessage="0" allowBlank="1" type="list">
      <formula1>=Lists!$C$2:$C$4</formula1>
    </dataValidation>
    <dataValidation sqref="B66" showDropDown="0" showInputMessage="0" showErrorMessage="0" allowBlank="1" type="list">
      <formula1>=Lists!$A$2:$A$3</formula1>
    </dataValidation>
  </dataValidations>
  <pageMargins left="0.75" right="0.75" top="1" bottom="1" header="0.5" footer="0.5"/>
</worksheet>
</file>

<file path=xl/worksheets/sheet45.xml><?xml version="1.0" encoding="utf-8"?>
<worksheet xmlns="http://schemas.openxmlformats.org/spreadsheetml/2006/main">
  <sheetPr>
    <outlinePr summaryBelow="1" summaryRight="1"/>
    <pageSetUpPr/>
  </sheetPr>
  <dimension ref="A1:J72"/>
  <sheetViews>
    <sheetView showGridLines="0" workbookViewId="0">
      <pane ySplit="21" topLeftCell="A22" activePane="bottomLeft" state="frozen"/>
      <selection pane="bottomLeft" activeCell="A1" sqref="A1"/>
    </sheetView>
  </sheetViews>
  <sheetFormatPr baseColWidth="8" defaultRowHeight="15"/>
  <cols>
    <col width="12" customWidth="1" min="1" max="1"/>
    <col width="34" customWidth="1" min="2" max="2"/>
    <col width="22" customWidth="1" min="3" max="3"/>
    <col width="18" customWidth="1" min="4" max="4"/>
    <col width="20" customWidth="1" min="5" max="5"/>
    <col width="30" customWidth="1" min="6" max="6"/>
    <col width="34" customWidth="1" min="7" max="7"/>
    <col width="18" customWidth="1" min="8" max="8"/>
    <col width="18" customWidth="1" min="9" max="9"/>
    <col width="30" customWidth="1" min="10" max="10"/>
  </cols>
  <sheetData>
    <row r="1" ht="28" customHeight="1">
      <c r="A1" s="6" t="inlineStr">
        <is>
          <t>Q51 — Expert Review</t>
        </is>
      </c>
      <c r="B1" s="3" t="n"/>
      <c r="C1" s="3" t="n"/>
      <c r="D1" s="3" t="n"/>
      <c r="E1" s="3" t="n"/>
      <c r="F1" s="3" t="n"/>
      <c r="G1" s="3" t="n"/>
      <c r="H1" s="3" t="n"/>
      <c r="I1" s="3" t="n"/>
      <c r="J1" s="3" t="n"/>
    </row>
    <row r="2">
      <c r="A2" s="3" t="n"/>
      <c r="B2" s="3" t="n"/>
      <c r="C2" s="3" t="n"/>
      <c r="D2" s="3" t="n"/>
      <c r="E2" s="3" t="n"/>
      <c r="F2" s="3" t="n"/>
      <c r="G2" s="3" t="n"/>
      <c r="H2" s="3" t="n"/>
      <c r="I2" s="3" t="n"/>
      <c r="J2" s="3" t="n"/>
    </row>
    <row r="3">
      <c r="A3" s="8" t="inlineStr">
        <is>
          <t>Question metadata</t>
        </is>
      </c>
      <c r="B3" s="3" t="n"/>
      <c r="C3" s="3" t="n"/>
      <c r="D3" s="3" t="n"/>
      <c r="E3" s="3" t="n"/>
      <c r="F3" s="3" t="n"/>
      <c r="G3" s="3" t="n"/>
      <c r="H3" s="3" t="n"/>
      <c r="I3" s="3" t="n"/>
      <c r="J3" s="3" t="n"/>
    </row>
    <row r="4">
      <c r="A4" s="9" t="inlineStr">
        <is>
          <t>Question ID</t>
        </is>
      </c>
      <c r="B4" s="3" t="n">
        <v>51</v>
      </c>
      <c r="C4" s="3" t="n"/>
      <c r="D4" s="3" t="n"/>
      <c r="E4" s="3" t="n"/>
      <c r="F4" s="3" t="n"/>
      <c r="G4" s="3" t="n"/>
      <c r="H4" s="3" t="n"/>
      <c r="I4" s="3" t="n"/>
      <c r="J4" s="3" t="n"/>
    </row>
    <row r="5">
      <c r="A5" s="9" t="inlineStr">
        <is>
          <t>Topic</t>
        </is>
      </c>
      <c r="B5" s="3" t="inlineStr">
        <is>
          <t>Dawn raids — personal data</t>
        </is>
      </c>
      <c r="C5" s="3" t="n"/>
      <c r="D5" s="3" t="n"/>
      <c r="E5" s="3" t="n"/>
      <c r="F5" s="3" t="n"/>
      <c r="G5" s="3" t="n"/>
      <c r="H5" s="3" t="n"/>
      <c r="I5" s="3" t="n"/>
      <c r="J5" s="3" t="n"/>
    </row>
    <row r="6">
      <c r="A6" s="9" t="inlineStr">
        <is>
          <t>Scope</t>
        </is>
      </c>
      <c r="B6" s="3" t="inlineStr">
        <is>
          <t>EU</t>
        </is>
      </c>
      <c r="C6" s="3" t="n"/>
      <c r="D6" s="3" t="n"/>
      <c r="E6" s="3" t="n"/>
      <c r="F6" s="3" t="n"/>
      <c r="G6" s="3" t="n"/>
      <c r="H6" s="3" t="n"/>
      <c r="I6" s="3" t="n"/>
      <c r="J6" s="3" t="n"/>
    </row>
    <row r="7">
      <c r="A7" s="9" t="inlineStr">
        <is>
          <t>Original reviewer</t>
        </is>
      </c>
      <c r="B7" s="3" t="inlineStr">
        <is>
          <t>Carolina</t>
        </is>
      </c>
      <c r="C7" s="3" t="n"/>
      <c r="D7" s="3" t="n"/>
      <c r="E7" s="3" t="n"/>
      <c r="F7" s="3" t="n"/>
      <c r="G7" s="3" t="n"/>
      <c r="H7" s="3" t="n"/>
      <c r="I7" s="3" t="n"/>
      <c r="J7" s="3" t="n"/>
    </row>
    <row r="8">
      <c r="A8" s="9" t="inlineStr">
        <is>
          <t>Original status</t>
        </is>
      </c>
      <c r="B8" s="3" t="inlineStr">
        <is>
          <t>Approved</t>
        </is>
      </c>
      <c r="C8" s="3" t="n"/>
      <c r="D8" s="3" t="n"/>
      <c r="E8" s="3" t="n"/>
      <c r="F8" s="3" t="n"/>
      <c r="G8" s="3" t="n"/>
      <c r="H8" s="3" t="n"/>
      <c r="I8" s="3" t="n"/>
      <c r="J8" s="3" t="n"/>
    </row>
    <row r="9">
      <c r="A9" s="3" t="n"/>
      <c r="B9" s="3" t="n"/>
      <c r="C9" s="3" t="n"/>
      <c r="D9" s="3" t="n"/>
      <c r="E9" s="3" t="n"/>
      <c r="F9" s="3" t="n"/>
      <c r="G9" s="3" t="n"/>
      <c r="H9" s="3" t="n"/>
      <c r="I9" s="3" t="n"/>
      <c r="J9" s="3" t="n"/>
    </row>
    <row r="10" ht="45" customHeight="1">
      <c r="A10" s="9" t="inlineStr">
        <is>
          <t>Question</t>
        </is>
      </c>
      <c r="B10" s="3" t="inlineStr">
        <is>
          <t>To what extent may the Commission inspect private correspondence, personal devices and employees’ personal data during a dawn raid, and does the sealed-envelope procedure extend beyond legally privileged material?</t>
        </is>
      </c>
      <c r="C10" s="3" t="n"/>
      <c r="D10" s="3" t="n"/>
      <c r="E10" s="3" t="n"/>
      <c r="F10" s="3" t="n"/>
      <c r="G10" s="3" t="n"/>
      <c r="H10" s="3" t="n"/>
      <c r="I10" s="3" t="n"/>
      <c r="J10" s="3" t="n"/>
    </row>
    <row r="11">
      <c r="A11" s="3" t="n"/>
      <c r="B11" s="3" t="n"/>
      <c r="C11" s="3" t="n"/>
      <c r="D11" s="3" t="n"/>
      <c r="E11" s="3" t="n"/>
      <c r="F11" s="3" t="n"/>
      <c r="G11" s="3" t="n"/>
      <c r="H11" s="3" t="n"/>
      <c r="I11" s="3" t="n"/>
      <c r="J11" s="3" t="n"/>
    </row>
    <row r="12">
      <c r="A12" s="3" t="n"/>
      <c r="B12" s="3" t="n"/>
      <c r="C12" s="3" t="n"/>
      <c r="D12" s="3" t="n"/>
      <c r="E12" s="3" t="n"/>
      <c r="F12" s="3" t="n"/>
      <c r="G12" s="3" t="n"/>
      <c r="H12" s="3" t="n"/>
      <c r="I12" s="3" t="n"/>
      <c r="J12" s="3" t="n"/>
    </row>
    <row r="13">
      <c r="A13" s="3" t="n"/>
      <c r="B13" s="3" t="n"/>
      <c r="C13" s="3" t="n"/>
      <c r="D13" s="3" t="n"/>
      <c r="E13" s="3" t="n"/>
      <c r="F13" s="3" t="n"/>
      <c r="G13" s="3" t="n"/>
      <c r="H13" s="3" t="n"/>
      <c r="I13" s="3" t="n"/>
      <c r="J13" s="3" t="n"/>
    </row>
    <row r="14">
      <c r="A14" s="8" t="inlineStr">
        <is>
          <t>Generated answer</t>
        </is>
      </c>
      <c r="B14" s="3" t="n"/>
      <c r="C14" s="3" t="n"/>
      <c r="D14" s="3" t="n"/>
      <c r="E14" s="3" t="n"/>
      <c r="F14" s="3" t="n"/>
      <c r="G14" s="3" t="n"/>
      <c r="H14" s="3" t="n"/>
      <c r="I14" s="3" t="n"/>
      <c r="J14" s="3" t="n"/>
    </row>
    <row r="15">
      <c r="A15" s="10" t="inlineStr">
        <is>
          <t>Paste the generated answer below.</t>
        </is>
      </c>
      <c r="B15" s="3" t="n"/>
      <c r="C15" s="3" t="n"/>
      <c r="D15" s="3" t="n"/>
      <c r="E15" s="3" t="n"/>
      <c r="F15" s="3" t="n"/>
      <c r="G15" s="3" t="n"/>
      <c r="H15" s="3" t="n"/>
      <c r="I15" s="3" t="n"/>
      <c r="J15" s="3" t="n"/>
    </row>
    <row r="16" ht="90" customHeight="1">
      <c r="A16" s="3" t="inlineStr"/>
      <c r="B16" s="3" t="n"/>
      <c r="C16" s="3" t="n"/>
      <c r="D16" s="3" t="n"/>
      <c r="E16" s="3" t="n"/>
      <c r="F16" s="3" t="n"/>
      <c r="G16" s="3" t="n"/>
      <c r="H16" s="3" t="n"/>
      <c r="I16" s="3" t="n"/>
      <c r="J16" s="3" t="n"/>
    </row>
    <row r="17" ht="30" customHeight="1">
      <c r="A17" s="3" t="n"/>
      <c r="B17" s="3" t="n"/>
      <c r="C17" s="3" t="n"/>
      <c r="D17" s="3" t="n"/>
      <c r="E17" s="3" t="n"/>
      <c r="F17" s="3" t="n"/>
      <c r="G17" s="3" t="n"/>
      <c r="H17" s="3" t="n"/>
      <c r="I17" s="3" t="n"/>
      <c r="J17" s="3" t="n"/>
    </row>
    <row r="18" ht="30" customHeight="1">
      <c r="A18" s="3" t="n"/>
      <c r="B18" s="3" t="n"/>
      <c r="C18" s="3" t="n"/>
      <c r="D18" s="3" t="n"/>
      <c r="E18" s="3" t="n"/>
      <c r="F18" s="3" t="n"/>
      <c r="G18" s="3" t="n"/>
      <c r="H18" s="3" t="n"/>
      <c r="I18" s="3" t="n"/>
      <c r="J18" s="3" t="n"/>
    </row>
    <row r="19">
      <c r="A19" s="9" t="inlineStr">
        <is>
          <t>Run ID</t>
        </is>
      </c>
      <c r="B19" s="3" t="inlineStr"/>
      <c r="C19" s="9" t="inlineStr">
        <is>
          <t>Run date</t>
        </is>
      </c>
      <c r="D19" s="3" t="inlineStr"/>
      <c r="E19" s="9" t="inlineStr">
        <is>
          <t>Model / prompt version</t>
        </is>
      </c>
      <c r="F19" s="3" t="inlineStr"/>
      <c r="G19" s="9" t="inlineStr">
        <is>
          <t>Corpus snapshot</t>
        </is>
      </c>
      <c r="H19" s="3" t="inlineStr"/>
      <c r="I19" s="3" t="n"/>
      <c r="J19" s="3" t="n"/>
    </row>
    <row r="20">
      <c r="A20" s="8" t="inlineStr">
        <is>
          <t>Retrieval set review</t>
        </is>
      </c>
      <c r="B20" s="3" t="n"/>
      <c r="C20" s="3" t="n"/>
      <c r="D20" s="3" t="n"/>
      <c r="E20" s="3" t="n"/>
      <c r="F20" s="3" t="n"/>
      <c r="G20" s="3" t="n"/>
      <c r="H20" s="3" t="n"/>
      <c r="I20" s="3" t="n"/>
      <c r="J20" s="3" t="n"/>
    </row>
    <row r="21">
      <c r="A21" s="11" t="inlineStr">
        <is>
          <t>Rank</t>
        </is>
      </c>
      <c r="B21" s="11" t="inlineStr">
        <is>
          <t>Retrieved source</t>
        </is>
      </c>
      <c r="C21" s="11" t="inlineStr">
        <is>
          <t>Source type</t>
        </is>
      </c>
      <c r="D21" s="11" t="inlineStr">
        <is>
          <t>Jurisdiction</t>
        </is>
      </c>
      <c r="E21" s="11" t="inlineStr">
        <is>
          <t>URL / Document ID</t>
        </is>
      </c>
      <c r="F21" s="11" t="inlineStr">
        <is>
          <t>Returned by engine?</t>
        </is>
      </c>
      <c r="G21" s="11" t="inlineStr">
        <is>
          <t>Required source?</t>
        </is>
      </c>
      <c r="H21" s="11" t="inlineStr">
        <is>
          <t>Trap?</t>
        </is>
      </c>
      <c r="I21" s="11" t="inlineStr">
        <is>
          <t>Expert verdict</t>
        </is>
      </c>
      <c r="J21" s="11" t="inlineStr">
        <is>
          <t>Notes</t>
        </is>
      </c>
    </row>
    <row r="22" ht="44" customHeight="1">
      <c r="A22" s="4" t="n">
        <v>1</v>
      </c>
      <c r="B22" s="4" t="n"/>
      <c r="C22" s="4" t="n"/>
      <c r="D22" s="4" t="n"/>
      <c r="E22" s="4" t="n"/>
      <c r="F22" s="4" t="n"/>
      <c r="G22" s="4" t="n"/>
      <c r="H22" s="4" t="n"/>
      <c r="I22" s="4" t="n"/>
      <c r="J22" s="4" t="n"/>
    </row>
    <row r="23" ht="44" customHeight="1">
      <c r="A23" s="4" t="n">
        <v>2</v>
      </c>
      <c r="B23" s="4" t="n"/>
      <c r="C23" s="4" t="n"/>
      <c r="D23" s="4" t="n"/>
      <c r="E23" s="4" t="n"/>
      <c r="F23" s="4" t="n"/>
      <c r="G23" s="4" t="n"/>
      <c r="H23" s="4" t="n"/>
      <c r="I23" s="4" t="n"/>
      <c r="J23" s="4" t="n"/>
    </row>
    <row r="24" ht="44" customHeight="1">
      <c r="A24" s="4" t="n">
        <v>3</v>
      </c>
      <c r="B24" s="4" t="n"/>
      <c r="C24" s="4" t="n"/>
      <c r="D24" s="4" t="n"/>
      <c r="E24" s="4" t="n"/>
      <c r="F24" s="4" t="n"/>
      <c r="G24" s="4" t="n"/>
      <c r="H24" s="4" t="n"/>
      <c r="I24" s="4" t="n"/>
      <c r="J24" s="4" t="n"/>
    </row>
    <row r="25" ht="44" customHeight="1">
      <c r="A25" s="4" t="n">
        <v>4</v>
      </c>
      <c r="B25" s="4" t="n"/>
      <c r="C25" s="4" t="n"/>
      <c r="D25" s="4" t="n"/>
      <c r="E25" s="4" t="n"/>
      <c r="F25" s="4" t="n"/>
      <c r="G25" s="4" t="n"/>
      <c r="H25" s="4" t="n"/>
      <c r="I25" s="4" t="n"/>
      <c r="J25" s="4" t="n"/>
    </row>
    <row r="26" ht="44" customHeight="1">
      <c r="A26" s="4" t="n">
        <v>5</v>
      </c>
      <c r="B26" s="4" t="n"/>
      <c r="C26" s="4" t="n"/>
      <c r="D26" s="4" t="n"/>
      <c r="E26" s="4" t="n"/>
      <c r="F26" s="4" t="n"/>
      <c r="G26" s="4" t="n"/>
      <c r="H26" s="4" t="n"/>
      <c r="I26" s="4" t="n"/>
      <c r="J26" s="4" t="n"/>
    </row>
    <row r="27" ht="44" customHeight="1">
      <c r="A27" s="4" t="n">
        <v>6</v>
      </c>
      <c r="B27" s="4" t="n"/>
      <c r="C27" s="4" t="n"/>
      <c r="D27" s="4" t="n"/>
      <c r="E27" s="4" t="n"/>
      <c r="F27" s="4" t="n"/>
      <c r="G27" s="4" t="n"/>
      <c r="H27" s="4" t="n"/>
      <c r="I27" s="4" t="n"/>
      <c r="J27" s="4" t="n"/>
    </row>
    <row r="28" ht="44" customHeight="1">
      <c r="A28" s="4" t="n">
        <v>7</v>
      </c>
      <c r="B28" s="4" t="n"/>
      <c r="C28" s="4" t="n"/>
      <c r="D28" s="4" t="n"/>
      <c r="E28" s="4" t="n"/>
      <c r="F28" s="4" t="n"/>
      <c r="G28" s="4" t="n"/>
      <c r="H28" s="4" t="n"/>
      <c r="I28" s="4" t="n"/>
      <c r="J28" s="4" t="n"/>
    </row>
    <row r="29" ht="44" customHeight="1">
      <c r="A29" s="4" t="n">
        <v>8</v>
      </c>
      <c r="B29" s="4" t="n"/>
      <c r="C29" s="4" t="n"/>
      <c r="D29" s="4" t="n"/>
      <c r="E29" s="4" t="n"/>
      <c r="F29" s="4" t="n"/>
      <c r="G29" s="4" t="n"/>
      <c r="H29" s="4" t="n"/>
      <c r="I29" s="4" t="n"/>
      <c r="J29" s="4" t="n"/>
    </row>
    <row r="30" ht="44" customHeight="1">
      <c r="A30" s="4" t="n">
        <v>9</v>
      </c>
      <c r="B30" s="4" t="n"/>
      <c r="C30" s="4" t="n"/>
      <c r="D30" s="4" t="n"/>
      <c r="E30" s="4" t="n"/>
      <c r="F30" s="4" t="n"/>
      <c r="G30" s="4" t="n"/>
      <c r="H30" s="4" t="n"/>
      <c r="I30" s="4" t="n"/>
      <c r="J30" s="4" t="n"/>
    </row>
    <row r="31" ht="44" customHeight="1">
      <c r="A31" s="4" t="n">
        <v>10</v>
      </c>
      <c r="B31" s="4" t="n"/>
      <c r="C31" s="4" t="n"/>
      <c r="D31" s="4" t="n"/>
      <c r="E31" s="4" t="n"/>
      <c r="F31" s="4" t="n"/>
      <c r="G31" s="4" t="n"/>
      <c r="H31" s="4" t="n"/>
      <c r="I31" s="4" t="n"/>
      <c r="J31" s="4" t="n"/>
    </row>
    <row r="32" ht="44" customHeight="1">
      <c r="A32" s="4" t="n">
        <v>11</v>
      </c>
      <c r="B32" s="4" t="n"/>
      <c r="C32" s="4" t="n"/>
      <c r="D32" s="4" t="n"/>
      <c r="E32" s="4" t="n"/>
      <c r="F32" s="4" t="n"/>
      <c r="G32" s="4" t="n"/>
      <c r="H32" s="4" t="n"/>
      <c r="I32" s="4" t="n"/>
      <c r="J32" s="4" t="n"/>
    </row>
    <row r="33" ht="44" customHeight="1">
      <c r="A33" s="4" t="n">
        <v>12</v>
      </c>
      <c r="B33" s="4" t="n"/>
      <c r="C33" s="4" t="n"/>
      <c r="D33" s="4" t="n"/>
      <c r="E33" s="4" t="n"/>
      <c r="F33" s="4" t="n"/>
      <c r="G33" s="4" t="n"/>
      <c r="H33" s="4" t="n"/>
      <c r="I33" s="4" t="n"/>
      <c r="J33" s="4" t="n"/>
    </row>
    <row r="34" ht="44" customHeight="1">
      <c r="A34" s="4" t="n">
        <v>13</v>
      </c>
      <c r="B34" s="4" t="n"/>
      <c r="C34" s="4" t="n"/>
      <c r="D34" s="4" t="n"/>
      <c r="E34" s="4" t="n"/>
      <c r="F34" s="4" t="n"/>
      <c r="G34" s="4" t="n"/>
      <c r="H34" s="4" t="n"/>
      <c r="I34" s="4" t="n"/>
      <c r="J34" s="4" t="n"/>
    </row>
    <row r="35" ht="44" customHeight="1">
      <c r="A35" s="4" t="n">
        <v>14</v>
      </c>
      <c r="B35" s="4" t="n"/>
      <c r="C35" s="4" t="n"/>
      <c r="D35" s="4" t="n"/>
      <c r="E35" s="4" t="n"/>
      <c r="F35" s="4" t="n"/>
      <c r="G35" s="4" t="n"/>
      <c r="H35" s="4" t="n"/>
      <c r="I35" s="4" t="n"/>
      <c r="J35" s="4" t="n"/>
    </row>
    <row r="36" ht="44" customHeight="1">
      <c r="A36" s="4" t="n">
        <v>15</v>
      </c>
      <c r="B36" s="4" t="n"/>
      <c r="C36" s="4" t="n"/>
      <c r="D36" s="4" t="n"/>
      <c r="E36" s="4" t="n"/>
      <c r="F36" s="4" t="n"/>
      <c r="G36" s="4" t="n"/>
      <c r="H36" s="4" t="n"/>
      <c r="I36" s="4" t="n"/>
      <c r="J36" s="4" t="n"/>
    </row>
    <row r="37">
      <c r="A37" s="3" t="n"/>
      <c r="B37" s="3" t="n"/>
      <c r="C37" s="3" t="n"/>
      <c r="D37" s="3" t="n"/>
      <c r="E37" s="3" t="n"/>
      <c r="F37" s="3" t="n"/>
      <c r="G37" s="3" t="n"/>
      <c r="H37" s="3" t="n"/>
      <c r="I37" s="3" t="n"/>
      <c r="J37" s="3" t="n"/>
    </row>
    <row r="38">
      <c r="A38" s="8" t="inlineStr">
        <is>
          <t>Claim-by-claim review</t>
        </is>
      </c>
      <c r="B38" s="3" t="n"/>
      <c r="C38" s="3" t="n"/>
      <c r="D38" s="3" t="n"/>
      <c r="E38" s="3" t="n"/>
      <c r="F38" s="3" t="n"/>
      <c r="G38" s="3" t="n"/>
      <c r="H38" s="3" t="n"/>
      <c r="I38" s="3" t="n"/>
      <c r="J38" s="3" t="n"/>
    </row>
    <row r="39">
      <c r="A39" s="11" t="inlineStr">
        <is>
          <t>Claim ID</t>
        </is>
      </c>
      <c r="B39" s="11" t="inlineStr">
        <is>
          <t>Claim from answer</t>
        </is>
      </c>
      <c r="C39" s="11" t="inlineStr">
        <is>
          <t>Citation used</t>
        </is>
      </c>
      <c r="D39" s="11" t="inlineStr">
        <is>
          <t>Expert verdict</t>
        </is>
      </c>
      <c r="E39" s="11" t="inlineStr">
        <is>
          <t>Issue type</t>
        </is>
      </c>
      <c r="F39" s="11" t="inlineStr">
        <is>
          <t>Cited passage / source note</t>
        </is>
      </c>
      <c r="G39" s="11" t="inlineStr">
        <is>
          <t>Required fix / comment</t>
        </is>
      </c>
      <c r="H39" s="11" t="inlineStr">
        <is>
          <t>Reviewer</t>
        </is>
      </c>
      <c r="I39" s="11" t="n"/>
      <c r="J39" s="11" t="n"/>
    </row>
    <row r="40" ht="54" customHeight="1">
      <c r="A40" s="4" t="n">
        <v>1</v>
      </c>
      <c r="B40" s="4" t="n"/>
      <c r="C40" s="4" t="n"/>
      <c r="D40" s="4" t="n"/>
      <c r="E40" s="4" t="n"/>
      <c r="F40" s="4" t="n"/>
      <c r="G40" s="4" t="n"/>
      <c r="H40" s="4" t="n"/>
      <c r="I40" s="3" t="n"/>
      <c r="J40" s="3" t="n"/>
    </row>
    <row r="41" ht="54" customHeight="1">
      <c r="A41" s="4" t="n">
        <v>2</v>
      </c>
      <c r="B41" s="4" t="n"/>
      <c r="C41" s="4" t="n"/>
      <c r="D41" s="4" t="n"/>
      <c r="E41" s="4" t="n"/>
      <c r="F41" s="4" t="n"/>
      <c r="G41" s="4" t="n"/>
      <c r="H41" s="4" t="n"/>
      <c r="I41" s="3" t="n"/>
      <c r="J41" s="3" t="n"/>
    </row>
    <row r="42" ht="54" customHeight="1">
      <c r="A42" s="4" t="n">
        <v>3</v>
      </c>
      <c r="B42" s="4" t="n"/>
      <c r="C42" s="4" t="n"/>
      <c r="D42" s="4" t="n"/>
      <c r="E42" s="4" t="n"/>
      <c r="F42" s="4" t="n"/>
      <c r="G42" s="4" t="n"/>
      <c r="H42" s="4" t="n"/>
      <c r="I42" s="3" t="n"/>
      <c r="J42" s="3" t="n"/>
    </row>
    <row r="43" ht="54" customHeight="1">
      <c r="A43" s="4" t="n">
        <v>4</v>
      </c>
      <c r="B43" s="4" t="n"/>
      <c r="C43" s="4" t="n"/>
      <c r="D43" s="4" t="n"/>
      <c r="E43" s="4" t="n"/>
      <c r="F43" s="4" t="n"/>
      <c r="G43" s="4" t="n"/>
      <c r="H43" s="4" t="n"/>
      <c r="I43" s="3" t="n"/>
      <c r="J43" s="3" t="n"/>
    </row>
    <row r="44" ht="54" customHeight="1">
      <c r="A44" s="4" t="n">
        <v>5</v>
      </c>
      <c r="B44" s="4" t="n"/>
      <c r="C44" s="4" t="n"/>
      <c r="D44" s="4" t="n"/>
      <c r="E44" s="4" t="n"/>
      <c r="F44" s="4" t="n"/>
      <c r="G44" s="4" t="n"/>
      <c r="H44" s="4" t="n"/>
      <c r="I44" s="3" t="n"/>
      <c r="J44" s="3" t="n"/>
    </row>
    <row r="45" ht="54" customHeight="1">
      <c r="A45" s="4" t="n">
        <v>6</v>
      </c>
      <c r="B45" s="4" t="n"/>
      <c r="C45" s="4" t="n"/>
      <c r="D45" s="4" t="n"/>
      <c r="E45" s="4" t="n"/>
      <c r="F45" s="4" t="n"/>
      <c r="G45" s="4" t="n"/>
      <c r="H45" s="4" t="n"/>
      <c r="I45" s="3" t="n"/>
      <c r="J45" s="3" t="n"/>
    </row>
    <row r="46" ht="54" customHeight="1">
      <c r="A46" s="4" t="n">
        <v>7</v>
      </c>
      <c r="B46" s="4" t="n"/>
      <c r="C46" s="4" t="n"/>
      <c r="D46" s="4" t="n"/>
      <c r="E46" s="4" t="n"/>
      <c r="F46" s="4" t="n"/>
      <c r="G46" s="4" t="n"/>
      <c r="H46" s="4" t="n"/>
      <c r="I46" s="3" t="n"/>
      <c r="J46" s="3" t="n"/>
    </row>
    <row r="47" ht="54" customHeight="1">
      <c r="A47" s="4" t="n">
        <v>8</v>
      </c>
      <c r="B47" s="4" t="n"/>
      <c r="C47" s="4" t="n"/>
      <c r="D47" s="4" t="n"/>
      <c r="E47" s="4" t="n"/>
      <c r="F47" s="4" t="n"/>
      <c r="G47" s="4" t="n"/>
      <c r="H47" s="4" t="n"/>
      <c r="I47" s="3" t="n"/>
      <c r="J47" s="3" t="n"/>
    </row>
    <row r="48" ht="54" customHeight="1">
      <c r="A48" s="4" t="n">
        <v>9</v>
      </c>
      <c r="B48" s="4" t="n"/>
      <c r="C48" s="4" t="n"/>
      <c r="D48" s="4" t="n"/>
      <c r="E48" s="4" t="n"/>
      <c r="F48" s="4" t="n"/>
      <c r="G48" s="4" t="n"/>
      <c r="H48" s="4" t="n"/>
      <c r="I48" s="3" t="n"/>
      <c r="J48" s="3" t="n"/>
    </row>
    <row r="49" ht="54" customHeight="1">
      <c r="A49" s="4" t="n">
        <v>10</v>
      </c>
      <c r="B49" s="4" t="n"/>
      <c r="C49" s="4" t="n"/>
      <c r="D49" s="4" t="n"/>
      <c r="E49" s="4" t="n"/>
      <c r="F49" s="4" t="n"/>
      <c r="G49" s="4" t="n"/>
      <c r="H49" s="4" t="n"/>
      <c r="I49" s="3" t="n"/>
      <c r="J49" s="3" t="n"/>
    </row>
    <row r="50" ht="54" customHeight="1">
      <c r="A50" s="4" t="n">
        <v>11</v>
      </c>
      <c r="B50" s="4" t="n"/>
      <c r="C50" s="4" t="n"/>
      <c r="D50" s="4" t="n"/>
      <c r="E50" s="4" t="n"/>
      <c r="F50" s="4" t="n"/>
      <c r="G50" s="4" t="n"/>
      <c r="H50" s="4" t="n"/>
      <c r="I50" s="3" t="n"/>
      <c r="J50" s="3" t="n"/>
    </row>
    <row r="51" ht="54" customHeight="1">
      <c r="A51" s="4" t="n">
        <v>12</v>
      </c>
      <c r="B51" s="4" t="n"/>
      <c r="C51" s="4" t="n"/>
      <c r="D51" s="4" t="n"/>
      <c r="E51" s="4" t="n"/>
      <c r="F51" s="4" t="n"/>
      <c r="G51" s="4" t="n"/>
      <c r="H51" s="4" t="n"/>
      <c r="I51" s="3" t="n"/>
      <c r="J51" s="3" t="n"/>
    </row>
    <row r="52" ht="54" customHeight="1">
      <c r="A52" s="4" t="n">
        <v>13</v>
      </c>
      <c r="B52" s="4" t="n"/>
      <c r="C52" s="4" t="n"/>
      <c r="D52" s="4" t="n"/>
      <c r="E52" s="4" t="n"/>
      <c r="F52" s="4" t="n"/>
      <c r="G52" s="4" t="n"/>
      <c r="H52" s="4" t="n"/>
      <c r="I52" s="3" t="n"/>
      <c r="J52" s="3" t="n"/>
    </row>
    <row r="53" ht="54" customHeight="1">
      <c r="A53" s="4" t="n">
        <v>14</v>
      </c>
      <c r="B53" s="4" t="n"/>
      <c r="C53" s="4" t="n"/>
      <c r="D53" s="4" t="n"/>
      <c r="E53" s="4" t="n"/>
      <c r="F53" s="4" t="n"/>
      <c r="G53" s="4" t="n"/>
      <c r="H53" s="4" t="n"/>
      <c r="I53" s="3" t="n"/>
      <c r="J53" s="3" t="n"/>
    </row>
    <row r="54" ht="54" customHeight="1">
      <c r="A54" s="4" t="n">
        <v>15</v>
      </c>
      <c r="B54" s="4" t="n"/>
      <c r="C54" s="4" t="n"/>
      <c r="D54" s="4" t="n"/>
      <c r="E54" s="4" t="n"/>
      <c r="F54" s="4" t="n"/>
      <c r="G54" s="4" t="n"/>
      <c r="H54" s="4" t="n"/>
      <c r="I54" s="3" t="n"/>
      <c r="J54" s="3" t="n"/>
    </row>
    <row r="55" ht="54" customHeight="1">
      <c r="A55" s="4" t="n">
        <v>16</v>
      </c>
      <c r="B55" s="4" t="n"/>
      <c r="C55" s="4" t="n"/>
      <c r="D55" s="4" t="n"/>
      <c r="E55" s="4" t="n"/>
      <c r="F55" s="4" t="n"/>
      <c r="G55" s="4" t="n"/>
      <c r="H55" s="4" t="n"/>
      <c r="I55" s="3" t="n"/>
      <c r="J55" s="3" t="n"/>
    </row>
    <row r="56" ht="54" customHeight="1">
      <c r="A56" s="4" t="n">
        <v>17</v>
      </c>
      <c r="B56" s="4" t="n"/>
      <c r="C56" s="4" t="n"/>
      <c r="D56" s="4" t="n"/>
      <c r="E56" s="4" t="n"/>
      <c r="F56" s="4" t="n"/>
      <c r="G56" s="4" t="n"/>
      <c r="H56" s="4" t="n"/>
      <c r="I56" s="3" t="n"/>
      <c r="J56" s="3" t="n"/>
    </row>
    <row r="57" ht="54" customHeight="1">
      <c r="A57" s="4" t="n">
        <v>18</v>
      </c>
      <c r="B57" s="4" t="n"/>
      <c r="C57" s="4" t="n"/>
      <c r="D57" s="4" t="n"/>
      <c r="E57" s="4" t="n"/>
      <c r="F57" s="4" t="n"/>
      <c r="G57" s="4" t="n"/>
      <c r="H57" s="4" t="n"/>
      <c r="I57" s="3" t="n"/>
      <c r="J57" s="3" t="n"/>
    </row>
    <row r="58" ht="54" customHeight="1">
      <c r="A58" s="4" t="n">
        <v>19</v>
      </c>
      <c r="B58" s="4" t="n"/>
      <c r="C58" s="4" t="n"/>
      <c r="D58" s="4" t="n"/>
      <c r="E58" s="4" t="n"/>
      <c r="F58" s="4" t="n"/>
      <c r="G58" s="4" t="n"/>
      <c r="H58" s="4" t="n"/>
      <c r="I58" s="3" t="n"/>
      <c r="J58" s="3" t="n"/>
    </row>
    <row r="59" ht="54" customHeight="1">
      <c r="A59" s="4" t="n">
        <v>20</v>
      </c>
      <c r="B59" s="4" t="n"/>
      <c r="C59" s="4" t="n"/>
      <c r="D59" s="4" t="n"/>
      <c r="E59" s="4" t="n"/>
      <c r="F59" s="4" t="n"/>
      <c r="G59" s="4" t="n"/>
      <c r="H59" s="4" t="n"/>
      <c r="I59" s="3" t="n"/>
      <c r="J59" s="3" t="n"/>
    </row>
    <row r="60">
      <c r="A60" s="3" t="n"/>
      <c r="B60" s="3" t="n"/>
      <c r="C60" s="3" t="n"/>
      <c r="D60" s="3" t="n"/>
      <c r="E60" s="3" t="n"/>
      <c r="F60" s="3" t="n"/>
      <c r="G60" s="3" t="n"/>
      <c r="H60" s="3" t="n"/>
      <c r="I60" s="3" t="n"/>
      <c r="J60" s="3" t="n"/>
    </row>
    <row r="61">
      <c r="A61" s="8" t="inlineStr">
        <is>
          <t>Final expert verdict</t>
        </is>
      </c>
      <c r="B61" s="3" t="n"/>
      <c r="C61" s="3" t="n"/>
      <c r="D61" s="3" t="n"/>
      <c r="E61" s="3" t="n"/>
      <c r="F61" s="3" t="n"/>
      <c r="G61" s="3" t="n"/>
      <c r="H61" s="3" t="n"/>
      <c r="I61" s="3" t="n"/>
      <c r="J61" s="3" t="n"/>
    </row>
    <row r="62">
      <c r="A62" s="12" t="inlineStr">
        <is>
          <t>Is the answer acceptable?</t>
        </is>
      </c>
      <c r="B62" s="4" t="inlineStr"/>
      <c r="C62" s="4" t="n"/>
      <c r="D62" s="4" t="n"/>
      <c r="E62" s="4" t="n"/>
      <c r="F62" s="4" t="n"/>
      <c r="G62" s="4" t="n"/>
      <c r="H62" s="4" t="n"/>
      <c r="I62" s="3" t="n"/>
      <c r="J62" s="3" t="n"/>
    </row>
    <row r="63" ht="54" customHeight="1">
      <c r="A63" s="12" t="inlineStr">
        <is>
          <t>Overall comment / required fixes</t>
        </is>
      </c>
      <c r="B63" s="4" t="n"/>
      <c r="C63" s="4" t="n"/>
      <c r="D63" s="4" t="n"/>
      <c r="E63" s="4" t="n"/>
      <c r="F63" s="4" t="n"/>
      <c r="G63" s="4" t="n"/>
      <c r="H63" s="4" t="n"/>
      <c r="I63" s="3" t="n"/>
      <c r="J63" s="3" t="n"/>
    </row>
    <row r="64">
      <c r="A64" s="4" t="n"/>
      <c r="B64" s="4" t="n"/>
      <c r="C64" s="4" t="n"/>
      <c r="D64" s="4" t="n"/>
      <c r="E64" s="4" t="n"/>
      <c r="F64" s="4" t="n"/>
      <c r="G64" s="4" t="n"/>
      <c r="H64" s="4" t="n"/>
      <c r="I64" s="3" t="n"/>
      <c r="J64" s="3" t="n"/>
    </row>
    <row r="65">
      <c r="A65" s="12" t="inlineStr">
        <is>
          <t>Missing key sources?</t>
        </is>
      </c>
      <c r="B65" s="4" t="n"/>
      <c r="C65" s="4" t="n"/>
      <c r="D65" s="4" t="n"/>
      <c r="E65" s="4" t="n"/>
      <c r="F65" s="4" t="n"/>
      <c r="G65" s="4" t="n"/>
      <c r="H65" s="4" t="n"/>
      <c r="I65" s="3" t="n"/>
      <c r="J65" s="3" t="n"/>
    </row>
    <row r="66">
      <c r="A66" s="12" t="inlineStr">
        <is>
          <t>Review completed?</t>
        </is>
      </c>
      <c r="B66" s="4" t="inlineStr"/>
      <c r="C66" s="4" t="n"/>
      <c r="D66" s="4" t="n"/>
      <c r="E66" s="4" t="n"/>
      <c r="F66" s="4" t="n"/>
      <c r="G66" s="4" t="n"/>
      <c r="H66" s="4" t="n"/>
      <c r="I66" s="3" t="n"/>
      <c r="J66" s="3" t="n"/>
    </row>
    <row r="67">
      <c r="A67" s="12" t="inlineStr">
        <is>
          <t>Reviewer</t>
        </is>
      </c>
      <c r="B67" s="4" t="n"/>
      <c r="C67" s="12" t="inlineStr">
        <is>
          <t>Review date</t>
        </is>
      </c>
      <c r="D67" s="5" t="inlineStr"/>
      <c r="E67" s="4" t="n"/>
      <c r="F67" s="4" t="n"/>
      <c r="G67" s="4" t="n"/>
      <c r="H67" s="4" t="n"/>
      <c r="I67" s="3" t="n"/>
      <c r="J67" s="3" t="n"/>
    </row>
    <row r="68">
      <c r="A68" s="3" t="n"/>
      <c r="B68" s="3" t="n"/>
      <c r="C68" s="3" t="n"/>
      <c r="D68" s="3" t="n"/>
      <c r="E68" s="3" t="n"/>
      <c r="F68" s="3" t="n"/>
      <c r="G68" s="3" t="n"/>
      <c r="H68" s="3" t="n"/>
      <c r="I68" s="3" t="n"/>
      <c r="J68" s="3" t="n"/>
    </row>
    <row r="69">
      <c r="A69" s="8" t="inlineStr">
        <is>
          <t>Original source notes</t>
        </is>
      </c>
      <c r="B69" s="3" t="n"/>
      <c r="C69" s="3" t="n"/>
      <c r="D69" s="3" t="n"/>
      <c r="E69" s="3" t="n"/>
      <c r="F69" s="3" t="n"/>
      <c r="G69" s="3" t="n"/>
      <c r="H69" s="3" t="n"/>
      <c r="I69" s="3" t="n"/>
      <c r="J69" s="3" t="n"/>
    </row>
    <row r="70">
      <c r="A70" s="12" t="inlineStr">
        <is>
          <t>WAB notes</t>
        </is>
      </c>
      <c r="B70" s="4" t="inlineStr">
        <is>
          <t>Wider version of question 16, added following Carolina’s request to keep both.</t>
        </is>
      </c>
      <c r="C70" s="4" t="n"/>
      <c r="D70" s="4" t="n"/>
      <c r="E70" s="4" t="n"/>
      <c r="F70" s="4" t="n"/>
      <c r="G70" s="4" t="n"/>
      <c r="H70" s="4" t="n"/>
      <c r="I70" s="3" t="n"/>
      <c r="J70" s="3" t="n"/>
    </row>
    <row r="71" ht="54" customHeight="1">
      <c r="A71" s="12" t="inlineStr">
        <is>
          <t>Reviewer notes from question approval</t>
        </is>
      </c>
      <c r="B71" s="4" t="inlineStr">
        <is>
          <t>agreed.</t>
        </is>
      </c>
      <c r="C71" s="4" t="n"/>
      <c r="D71" s="4" t="n"/>
      <c r="E71" s="4" t="n"/>
      <c r="F71" s="4" t="n"/>
      <c r="G71" s="4" t="n"/>
      <c r="H71" s="4" t="n"/>
      <c r="I71" s="3" t="n"/>
      <c r="J71" s="3" t="n"/>
    </row>
    <row r="72">
      <c r="A72" s="4" t="n"/>
      <c r="B72" s="4" t="n"/>
      <c r="C72" s="4" t="n"/>
      <c r="D72" s="4" t="n"/>
      <c r="E72" s="4" t="n"/>
      <c r="F72" s="4" t="n"/>
      <c r="G72" s="4" t="n"/>
      <c r="H72" s="4" t="n"/>
      <c r="I72" s="3" t="n"/>
      <c r="J72" s="3" t="n"/>
    </row>
  </sheetData>
  <autoFilter ref="A21:J36"/>
  <mergeCells count="20">
    <mergeCell ref="B65:H65"/>
    <mergeCell ref="B71:H72"/>
    <mergeCell ref="B6:H6"/>
    <mergeCell ref="A20:J20"/>
    <mergeCell ref="A1:H1"/>
    <mergeCell ref="B5:H5"/>
    <mergeCell ref="A61:H61"/>
    <mergeCell ref="A69:H69"/>
    <mergeCell ref="B4:H4"/>
    <mergeCell ref="B62:H62"/>
    <mergeCell ref="B7:H7"/>
    <mergeCell ref="B66:H66"/>
    <mergeCell ref="A3:H3"/>
    <mergeCell ref="A16:H18"/>
    <mergeCell ref="B70:H70"/>
    <mergeCell ref="A14:H14"/>
    <mergeCell ref="B63:H64"/>
    <mergeCell ref="B8:H8"/>
    <mergeCell ref="B10:H12"/>
    <mergeCell ref="A38:H38"/>
  </mergeCells>
  <dataValidations count="9">
    <dataValidation sqref="C22:C36" showDropDown="0" showInputMessage="0" showErrorMessage="0" allowBlank="1" type="list">
      <formula1>=Lists!$F$2:$F$5</formula1>
    </dataValidation>
    <dataValidation sqref="F22:F36" showDropDown="0" showInputMessage="0" showErrorMessage="0" allowBlank="1" type="list">
      <formula1>=Lists!$G$2:$G$4</formula1>
    </dataValidation>
    <dataValidation sqref="G22:G36" showDropDown="0" showInputMessage="0" showErrorMessage="0" allowBlank="1" type="list">
      <formula1>=Lists!$G$2:$G$4</formula1>
    </dataValidation>
    <dataValidation sqref="H22:H36" showDropDown="0" showInputMessage="0" showErrorMessage="0" allowBlank="1" type="list">
      <formula1>=Lists!$G$2:$G$4</formula1>
    </dataValidation>
    <dataValidation sqref="I22:I36" showDropDown="0" showInputMessage="0" showErrorMessage="0" allowBlank="1" type="list">
      <formula1>=Lists!$H$2:$H$6</formula1>
    </dataValidation>
    <dataValidation sqref="D40:D59" showDropDown="0" showInputMessage="0" showErrorMessage="0" allowBlank="1" type="list">
      <formula1>=Lists!$D$2:$D$7</formula1>
    </dataValidation>
    <dataValidation sqref="E40:E59" showDropDown="0" showInputMessage="0" showErrorMessage="0" allowBlank="1" type="list">
      <formula1>=Lists!$E$2:$E$8</formula1>
    </dataValidation>
    <dataValidation sqref="B62" showDropDown="0" showInputMessage="0" showErrorMessage="0" allowBlank="1" type="list">
      <formula1>=Lists!$C$2:$C$4</formula1>
    </dataValidation>
    <dataValidation sqref="B66" showDropDown="0" showInputMessage="0" showErrorMessage="0" allowBlank="1" type="list">
      <formula1>=Lists!$A$2:$A$3</formula1>
    </dataValidation>
  </dataValidations>
  <pageMargins left="0.75" right="0.75" top="1" bottom="1" header="0.5" footer="0.5"/>
</worksheet>
</file>

<file path=xl/worksheets/sheet46.xml><?xml version="1.0" encoding="utf-8"?>
<worksheet xmlns="http://schemas.openxmlformats.org/spreadsheetml/2006/main">
  <sheetPr>
    <outlinePr summaryBelow="1" summaryRight="1"/>
    <pageSetUpPr/>
  </sheetPr>
  <dimension ref="A1:J72"/>
  <sheetViews>
    <sheetView showGridLines="0" workbookViewId="0">
      <pane ySplit="21" topLeftCell="A22" activePane="bottomLeft" state="frozen"/>
      <selection pane="bottomLeft" activeCell="A1" sqref="A1"/>
    </sheetView>
  </sheetViews>
  <sheetFormatPr baseColWidth="8" defaultRowHeight="15"/>
  <cols>
    <col width="12" customWidth="1" min="1" max="1"/>
    <col width="34" customWidth="1" min="2" max="2"/>
    <col width="22" customWidth="1" min="3" max="3"/>
    <col width="18" customWidth="1" min="4" max="4"/>
    <col width="20" customWidth="1" min="5" max="5"/>
    <col width="30" customWidth="1" min="6" max="6"/>
    <col width="34" customWidth="1" min="7" max="7"/>
    <col width="18" customWidth="1" min="8" max="8"/>
    <col width="18" customWidth="1" min="9" max="9"/>
    <col width="30" customWidth="1" min="10" max="10"/>
  </cols>
  <sheetData>
    <row r="1" ht="28" customHeight="1">
      <c r="A1" s="6" t="inlineStr">
        <is>
          <t>Q52 — Expert Review</t>
        </is>
      </c>
      <c r="B1" s="3" t="n"/>
      <c r="C1" s="3" t="n"/>
      <c r="D1" s="3" t="n"/>
      <c r="E1" s="3" t="n"/>
      <c r="F1" s="3" t="n"/>
      <c r="G1" s="3" t="n"/>
      <c r="H1" s="3" t="n"/>
      <c r="I1" s="3" t="n"/>
      <c r="J1" s="3" t="n"/>
    </row>
    <row r="2">
      <c r="A2" s="3" t="n"/>
      <c r="B2" s="3" t="n"/>
      <c r="C2" s="3" t="n"/>
      <c r="D2" s="3" t="n"/>
      <c r="E2" s="3" t="n"/>
      <c r="F2" s="3" t="n"/>
      <c r="G2" s="3" t="n"/>
      <c r="H2" s="3" t="n"/>
      <c r="I2" s="3" t="n"/>
      <c r="J2" s="3" t="n"/>
    </row>
    <row r="3">
      <c r="A3" s="8" t="inlineStr">
        <is>
          <t>Question metadata</t>
        </is>
      </c>
      <c r="B3" s="3" t="n"/>
      <c r="C3" s="3" t="n"/>
      <c r="D3" s="3" t="n"/>
      <c r="E3" s="3" t="n"/>
      <c r="F3" s="3" t="n"/>
      <c r="G3" s="3" t="n"/>
      <c r="H3" s="3" t="n"/>
      <c r="I3" s="3" t="n"/>
      <c r="J3" s="3" t="n"/>
    </row>
    <row r="4">
      <c r="A4" s="9" t="inlineStr">
        <is>
          <t>Question ID</t>
        </is>
      </c>
      <c r="B4" s="3" t="n">
        <v>52</v>
      </c>
      <c r="C4" s="3" t="n"/>
      <c r="D4" s="3" t="n"/>
      <c r="E4" s="3" t="n"/>
      <c r="F4" s="3" t="n"/>
      <c r="G4" s="3" t="n"/>
      <c r="H4" s="3" t="n"/>
      <c r="I4" s="3" t="n"/>
      <c r="J4" s="3" t="n"/>
    </row>
    <row r="5">
      <c r="A5" s="9" t="inlineStr">
        <is>
          <t>Topic</t>
        </is>
      </c>
      <c r="B5" s="3" t="inlineStr">
        <is>
          <t>Dawn raids — legal professional privilege</t>
        </is>
      </c>
      <c r="C5" s="3" t="n"/>
      <c r="D5" s="3" t="n"/>
      <c r="E5" s="3" t="n"/>
      <c r="F5" s="3" t="n"/>
      <c r="G5" s="3" t="n"/>
      <c r="H5" s="3" t="n"/>
      <c r="I5" s="3" t="n"/>
      <c r="J5" s="3" t="n"/>
    </row>
    <row r="6">
      <c r="A6" s="9" t="inlineStr">
        <is>
          <t>Scope</t>
        </is>
      </c>
      <c r="B6" s="3" t="inlineStr">
        <is>
          <t>France</t>
        </is>
      </c>
      <c r="C6" s="3" t="n"/>
      <c r="D6" s="3" t="n"/>
      <c r="E6" s="3" t="n"/>
      <c r="F6" s="3" t="n"/>
      <c r="G6" s="3" t="n"/>
      <c r="H6" s="3" t="n"/>
      <c r="I6" s="3" t="n"/>
      <c r="J6" s="3" t="n"/>
    </row>
    <row r="7">
      <c r="A7" s="9" t="inlineStr">
        <is>
          <t>Original reviewer</t>
        </is>
      </c>
      <c r="B7" s="3" t="inlineStr">
        <is>
          <t>Carolina</t>
        </is>
      </c>
      <c r="C7" s="3" t="n"/>
      <c r="D7" s="3" t="n"/>
      <c r="E7" s="3" t="n"/>
      <c r="F7" s="3" t="n"/>
      <c r="G7" s="3" t="n"/>
      <c r="H7" s="3" t="n"/>
      <c r="I7" s="3" t="n"/>
      <c r="J7" s="3" t="n"/>
    </row>
    <row r="8">
      <c r="A8" s="9" t="inlineStr">
        <is>
          <t>Original status</t>
        </is>
      </c>
      <c r="B8" s="3" t="inlineStr">
        <is>
          <t>Approved</t>
        </is>
      </c>
      <c r="C8" s="3" t="n"/>
      <c r="D8" s="3" t="n"/>
      <c r="E8" s="3" t="n"/>
      <c r="F8" s="3" t="n"/>
      <c r="G8" s="3" t="n"/>
      <c r="H8" s="3" t="n"/>
      <c r="I8" s="3" t="n"/>
      <c r="J8" s="3" t="n"/>
    </row>
    <row r="9">
      <c r="A9" s="3" t="n"/>
      <c r="B9" s="3" t="n"/>
      <c r="C9" s="3" t="n"/>
      <c r="D9" s="3" t="n"/>
      <c r="E9" s="3" t="n"/>
      <c r="F9" s="3" t="n"/>
      <c r="G9" s="3" t="n"/>
      <c r="H9" s="3" t="n"/>
      <c r="I9" s="3" t="n"/>
      <c r="J9" s="3" t="n"/>
    </row>
    <row r="10" ht="45" customHeight="1">
      <c r="A10" s="9" t="inlineStr">
        <is>
          <t>Question</t>
        </is>
      </c>
      <c r="B10" s="3" t="inlineStr">
        <is>
          <t>Under French law, to what extent are communications between a company and its lawyers protected during a competition dawn raid, how can the company challenge the seizure of allegedly privileged material, and what remedies are available if privileged documents have been seized (including return, destruction, or exclusion from the investigation)?</t>
        </is>
      </c>
      <c r="C10" s="3" t="n"/>
      <c r="D10" s="3" t="n"/>
      <c r="E10" s="3" t="n"/>
      <c r="F10" s="3" t="n"/>
      <c r="G10" s="3" t="n"/>
      <c r="H10" s="3" t="n"/>
      <c r="I10" s="3" t="n"/>
      <c r="J10" s="3" t="n"/>
    </row>
    <row r="11">
      <c r="A11" s="3" t="n"/>
      <c r="B11" s="3" t="n"/>
      <c r="C11" s="3" t="n"/>
      <c r="D11" s="3" t="n"/>
      <c r="E11" s="3" t="n"/>
      <c r="F11" s="3" t="n"/>
      <c r="G11" s="3" t="n"/>
      <c r="H11" s="3" t="n"/>
      <c r="I11" s="3" t="n"/>
      <c r="J11" s="3" t="n"/>
    </row>
    <row r="12">
      <c r="A12" s="3" t="n"/>
      <c r="B12" s="3" t="n"/>
      <c r="C12" s="3" t="n"/>
      <c r="D12" s="3" t="n"/>
      <c r="E12" s="3" t="n"/>
      <c r="F12" s="3" t="n"/>
      <c r="G12" s="3" t="n"/>
      <c r="H12" s="3" t="n"/>
      <c r="I12" s="3" t="n"/>
      <c r="J12" s="3" t="n"/>
    </row>
    <row r="13">
      <c r="A13" s="3" t="n"/>
      <c r="B13" s="3" t="n"/>
      <c r="C13" s="3" t="n"/>
      <c r="D13" s="3" t="n"/>
      <c r="E13" s="3" t="n"/>
      <c r="F13" s="3" t="n"/>
      <c r="G13" s="3" t="n"/>
      <c r="H13" s="3" t="n"/>
      <c r="I13" s="3" t="n"/>
      <c r="J13" s="3" t="n"/>
    </row>
    <row r="14">
      <c r="A14" s="8" t="inlineStr">
        <is>
          <t>Generated answer</t>
        </is>
      </c>
      <c r="B14" s="3" t="n"/>
      <c r="C14" s="3" t="n"/>
      <c r="D14" s="3" t="n"/>
      <c r="E14" s="3" t="n"/>
      <c r="F14" s="3" t="n"/>
      <c r="G14" s="3" t="n"/>
      <c r="H14" s="3" t="n"/>
      <c r="I14" s="3" t="n"/>
      <c r="J14" s="3" t="n"/>
    </row>
    <row r="15">
      <c r="A15" s="10" t="inlineStr">
        <is>
          <t>Paste the generated answer below.</t>
        </is>
      </c>
      <c r="B15" s="3" t="n"/>
      <c r="C15" s="3" t="n"/>
      <c r="D15" s="3" t="n"/>
      <c r="E15" s="3" t="n"/>
      <c r="F15" s="3" t="n"/>
      <c r="G15" s="3" t="n"/>
      <c r="H15" s="3" t="n"/>
      <c r="I15" s="3" t="n"/>
      <c r="J15" s="3" t="n"/>
    </row>
    <row r="16" ht="90" customHeight="1">
      <c r="A16" s="3" t="inlineStr"/>
      <c r="B16" s="3" t="n"/>
      <c r="C16" s="3" t="n"/>
      <c r="D16" s="3" t="n"/>
      <c r="E16" s="3" t="n"/>
      <c r="F16" s="3" t="n"/>
      <c r="G16" s="3" t="n"/>
      <c r="H16" s="3" t="n"/>
      <c r="I16" s="3" t="n"/>
      <c r="J16" s="3" t="n"/>
    </row>
    <row r="17" ht="30" customHeight="1">
      <c r="A17" s="3" t="n"/>
      <c r="B17" s="3" t="n"/>
      <c r="C17" s="3" t="n"/>
      <c r="D17" s="3" t="n"/>
      <c r="E17" s="3" t="n"/>
      <c r="F17" s="3" t="n"/>
      <c r="G17" s="3" t="n"/>
      <c r="H17" s="3" t="n"/>
      <c r="I17" s="3" t="n"/>
      <c r="J17" s="3" t="n"/>
    </row>
    <row r="18" ht="30" customHeight="1">
      <c r="A18" s="3" t="n"/>
      <c r="B18" s="3" t="n"/>
      <c r="C18" s="3" t="n"/>
      <c r="D18" s="3" t="n"/>
      <c r="E18" s="3" t="n"/>
      <c r="F18" s="3" t="n"/>
      <c r="G18" s="3" t="n"/>
      <c r="H18" s="3" t="n"/>
      <c r="I18" s="3" t="n"/>
      <c r="J18" s="3" t="n"/>
    </row>
    <row r="19">
      <c r="A19" s="9" t="inlineStr">
        <is>
          <t>Run ID</t>
        </is>
      </c>
      <c r="B19" s="3" t="inlineStr"/>
      <c r="C19" s="9" t="inlineStr">
        <is>
          <t>Run date</t>
        </is>
      </c>
      <c r="D19" s="3" t="inlineStr"/>
      <c r="E19" s="9" t="inlineStr">
        <is>
          <t>Model / prompt version</t>
        </is>
      </c>
      <c r="F19" s="3" t="inlineStr"/>
      <c r="G19" s="9" t="inlineStr">
        <is>
          <t>Corpus snapshot</t>
        </is>
      </c>
      <c r="H19" s="3" t="inlineStr"/>
      <c r="I19" s="3" t="n"/>
      <c r="J19" s="3" t="n"/>
    </row>
    <row r="20">
      <c r="A20" s="8" t="inlineStr">
        <is>
          <t>Retrieval set review</t>
        </is>
      </c>
      <c r="B20" s="3" t="n"/>
      <c r="C20" s="3" t="n"/>
      <c r="D20" s="3" t="n"/>
      <c r="E20" s="3" t="n"/>
      <c r="F20" s="3" t="n"/>
      <c r="G20" s="3" t="n"/>
      <c r="H20" s="3" t="n"/>
      <c r="I20" s="3" t="n"/>
      <c r="J20" s="3" t="n"/>
    </row>
    <row r="21">
      <c r="A21" s="11" t="inlineStr">
        <is>
          <t>Rank</t>
        </is>
      </c>
      <c r="B21" s="11" t="inlineStr">
        <is>
          <t>Retrieved source</t>
        </is>
      </c>
      <c r="C21" s="11" t="inlineStr">
        <is>
          <t>Source type</t>
        </is>
      </c>
      <c r="D21" s="11" t="inlineStr">
        <is>
          <t>Jurisdiction</t>
        </is>
      </c>
      <c r="E21" s="11" t="inlineStr">
        <is>
          <t>URL / Document ID</t>
        </is>
      </c>
      <c r="F21" s="11" t="inlineStr">
        <is>
          <t>Returned by engine?</t>
        </is>
      </c>
      <c r="G21" s="11" t="inlineStr">
        <is>
          <t>Required source?</t>
        </is>
      </c>
      <c r="H21" s="11" t="inlineStr">
        <is>
          <t>Trap?</t>
        </is>
      </c>
      <c r="I21" s="11" t="inlineStr">
        <is>
          <t>Expert verdict</t>
        </is>
      </c>
      <c r="J21" s="11" t="inlineStr">
        <is>
          <t>Notes</t>
        </is>
      </c>
    </row>
    <row r="22" ht="44" customHeight="1">
      <c r="A22" s="4" t="n">
        <v>1</v>
      </c>
      <c r="B22" s="4" t="n"/>
      <c r="C22" s="4" t="n"/>
      <c r="D22" s="4" t="n"/>
      <c r="E22" s="4" t="n"/>
      <c r="F22" s="4" t="n"/>
      <c r="G22" s="4" t="n"/>
      <c r="H22" s="4" t="n"/>
      <c r="I22" s="4" t="n"/>
      <c r="J22" s="4" t="n"/>
    </row>
    <row r="23" ht="44" customHeight="1">
      <c r="A23" s="4" t="n">
        <v>2</v>
      </c>
      <c r="B23" s="4" t="n"/>
      <c r="C23" s="4" t="n"/>
      <c r="D23" s="4" t="n"/>
      <c r="E23" s="4" t="n"/>
      <c r="F23" s="4" t="n"/>
      <c r="G23" s="4" t="n"/>
      <c r="H23" s="4" t="n"/>
      <c r="I23" s="4" t="n"/>
      <c r="J23" s="4" t="n"/>
    </row>
    <row r="24" ht="44" customHeight="1">
      <c r="A24" s="4" t="n">
        <v>3</v>
      </c>
      <c r="B24" s="4" t="n"/>
      <c r="C24" s="4" t="n"/>
      <c r="D24" s="4" t="n"/>
      <c r="E24" s="4" t="n"/>
      <c r="F24" s="4" t="n"/>
      <c r="G24" s="4" t="n"/>
      <c r="H24" s="4" t="n"/>
      <c r="I24" s="4" t="n"/>
      <c r="J24" s="4" t="n"/>
    </row>
    <row r="25" ht="44" customHeight="1">
      <c r="A25" s="4" t="n">
        <v>4</v>
      </c>
      <c r="B25" s="4" t="n"/>
      <c r="C25" s="4" t="n"/>
      <c r="D25" s="4" t="n"/>
      <c r="E25" s="4" t="n"/>
      <c r="F25" s="4" t="n"/>
      <c r="G25" s="4" t="n"/>
      <c r="H25" s="4" t="n"/>
      <c r="I25" s="4" t="n"/>
      <c r="J25" s="4" t="n"/>
    </row>
    <row r="26" ht="44" customHeight="1">
      <c r="A26" s="4" t="n">
        <v>5</v>
      </c>
      <c r="B26" s="4" t="n"/>
      <c r="C26" s="4" t="n"/>
      <c r="D26" s="4" t="n"/>
      <c r="E26" s="4" t="n"/>
      <c r="F26" s="4" t="n"/>
      <c r="G26" s="4" t="n"/>
      <c r="H26" s="4" t="n"/>
      <c r="I26" s="4" t="n"/>
      <c r="J26" s="4" t="n"/>
    </row>
    <row r="27" ht="44" customHeight="1">
      <c r="A27" s="4" t="n">
        <v>6</v>
      </c>
      <c r="B27" s="4" t="n"/>
      <c r="C27" s="4" t="n"/>
      <c r="D27" s="4" t="n"/>
      <c r="E27" s="4" t="n"/>
      <c r="F27" s="4" t="n"/>
      <c r="G27" s="4" t="n"/>
      <c r="H27" s="4" t="n"/>
      <c r="I27" s="4" t="n"/>
      <c r="J27" s="4" t="n"/>
    </row>
    <row r="28" ht="44" customHeight="1">
      <c r="A28" s="4" t="n">
        <v>7</v>
      </c>
      <c r="B28" s="4" t="n"/>
      <c r="C28" s="4" t="n"/>
      <c r="D28" s="4" t="n"/>
      <c r="E28" s="4" t="n"/>
      <c r="F28" s="4" t="n"/>
      <c r="G28" s="4" t="n"/>
      <c r="H28" s="4" t="n"/>
      <c r="I28" s="4" t="n"/>
      <c r="J28" s="4" t="n"/>
    </row>
    <row r="29" ht="44" customHeight="1">
      <c r="A29" s="4" t="n">
        <v>8</v>
      </c>
      <c r="B29" s="4" t="n"/>
      <c r="C29" s="4" t="n"/>
      <c r="D29" s="4" t="n"/>
      <c r="E29" s="4" t="n"/>
      <c r="F29" s="4" t="n"/>
      <c r="G29" s="4" t="n"/>
      <c r="H29" s="4" t="n"/>
      <c r="I29" s="4" t="n"/>
      <c r="J29" s="4" t="n"/>
    </row>
    <row r="30" ht="44" customHeight="1">
      <c r="A30" s="4" t="n">
        <v>9</v>
      </c>
      <c r="B30" s="4" t="n"/>
      <c r="C30" s="4" t="n"/>
      <c r="D30" s="4" t="n"/>
      <c r="E30" s="4" t="n"/>
      <c r="F30" s="4" t="n"/>
      <c r="G30" s="4" t="n"/>
      <c r="H30" s="4" t="n"/>
      <c r="I30" s="4" t="n"/>
      <c r="J30" s="4" t="n"/>
    </row>
    <row r="31" ht="44" customHeight="1">
      <c r="A31" s="4" t="n">
        <v>10</v>
      </c>
      <c r="B31" s="4" t="n"/>
      <c r="C31" s="4" t="n"/>
      <c r="D31" s="4" t="n"/>
      <c r="E31" s="4" t="n"/>
      <c r="F31" s="4" t="n"/>
      <c r="G31" s="4" t="n"/>
      <c r="H31" s="4" t="n"/>
      <c r="I31" s="4" t="n"/>
      <c r="J31" s="4" t="n"/>
    </row>
    <row r="32" ht="44" customHeight="1">
      <c r="A32" s="4" t="n">
        <v>11</v>
      </c>
      <c r="B32" s="4" t="n"/>
      <c r="C32" s="4" t="n"/>
      <c r="D32" s="4" t="n"/>
      <c r="E32" s="4" t="n"/>
      <c r="F32" s="4" t="n"/>
      <c r="G32" s="4" t="n"/>
      <c r="H32" s="4" t="n"/>
      <c r="I32" s="4" t="n"/>
      <c r="J32" s="4" t="n"/>
    </row>
    <row r="33" ht="44" customHeight="1">
      <c r="A33" s="4" t="n">
        <v>12</v>
      </c>
      <c r="B33" s="4" t="n"/>
      <c r="C33" s="4" t="n"/>
      <c r="D33" s="4" t="n"/>
      <c r="E33" s="4" t="n"/>
      <c r="F33" s="4" t="n"/>
      <c r="G33" s="4" t="n"/>
      <c r="H33" s="4" t="n"/>
      <c r="I33" s="4" t="n"/>
      <c r="J33" s="4" t="n"/>
    </row>
    <row r="34" ht="44" customHeight="1">
      <c r="A34" s="4" t="n">
        <v>13</v>
      </c>
      <c r="B34" s="4" t="n"/>
      <c r="C34" s="4" t="n"/>
      <c r="D34" s="4" t="n"/>
      <c r="E34" s="4" t="n"/>
      <c r="F34" s="4" t="n"/>
      <c r="G34" s="4" t="n"/>
      <c r="H34" s="4" t="n"/>
      <c r="I34" s="4" t="n"/>
      <c r="J34" s="4" t="n"/>
    </row>
    <row r="35" ht="44" customHeight="1">
      <c r="A35" s="4" t="n">
        <v>14</v>
      </c>
      <c r="B35" s="4" t="n"/>
      <c r="C35" s="4" t="n"/>
      <c r="D35" s="4" t="n"/>
      <c r="E35" s="4" t="n"/>
      <c r="F35" s="4" t="n"/>
      <c r="G35" s="4" t="n"/>
      <c r="H35" s="4" t="n"/>
      <c r="I35" s="4" t="n"/>
      <c r="J35" s="4" t="n"/>
    </row>
    <row r="36" ht="44" customHeight="1">
      <c r="A36" s="4" t="n">
        <v>15</v>
      </c>
      <c r="B36" s="4" t="n"/>
      <c r="C36" s="4" t="n"/>
      <c r="D36" s="4" t="n"/>
      <c r="E36" s="4" t="n"/>
      <c r="F36" s="4" t="n"/>
      <c r="G36" s="4" t="n"/>
      <c r="H36" s="4" t="n"/>
      <c r="I36" s="4" t="n"/>
      <c r="J36" s="4" t="n"/>
    </row>
    <row r="37">
      <c r="A37" s="3" t="n"/>
      <c r="B37" s="3" t="n"/>
      <c r="C37" s="3" t="n"/>
      <c r="D37" s="3" t="n"/>
      <c r="E37" s="3" t="n"/>
      <c r="F37" s="3" t="n"/>
      <c r="G37" s="3" t="n"/>
      <c r="H37" s="3" t="n"/>
      <c r="I37" s="3" t="n"/>
      <c r="J37" s="3" t="n"/>
    </row>
    <row r="38">
      <c r="A38" s="8" t="inlineStr">
        <is>
          <t>Claim-by-claim review</t>
        </is>
      </c>
      <c r="B38" s="3" t="n"/>
      <c r="C38" s="3" t="n"/>
      <c r="D38" s="3" t="n"/>
      <c r="E38" s="3" t="n"/>
      <c r="F38" s="3" t="n"/>
      <c r="G38" s="3" t="n"/>
      <c r="H38" s="3" t="n"/>
      <c r="I38" s="3" t="n"/>
      <c r="J38" s="3" t="n"/>
    </row>
    <row r="39">
      <c r="A39" s="11" t="inlineStr">
        <is>
          <t>Claim ID</t>
        </is>
      </c>
      <c r="B39" s="11" t="inlineStr">
        <is>
          <t>Claim from answer</t>
        </is>
      </c>
      <c r="C39" s="11" t="inlineStr">
        <is>
          <t>Citation used</t>
        </is>
      </c>
      <c r="D39" s="11" t="inlineStr">
        <is>
          <t>Expert verdict</t>
        </is>
      </c>
      <c r="E39" s="11" t="inlineStr">
        <is>
          <t>Issue type</t>
        </is>
      </c>
      <c r="F39" s="11" t="inlineStr">
        <is>
          <t>Cited passage / source note</t>
        </is>
      </c>
      <c r="G39" s="11" t="inlineStr">
        <is>
          <t>Required fix / comment</t>
        </is>
      </c>
      <c r="H39" s="11" t="inlineStr">
        <is>
          <t>Reviewer</t>
        </is>
      </c>
      <c r="I39" s="11" t="n"/>
      <c r="J39" s="11" t="n"/>
    </row>
    <row r="40" ht="54" customHeight="1">
      <c r="A40" s="4" t="n">
        <v>1</v>
      </c>
      <c r="B40" s="4" t="n"/>
      <c r="C40" s="4" t="n"/>
      <c r="D40" s="4" t="n"/>
      <c r="E40" s="4" t="n"/>
      <c r="F40" s="4" t="n"/>
      <c r="G40" s="4" t="n"/>
      <c r="H40" s="4" t="n"/>
      <c r="I40" s="3" t="n"/>
      <c r="J40" s="3" t="n"/>
    </row>
    <row r="41" ht="54" customHeight="1">
      <c r="A41" s="4" t="n">
        <v>2</v>
      </c>
      <c r="B41" s="4" t="n"/>
      <c r="C41" s="4" t="n"/>
      <c r="D41" s="4" t="n"/>
      <c r="E41" s="4" t="n"/>
      <c r="F41" s="4" t="n"/>
      <c r="G41" s="4" t="n"/>
      <c r="H41" s="4" t="n"/>
      <c r="I41" s="3" t="n"/>
      <c r="J41" s="3" t="n"/>
    </row>
    <row r="42" ht="54" customHeight="1">
      <c r="A42" s="4" t="n">
        <v>3</v>
      </c>
      <c r="B42" s="4" t="n"/>
      <c r="C42" s="4" t="n"/>
      <c r="D42" s="4" t="n"/>
      <c r="E42" s="4" t="n"/>
      <c r="F42" s="4" t="n"/>
      <c r="G42" s="4" t="n"/>
      <c r="H42" s="4" t="n"/>
      <c r="I42" s="3" t="n"/>
      <c r="J42" s="3" t="n"/>
    </row>
    <row r="43" ht="54" customHeight="1">
      <c r="A43" s="4" t="n">
        <v>4</v>
      </c>
      <c r="B43" s="4" t="n"/>
      <c r="C43" s="4" t="n"/>
      <c r="D43" s="4" t="n"/>
      <c r="E43" s="4" t="n"/>
      <c r="F43" s="4" t="n"/>
      <c r="G43" s="4" t="n"/>
      <c r="H43" s="4" t="n"/>
      <c r="I43" s="3" t="n"/>
      <c r="J43" s="3" t="n"/>
    </row>
    <row r="44" ht="54" customHeight="1">
      <c r="A44" s="4" t="n">
        <v>5</v>
      </c>
      <c r="B44" s="4" t="n"/>
      <c r="C44" s="4" t="n"/>
      <c r="D44" s="4" t="n"/>
      <c r="E44" s="4" t="n"/>
      <c r="F44" s="4" t="n"/>
      <c r="G44" s="4" t="n"/>
      <c r="H44" s="4" t="n"/>
      <c r="I44" s="3" t="n"/>
      <c r="J44" s="3" t="n"/>
    </row>
    <row r="45" ht="54" customHeight="1">
      <c r="A45" s="4" t="n">
        <v>6</v>
      </c>
      <c r="B45" s="4" t="n"/>
      <c r="C45" s="4" t="n"/>
      <c r="D45" s="4" t="n"/>
      <c r="E45" s="4" t="n"/>
      <c r="F45" s="4" t="n"/>
      <c r="G45" s="4" t="n"/>
      <c r="H45" s="4" t="n"/>
      <c r="I45" s="3" t="n"/>
      <c r="J45" s="3" t="n"/>
    </row>
    <row r="46" ht="54" customHeight="1">
      <c r="A46" s="4" t="n">
        <v>7</v>
      </c>
      <c r="B46" s="4" t="n"/>
      <c r="C46" s="4" t="n"/>
      <c r="D46" s="4" t="n"/>
      <c r="E46" s="4" t="n"/>
      <c r="F46" s="4" t="n"/>
      <c r="G46" s="4" t="n"/>
      <c r="H46" s="4" t="n"/>
      <c r="I46" s="3" t="n"/>
      <c r="J46" s="3" t="n"/>
    </row>
    <row r="47" ht="54" customHeight="1">
      <c r="A47" s="4" t="n">
        <v>8</v>
      </c>
      <c r="B47" s="4" t="n"/>
      <c r="C47" s="4" t="n"/>
      <c r="D47" s="4" t="n"/>
      <c r="E47" s="4" t="n"/>
      <c r="F47" s="4" t="n"/>
      <c r="G47" s="4" t="n"/>
      <c r="H47" s="4" t="n"/>
      <c r="I47" s="3" t="n"/>
      <c r="J47" s="3" t="n"/>
    </row>
    <row r="48" ht="54" customHeight="1">
      <c r="A48" s="4" t="n">
        <v>9</v>
      </c>
      <c r="B48" s="4" t="n"/>
      <c r="C48" s="4" t="n"/>
      <c r="D48" s="4" t="n"/>
      <c r="E48" s="4" t="n"/>
      <c r="F48" s="4" t="n"/>
      <c r="G48" s="4" t="n"/>
      <c r="H48" s="4" t="n"/>
      <c r="I48" s="3" t="n"/>
      <c r="J48" s="3" t="n"/>
    </row>
    <row r="49" ht="54" customHeight="1">
      <c r="A49" s="4" t="n">
        <v>10</v>
      </c>
      <c r="B49" s="4" t="n"/>
      <c r="C49" s="4" t="n"/>
      <c r="D49" s="4" t="n"/>
      <c r="E49" s="4" t="n"/>
      <c r="F49" s="4" t="n"/>
      <c r="G49" s="4" t="n"/>
      <c r="H49" s="4" t="n"/>
      <c r="I49" s="3" t="n"/>
      <c r="J49" s="3" t="n"/>
    </row>
    <row r="50" ht="54" customHeight="1">
      <c r="A50" s="4" t="n">
        <v>11</v>
      </c>
      <c r="B50" s="4" t="n"/>
      <c r="C50" s="4" t="n"/>
      <c r="D50" s="4" t="n"/>
      <c r="E50" s="4" t="n"/>
      <c r="F50" s="4" t="n"/>
      <c r="G50" s="4" t="n"/>
      <c r="H50" s="4" t="n"/>
      <c r="I50" s="3" t="n"/>
      <c r="J50" s="3" t="n"/>
    </row>
    <row r="51" ht="54" customHeight="1">
      <c r="A51" s="4" t="n">
        <v>12</v>
      </c>
      <c r="B51" s="4" t="n"/>
      <c r="C51" s="4" t="n"/>
      <c r="D51" s="4" t="n"/>
      <c r="E51" s="4" t="n"/>
      <c r="F51" s="4" t="n"/>
      <c r="G51" s="4" t="n"/>
      <c r="H51" s="4" t="n"/>
      <c r="I51" s="3" t="n"/>
      <c r="J51" s="3" t="n"/>
    </row>
    <row r="52" ht="54" customHeight="1">
      <c r="A52" s="4" t="n">
        <v>13</v>
      </c>
      <c r="B52" s="4" t="n"/>
      <c r="C52" s="4" t="n"/>
      <c r="D52" s="4" t="n"/>
      <c r="E52" s="4" t="n"/>
      <c r="F52" s="4" t="n"/>
      <c r="G52" s="4" t="n"/>
      <c r="H52" s="4" t="n"/>
      <c r="I52" s="3" t="n"/>
      <c r="J52" s="3" t="n"/>
    </row>
    <row r="53" ht="54" customHeight="1">
      <c r="A53" s="4" t="n">
        <v>14</v>
      </c>
      <c r="B53" s="4" t="n"/>
      <c r="C53" s="4" t="n"/>
      <c r="D53" s="4" t="n"/>
      <c r="E53" s="4" t="n"/>
      <c r="F53" s="4" t="n"/>
      <c r="G53" s="4" t="n"/>
      <c r="H53" s="4" t="n"/>
      <c r="I53" s="3" t="n"/>
      <c r="J53" s="3" t="n"/>
    </row>
    <row r="54" ht="54" customHeight="1">
      <c r="A54" s="4" t="n">
        <v>15</v>
      </c>
      <c r="B54" s="4" t="n"/>
      <c r="C54" s="4" t="n"/>
      <c r="D54" s="4" t="n"/>
      <c r="E54" s="4" t="n"/>
      <c r="F54" s="4" t="n"/>
      <c r="G54" s="4" t="n"/>
      <c r="H54" s="4" t="n"/>
      <c r="I54" s="3" t="n"/>
      <c r="J54" s="3" t="n"/>
    </row>
    <row r="55" ht="54" customHeight="1">
      <c r="A55" s="4" t="n">
        <v>16</v>
      </c>
      <c r="B55" s="4" t="n"/>
      <c r="C55" s="4" t="n"/>
      <c r="D55" s="4" t="n"/>
      <c r="E55" s="4" t="n"/>
      <c r="F55" s="4" t="n"/>
      <c r="G55" s="4" t="n"/>
      <c r="H55" s="4" t="n"/>
      <c r="I55" s="3" t="n"/>
      <c r="J55" s="3" t="n"/>
    </row>
    <row r="56" ht="54" customHeight="1">
      <c r="A56" s="4" t="n">
        <v>17</v>
      </c>
      <c r="B56" s="4" t="n"/>
      <c r="C56" s="4" t="n"/>
      <c r="D56" s="4" t="n"/>
      <c r="E56" s="4" t="n"/>
      <c r="F56" s="4" t="n"/>
      <c r="G56" s="4" t="n"/>
      <c r="H56" s="4" t="n"/>
      <c r="I56" s="3" t="n"/>
      <c r="J56" s="3" t="n"/>
    </row>
    <row r="57" ht="54" customHeight="1">
      <c r="A57" s="4" t="n">
        <v>18</v>
      </c>
      <c r="B57" s="4" t="n"/>
      <c r="C57" s="4" t="n"/>
      <c r="D57" s="4" t="n"/>
      <c r="E57" s="4" t="n"/>
      <c r="F57" s="4" t="n"/>
      <c r="G57" s="4" t="n"/>
      <c r="H57" s="4" t="n"/>
      <c r="I57" s="3" t="n"/>
      <c r="J57" s="3" t="n"/>
    </row>
    <row r="58" ht="54" customHeight="1">
      <c r="A58" s="4" t="n">
        <v>19</v>
      </c>
      <c r="B58" s="4" t="n"/>
      <c r="C58" s="4" t="n"/>
      <c r="D58" s="4" t="n"/>
      <c r="E58" s="4" t="n"/>
      <c r="F58" s="4" t="n"/>
      <c r="G58" s="4" t="n"/>
      <c r="H58" s="4" t="n"/>
      <c r="I58" s="3" t="n"/>
      <c r="J58" s="3" t="n"/>
    </row>
    <row r="59" ht="54" customHeight="1">
      <c r="A59" s="4" t="n">
        <v>20</v>
      </c>
      <c r="B59" s="4" t="n"/>
      <c r="C59" s="4" t="n"/>
      <c r="D59" s="4" t="n"/>
      <c r="E59" s="4" t="n"/>
      <c r="F59" s="4" t="n"/>
      <c r="G59" s="4" t="n"/>
      <c r="H59" s="4" t="n"/>
      <c r="I59" s="3" t="n"/>
      <c r="J59" s="3" t="n"/>
    </row>
    <row r="60">
      <c r="A60" s="3" t="n"/>
      <c r="B60" s="3" t="n"/>
      <c r="C60" s="3" t="n"/>
      <c r="D60" s="3" t="n"/>
      <c r="E60" s="3" t="n"/>
      <c r="F60" s="3" t="n"/>
      <c r="G60" s="3" t="n"/>
      <c r="H60" s="3" t="n"/>
      <c r="I60" s="3" t="n"/>
      <c r="J60" s="3" t="n"/>
    </row>
    <row r="61">
      <c r="A61" s="8" t="inlineStr">
        <is>
          <t>Final expert verdict</t>
        </is>
      </c>
      <c r="B61" s="3" t="n"/>
      <c r="C61" s="3" t="n"/>
      <c r="D61" s="3" t="n"/>
      <c r="E61" s="3" t="n"/>
      <c r="F61" s="3" t="n"/>
      <c r="G61" s="3" t="n"/>
      <c r="H61" s="3" t="n"/>
      <c r="I61" s="3" t="n"/>
      <c r="J61" s="3" t="n"/>
    </row>
    <row r="62">
      <c r="A62" s="12" t="inlineStr">
        <is>
          <t>Is the answer acceptable?</t>
        </is>
      </c>
      <c r="B62" s="4" t="inlineStr"/>
      <c r="C62" s="4" t="n"/>
      <c r="D62" s="4" t="n"/>
      <c r="E62" s="4" t="n"/>
      <c r="F62" s="4" t="n"/>
      <c r="G62" s="4" t="n"/>
      <c r="H62" s="4" t="n"/>
      <c r="I62" s="3" t="n"/>
      <c r="J62" s="3" t="n"/>
    </row>
    <row r="63" ht="54" customHeight="1">
      <c r="A63" s="12" t="inlineStr">
        <is>
          <t>Overall comment / required fixes</t>
        </is>
      </c>
      <c r="B63" s="4" t="n"/>
      <c r="C63" s="4" t="n"/>
      <c r="D63" s="4" t="n"/>
      <c r="E63" s="4" t="n"/>
      <c r="F63" s="4" t="n"/>
      <c r="G63" s="4" t="n"/>
      <c r="H63" s="4" t="n"/>
      <c r="I63" s="3" t="n"/>
      <c r="J63" s="3" t="n"/>
    </row>
    <row r="64">
      <c r="A64" s="4" t="n"/>
      <c r="B64" s="4" t="n"/>
      <c r="C64" s="4" t="n"/>
      <c r="D64" s="4" t="n"/>
      <c r="E64" s="4" t="n"/>
      <c r="F64" s="4" t="n"/>
      <c r="G64" s="4" t="n"/>
      <c r="H64" s="4" t="n"/>
      <c r="I64" s="3" t="n"/>
      <c r="J64" s="3" t="n"/>
    </row>
    <row r="65">
      <c r="A65" s="12" t="inlineStr">
        <is>
          <t>Missing key sources?</t>
        </is>
      </c>
      <c r="B65" s="4" t="n"/>
      <c r="C65" s="4" t="n"/>
      <c r="D65" s="4" t="n"/>
      <c r="E65" s="4" t="n"/>
      <c r="F65" s="4" t="n"/>
      <c r="G65" s="4" t="n"/>
      <c r="H65" s="4" t="n"/>
      <c r="I65" s="3" t="n"/>
      <c r="J65" s="3" t="n"/>
    </row>
    <row r="66">
      <c r="A66" s="12" t="inlineStr">
        <is>
          <t>Review completed?</t>
        </is>
      </c>
      <c r="B66" s="4" t="inlineStr"/>
      <c r="C66" s="4" t="n"/>
      <c r="D66" s="4" t="n"/>
      <c r="E66" s="4" t="n"/>
      <c r="F66" s="4" t="n"/>
      <c r="G66" s="4" t="n"/>
      <c r="H66" s="4" t="n"/>
      <c r="I66" s="3" t="n"/>
      <c r="J66" s="3" t="n"/>
    </row>
    <row r="67">
      <c r="A67" s="12" t="inlineStr">
        <is>
          <t>Reviewer</t>
        </is>
      </c>
      <c r="B67" s="4" t="n"/>
      <c r="C67" s="12" t="inlineStr">
        <is>
          <t>Review date</t>
        </is>
      </c>
      <c r="D67" s="5" t="inlineStr"/>
      <c r="E67" s="4" t="n"/>
      <c r="F67" s="4" t="n"/>
      <c r="G67" s="4" t="n"/>
      <c r="H67" s="4" t="n"/>
      <c r="I67" s="3" t="n"/>
      <c r="J67" s="3" t="n"/>
    </row>
    <row r="68">
      <c r="A68" s="3" t="n"/>
      <c r="B68" s="3" t="n"/>
      <c r="C68" s="3" t="n"/>
      <c r="D68" s="3" t="n"/>
      <c r="E68" s="3" t="n"/>
      <c r="F68" s="3" t="n"/>
      <c r="G68" s="3" t="n"/>
      <c r="H68" s="3" t="n"/>
      <c r="I68" s="3" t="n"/>
      <c r="J68" s="3" t="n"/>
    </row>
    <row r="69">
      <c r="A69" s="8" t="inlineStr">
        <is>
          <t>Original source notes</t>
        </is>
      </c>
      <c r="B69" s="3" t="n"/>
      <c r="C69" s="3" t="n"/>
      <c r="D69" s="3" t="n"/>
      <c r="E69" s="3" t="n"/>
      <c r="F69" s="3" t="n"/>
      <c r="G69" s="3" t="n"/>
      <c r="H69" s="3" t="n"/>
      <c r="I69" s="3" t="n"/>
      <c r="J69" s="3" t="n"/>
    </row>
    <row r="70">
      <c r="A70" s="12" t="inlineStr">
        <is>
          <t>WAB notes</t>
        </is>
      </c>
      <c r="B70" s="4" t="inlineStr">
        <is>
          <t>Wider French version added following Carolina’s request to keep both. It complements question 12.</t>
        </is>
      </c>
      <c r="C70" s="4" t="n"/>
      <c r="D70" s="4" t="n"/>
      <c r="E70" s="4" t="n"/>
      <c r="F70" s="4" t="n"/>
      <c r="G70" s="4" t="n"/>
      <c r="H70" s="4" t="n"/>
      <c r="I70" s="3" t="n"/>
      <c r="J70" s="3" t="n"/>
    </row>
    <row r="71" ht="54" customHeight="1">
      <c r="A71" s="12" t="inlineStr">
        <is>
          <t>Reviewer notes from question approval</t>
        </is>
      </c>
      <c r="B71" s="4" t="inlineStr">
        <is>
          <t>agreed.</t>
        </is>
      </c>
      <c r="C71" s="4" t="n"/>
      <c r="D71" s="4" t="n"/>
      <c r="E71" s="4" t="n"/>
      <c r="F71" s="4" t="n"/>
      <c r="G71" s="4" t="n"/>
      <c r="H71" s="4" t="n"/>
      <c r="I71" s="3" t="n"/>
      <c r="J71" s="3" t="n"/>
    </row>
    <row r="72">
      <c r="A72" s="4" t="n"/>
      <c r="B72" s="4" t="n"/>
      <c r="C72" s="4" t="n"/>
      <c r="D72" s="4" t="n"/>
      <c r="E72" s="4" t="n"/>
      <c r="F72" s="4" t="n"/>
      <c r="G72" s="4" t="n"/>
      <c r="H72" s="4" t="n"/>
      <c r="I72" s="3" t="n"/>
      <c r="J72" s="3" t="n"/>
    </row>
  </sheetData>
  <autoFilter ref="A21:J36"/>
  <mergeCells count="20">
    <mergeCell ref="B65:H65"/>
    <mergeCell ref="B71:H72"/>
    <mergeCell ref="B6:H6"/>
    <mergeCell ref="A20:J20"/>
    <mergeCell ref="A1:H1"/>
    <mergeCell ref="B5:H5"/>
    <mergeCell ref="A61:H61"/>
    <mergeCell ref="A69:H69"/>
    <mergeCell ref="B4:H4"/>
    <mergeCell ref="B62:H62"/>
    <mergeCell ref="B7:H7"/>
    <mergeCell ref="B66:H66"/>
    <mergeCell ref="A3:H3"/>
    <mergeCell ref="A16:H18"/>
    <mergeCell ref="B70:H70"/>
    <mergeCell ref="A14:H14"/>
    <mergeCell ref="B63:H64"/>
    <mergeCell ref="B8:H8"/>
    <mergeCell ref="B10:H12"/>
    <mergeCell ref="A38:H38"/>
  </mergeCells>
  <dataValidations count="9">
    <dataValidation sqref="C22:C36" showDropDown="0" showInputMessage="0" showErrorMessage="0" allowBlank="1" type="list">
      <formula1>=Lists!$F$2:$F$5</formula1>
    </dataValidation>
    <dataValidation sqref="F22:F36" showDropDown="0" showInputMessage="0" showErrorMessage="0" allowBlank="1" type="list">
      <formula1>=Lists!$G$2:$G$4</formula1>
    </dataValidation>
    <dataValidation sqref="G22:G36" showDropDown="0" showInputMessage="0" showErrorMessage="0" allowBlank="1" type="list">
      <formula1>=Lists!$G$2:$G$4</formula1>
    </dataValidation>
    <dataValidation sqref="H22:H36" showDropDown="0" showInputMessage="0" showErrorMessage="0" allowBlank="1" type="list">
      <formula1>=Lists!$G$2:$G$4</formula1>
    </dataValidation>
    <dataValidation sqref="I22:I36" showDropDown="0" showInputMessage="0" showErrorMessage="0" allowBlank="1" type="list">
      <formula1>=Lists!$H$2:$H$6</formula1>
    </dataValidation>
    <dataValidation sqref="D40:D59" showDropDown="0" showInputMessage="0" showErrorMessage="0" allowBlank="1" type="list">
      <formula1>=Lists!$D$2:$D$7</formula1>
    </dataValidation>
    <dataValidation sqref="E40:E59" showDropDown="0" showInputMessage="0" showErrorMessage="0" allowBlank="1" type="list">
      <formula1>=Lists!$E$2:$E$8</formula1>
    </dataValidation>
    <dataValidation sqref="B62" showDropDown="0" showInputMessage="0" showErrorMessage="0" allowBlank="1" type="list">
      <formula1>=Lists!$C$2:$C$4</formula1>
    </dataValidation>
    <dataValidation sqref="B66" showDropDown="0" showInputMessage="0" showErrorMessage="0" allowBlank="1" type="list">
      <formula1>=Lists!$A$2:$A$3</formula1>
    </dataValidation>
  </dataValidations>
  <pageMargins left="0.75" right="0.75" top="1" bottom="1" header="0.5" footer="0.5"/>
</worksheet>
</file>

<file path=xl/worksheets/sheet47.xml><?xml version="1.0" encoding="utf-8"?>
<worksheet xmlns="http://schemas.openxmlformats.org/spreadsheetml/2006/main">
  <sheetPr>
    <outlinePr summaryBelow="1" summaryRight="1"/>
    <pageSetUpPr/>
  </sheetPr>
  <dimension ref="A1:J72"/>
  <sheetViews>
    <sheetView showGridLines="0" workbookViewId="0">
      <pane ySplit="21" topLeftCell="A22" activePane="bottomLeft" state="frozen"/>
      <selection pane="bottomLeft" activeCell="A1" sqref="A1"/>
    </sheetView>
  </sheetViews>
  <sheetFormatPr baseColWidth="8" defaultRowHeight="15"/>
  <cols>
    <col width="12" customWidth="1" min="1" max="1"/>
    <col width="34" customWidth="1" min="2" max="2"/>
    <col width="22" customWidth="1" min="3" max="3"/>
    <col width="18" customWidth="1" min="4" max="4"/>
    <col width="20" customWidth="1" min="5" max="5"/>
    <col width="30" customWidth="1" min="6" max="6"/>
    <col width="34" customWidth="1" min="7" max="7"/>
    <col width="18" customWidth="1" min="8" max="8"/>
    <col width="18" customWidth="1" min="9" max="9"/>
    <col width="30" customWidth="1" min="10" max="10"/>
  </cols>
  <sheetData>
    <row r="1" ht="28" customHeight="1">
      <c r="A1" s="6" t="inlineStr">
        <is>
          <t>Q53 — Expert Review</t>
        </is>
      </c>
      <c r="B1" s="3" t="n"/>
      <c r="C1" s="3" t="n"/>
      <c r="D1" s="3" t="n"/>
      <c r="E1" s="3" t="n"/>
      <c r="F1" s="3" t="n"/>
      <c r="G1" s="3" t="n"/>
      <c r="H1" s="3" t="n"/>
      <c r="I1" s="3" t="n"/>
      <c r="J1" s="3" t="n"/>
    </row>
    <row r="2">
      <c r="A2" s="3" t="n"/>
      <c r="B2" s="3" t="n"/>
      <c r="C2" s="3" t="n"/>
      <c r="D2" s="3" t="n"/>
      <c r="E2" s="3" t="n"/>
      <c r="F2" s="3" t="n"/>
      <c r="G2" s="3" t="n"/>
      <c r="H2" s="3" t="n"/>
      <c r="I2" s="3" t="n"/>
      <c r="J2" s="3" t="n"/>
    </row>
    <row r="3">
      <c r="A3" s="8" t="inlineStr">
        <is>
          <t>Question metadata</t>
        </is>
      </c>
      <c r="B3" s="3" t="n"/>
      <c r="C3" s="3" t="n"/>
      <c r="D3" s="3" t="n"/>
      <c r="E3" s="3" t="n"/>
      <c r="F3" s="3" t="n"/>
      <c r="G3" s="3" t="n"/>
      <c r="H3" s="3" t="n"/>
      <c r="I3" s="3" t="n"/>
      <c r="J3" s="3" t="n"/>
    </row>
    <row r="4">
      <c r="A4" s="9" t="inlineStr">
        <is>
          <t>Question ID</t>
        </is>
      </c>
      <c r="B4" s="3" t="n">
        <v>53</v>
      </c>
      <c r="C4" s="3" t="n"/>
      <c r="D4" s="3" t="n"/>
      <c r="E4" s="3" t="n"/>
      <c r="F4" s="3" t="n"/>
      <c r="G4" s="3" t="n"/>
      <c r="H4" s="3" t="n"/>
      <c r="I4" s="3" t="n"/>
      <c r="J4" s="3" t="n"/>
    </row>
    <row r="5">
      <c r="A5" s="9" t="inlineStr">
        <is>
          <t>Topic</t>
        </is>
      </c>
      <c r="B5" s="3" t="inlineStr">
        <is>
          <t>Dawn raids — grounds for an inspection</t>
        </is>
      </c>
      <c r="C5" s="3" t="n"/>
      <c r="D5" s="3" t="n"/>
      <c r="E5" s="3" t="n"/>
      <c r="F5" s="3" t="n"/>
      <c r="G5" s="3" t="n"/>
      <c r="H5" s="3" t="n"/>
      <c r="I5" s="3" t="n"/>
      <c r="J5" s="3" t="n"/>
    </row>
    <row r="6">
      <c r="A6" s="9" t="inlineStr">
        <is>
          <t>Scope</t>
        </is>
      </c>
      <c r="B6" s="3" t="inlineStr">
        <is>
          <t>EU</t>
        </is>
      </c>
      <c r="C6" s="3" t="n"/>
      <c r="D6" s="3" t="n"/>
      <c r="E6" s="3" t="n"/>
      <c r="F6" s="3" t="n"/>
      <c r="G6" s="3" t="n"/>
      <c r="H6" s="3" t="n"/>
      <c r="I6" s="3" t="n"/>
      <c r="J6" s="3" t="n"/>
    </row>
    <row r="7">
      <c r="A7" s="9" t="inlineStr">
        <is>
          <t>Original reviewer</t>
        </is>
      </c>
      <c r="B7" s="3" t="inlineStr">
        <is>
          <t>Carolina</t>
        </is>
      </c>
      <c r="C7" s="3" t="n"/>
      <c r="D7" s="3" t="n"/>
      <c r="E7" s="3" t="n"/>
      <c r="F7" s="3" t="n"/>
      <c r="G7" s="3" t="n"/>
      <c r="H7" s="3" t="n"/>
      <c r="I7" s="3" t="n"/>
      <c r="J7" s="3" t="n"/>
    </row>
    <row r="8">
      <c r="A8" s="9" t="inlineStr">
        <is>
          <t>Original status</t>
        </is>
      </c>
      <c r="B8" s="3" t="inlineStr">
        <is>
          <t>Approved</t>
        </is>
      </c>
      <c r="C8" s="3" t="n"/>
      <c r="D8" s="3" t="n"/>
      <c r="E8" s="3" t="n"/>
      <c r="F8" s="3" t="n"/>
      <c r="G8" s="3" t="n"/>
      <c r="H8" s="3" t="n"/>
      <c r="I8" s="3" t="n"/>
      <c r="J8" s="3" t="n"/>
    </row>
    <row r="9">
      <c r="A9" s="3" t="n"/>
      <c r="B9" s="3" t="n"/>
      <c r="C9" s="3" t="n"/>
      <c r="D9" s="3" t="n"/>
      <c r="E9" s="3" t="n"/>
      <c r="F9" s="3" t="n"/>
      <c r="G9" s="3" t="n"/>
      <c r="H9" s="3" t="n"/>
      <c r="I9" s="3" t="n"/>
      <c r="J9" s="3" t="n"/>
    </row>
    <row r="10" ht="45" customHeight="1">
      <c r="A10" s="9" t="inlineStr">
        <is>
          <t>Question</t>
        </is>
      </c>
      <c r="B10" s="3" t="inlineStr">
        <is>
          <t>What evidentiary threshold must the European Commission meet to justify a dawn raid, including the requirement for “sufficiently serious indicia”?</t>
        </is>
      </c>
      <c r="C10" s="3" t="n"/>
      <c r="D10" s="3" t="n"/>
      <c r="E10" s="3" t="n"/>
      <c r="F10" s="3" t="n"/>
      <c r="G10" s="3" t="n"/>
      <c r="H10" s="3" t="n"/>
      <c r="I10" s="3" t="n"/>
      <c r="J10" s="3" t="n"/>
    </row>
    <row r="11">
      <c r="A11" s="3" t="n"/>
      <c r="B11" s="3" t="n"/>
      <c r="C11" s="3" t="n"/>
      <c r="D11" s="3" t="n"/>
      <c r="E11" s="3" t="n"/>
      <c r="F11" s="3" t="n"/>
      <c r="G11" s="3" t="n"/>
      <c r="H11" s="3" t="n"/>
      <c r="I11" s="3" t="n"/>
      <c r="J11" s="3" t="n"/>
    </row>
    <row r="12">
      <c r="A12" s="3" t="n"/>
      <c r="B12" s="3" t="n"/>
      <c r="C12" s="3" t="n"/>
      <c r="D12" s="3" t="n"/>
      <c r="E12" s="3" t="n"/>
      <c r="F12" s="3" t="n"/>
      <c r="G12" s="3" t="n"/>
      <c r="H12" s="3" t="n"/>
      <c r="I12" s="3" t="n"/>
      <c r="J12" s="3" t="n"/>
    </row>
    <row r="13">
      <c r="A13" s="3" t="n"/>
      <c r="B13" s="3" t="n"/>
      <c r="C13" s="3" t="n"/>
      <c r="D13" s="3" t="n"/>
      <c r="E13" s="3" t="n"/>
      <c r="F13" s="3" t="n"/>
      <c r="G13" s="3" t="n"/>
      <c r="H13" s="3" t="n"/>
      <c r="I13" s="3" t="n"/>
      <c r="J13" s="3" t="n"/>
    </row>
    <row r="14">
      <c r="A14" s="8" t="inlineStr">
        <is>
          <t>Generated answer</t>
        </is>
      </c>
      <c r="B14" s="3" t="n"/>
      <c r="C14" s="3" t="n"/>
      <c r="D14" s="3" t="n"/>
      <c r="E14" s="3" t="n"/>
      <c r="F14" s="3" t="n"/>
      <c r="G14" s="3" t="n"/>
      <c r="H14" s="3" t="n"/>
      <c r="I14" s="3" t="n"/>
      <c r="J14" s="3" t="n"/>
    </row>
    <row r="15">
      <c r="A15" s="10" t="inlineStr">
        <is>
          <t>Paste the generated answer below.</t>
        </is>
      </c>
      <c r="B15" s="3" t="n"/>
      <c r="C15" s="3" t="n"/>
      <c r="D15" s="3" t="n"/>
      <c r="E15" s="3" t="n"/>
      <c r="F15" s="3" t="n"/>
      <c r="G15" s="3" t="n"/>
      <c r="H15" s="3" t="n"/>
      <c r="I15" s="3" t="n"/>
      <c r="J15" s="3" t="n"/>
    </row>
    <row r="16" ht="90" customHeight="1">
      <c r="A16" s="3" t="inlineStr"/>
      <c r="B16" s="3" t="n"/>
      <c r="C16" s="3" t="n"/>
      <c r="D16" s="3" t="n"/>
      <c r="E16" s="3" t="n"/>
      <c r="F16" s="3" t="n"/>
      <c r="G16" s="3" t="n"/>
      <c r="H16" s="3" t="n"/>
      <c r="I16" s="3" t="n"/>
      <c r="J16" s="3" t="n"/>
    </row>
    <row r="17" ht="30" customHeight="1">
      <c r="A17" s="3" t="n"/>
      <c r="B17" s="3" t="n"/>
      <c r="C17" s="3" t="n"/>
      <c r="D17" s="3" t="n"/>
      <c r="E17" s="3" t="n"/>
      <c r="F17" s="3" t="n"/>
      <c r="G17" s="3" t="n"/>
      <c r="H17" s="3" t="n"/>
      <c r="I17" s="3" t="n"/>
      <c r="J17" s="3" t="n"/>
    </row>
    <row r="18" ht="30" customHeight="1">
      <c r="A18" s="3" t="n"/>
      <c r="B18" s="3" t="n"/>
      <c r="C18" s="3" t="n"/>
      <c r="D18" s="3" t="n"/>
      <c r="E18" s="3" t="n"/>
      <c r="F18" s="3" t="n"/>
      <c r="G18" s="3" t="n"/>
      <c r="H18" s="3" t="n"/>
      <c r="I18" s="3" t="n"/>
      <c r="J18" s="3" t="n"/>
    </row>
    <row r="19">
      <c r="A19" s="9" t="inlineStr">
        <is>
          <t>Run ID</t>
        </is>
      </c>
      <c r="B19" s="3" t="inlineStr"/>
      <c r="C19" s="9" t="inlineStr">
        <is>
          <t>Run date</t>
        </is>
      </c>
      <c r="D19" s="3" t="inlineStr"/>
      <c r="E19" s="9" t="inlineStr">
        <is>
          <t>Model / prompt version</t>
        </is>
      </c>
      <c r="F19" s="3" t="inlineStr"/>
      <c r="G19" s="9" t="inlineStr">
        <is>
          <t>Corpus snapshot</t>
        </is>
      </c>
      <c r="H19" s="3" t="inlineStr"/>
      <c r="I19" s="3" t="n"/>
      <c r="J19" s="3" t="n"/>
    </row>
    <row r="20">
      <c r="A20" s="8" t="inlineStr">
        <is>
          <t>Retrieval set review</t>
        </is>
      </c>
      <c r="B20" s="3" t="n"/>
      <c r="C20" s="3" t="n"/>
      <c r="D20" s="3" t="n"/>
      <c r="E20" s="3" t="n"/>
      <c r="F20" s="3" t="n"/>
      <c r="G20" s="3" t="n"/>
      <c r="H20" s="3" t="n"/>
      <c r="I20" s="3" t="n"/>
      <c r="J20" s="3" t="n"/>
    </row>
    <row r="21">
      <c r="A21" s="11" t="inlineStr">
        <is>
          <t>Rank</t>
        </is>
      </c>
      <c r="B21" s="11" t="inlineStr">
        <is>
          <t>Retrieved source</t>
        </is>
      </c>
      <c r="C21" s="11" t="inlineStr">
        <is>
          <t>Source type</t>
        </is>
      </c>
      <c r="D21" s="11" t="inlineStr">
        <is>
          <t>Jurisdiction</t>
        </is>
      </c>
      <c r="E21" s="11" t="inlineStr">
        <is>
          <t>URL / Document ID</t>
        </is>
      </c>
      <c r="F21" s="11" t="inlineStr">
        <is>
          <t>Returned by engine?</t>
        </is>
      </c>
      <c r="G21" s="11" t="inlineStr">
        <is>
          <t>Required source?</t>
        </is>
      </c>
      <c r="H21" s="11" t="inlineStr">
        <is>
          <t>Trap?</t>
        </is>
      </c>
      <c r="I21" s="11" t="inlineStr">
        <is>
          <t>Expert verdict</t>
        </is>
      </c>
      <c r="J21" s="11" t="inlineStr">
        <is>
          <t>Notes</t>
        </is>
      </c>
    </row>
    <row r="22" ht="44" customHeight="1">
      <c r="A22" s="4" t="n">
        <v>1</v>
      </c>
      <c r="B22" s="4" t="n"/>
      <c r="C22" s="4" t="n"/>
      <c r="D22" s="4" t="n"/>
      <c r="E22" s="4" t="n"/>
      <c r="F22" s="4" t="n"/>
      <c r="G22" s="4" t="n"/>
      <c r="H22" s="4" t="n"/>
      <c r="I22" s="4" t="n"/>
      <c r="J22" s="4" t="n"/>
    </row>
    <row r="23" ht="44" customHeight="1">
      <c r="A23" s="4" t="n">
        <v>2</v>
      </c>
      <c r="B23" s="4" t="n"/>
      <c r="C23" s="4" t="n"/>
      <c r="D23" s="4" t="n"/>
      <c r="E23" s="4" t="n"/>
      <c r="F23" s="4" t="n"/>
      <c r="G23" s="4" t="n"/>
      <c r="H23" s="4" t="n"/>
      <c r="I23" s="4" t="n"/>
      <c r="J23" s="4" t="n"/>
    </row>
    <row r="24" ht="44" customHeight="1">
      <c r="A24" s="4" t="n">
        <v>3</v>
      </c>
      <c r="B24" s="4" t="n"/>
      <c r="C24" s="4" t="n"/>
      <c r="D24" s="4" t="n"/>
      <c r="E24" s="4" t="n"/>
      <c r="F24" s="4" t="n"/>
      <c r="G24" s="4" t="n"/>
      <c r="H24" s="4" t="n"/>
      <c r="I24" s="4" t="n"/>
      <c r="J24" s="4" t="n"/>
    </row>
    <row r="25" ht="44" customHeight="1">
      <c r="A25" s="4" t="n">
        <v>4</v>
      </c>
      <c r="B25" s="4" t="n"/>
      <c r="C25" s="4" t="n"/>
      <c r="D25" s="4" t="n"/>
      <c r="E25" s="4" t="n"/>
      <c r="F25" s="4" t="n"/>
      <c r="G25" s="4" t="n"/>
      <c r="H25" s="4" t="n"/>
      <c r="I25" s="4" t="n"/>
      <c r="J25" s="4" t="n"/>
    </row>
    <row r="26" ht="44" customHeight="1">
      <c r="A26" s="4" t="n">
        <v>5</v>
      </c>
      <c r="B26" s="4" t="n"/>
      <c r="C26" s="4" t="n"/>
      <c r="D26" s="4" t="n"/>
      <c r="E26" s="4" t="n"/>
      <c r="F26" s="4" t="n"/>
      <c r="G26" s="4" t="n"/>
      <c r="H26" s="4" t="n"/>
      <c r="I26" s="4" t="n"/>
      <c r="J26" s="4" t="n"/>
    </row>
    <row r="27" ht="44" customHeight="1">
      <c r="A27" s="4" t="n">
        <v>6</v>
      </c>
      <c r="B27" s="4" t="n"/>
      <c r="C27" s="4" t="n"/>
      <c r="D27" s="4" t="n"/>
      <c r="E27" s="4" t="n"/>
      <c r="F27" s="4" t="n"/>
      <c r="G27" s="4" t="n"/>
      <c r="H27" s="4" t="n"/>
      <c r="I27" s="4" t="n"/>
      <c r="J27" s="4" t="n"/>
    </row>
    <row r="28" ht="44" customHeight="1">
      <c r="A28" s="4" t="n">
        <v>7</v>
      </c>
      <c r="B28" s="4" t="n"/>
      <c r="C28" s="4" t="n"/>
      <c r="D28" s="4" t="n"/>
      <c r="E28" s="4" t="n"/>
      <c r="F28" s="4" t="n"/>
      <c r="G28" s="4" t="n"/>
      <c r="H28" s="4" t="n"/>
      <c r="I28" s="4" t="n"/>
      <c r="J28" s="4" t="n"/>
    </row>
    <row r="29" ht="44" customHeight="1">
      <c r="A29" s="4" t="n">
        <v>8</v>
      </c>
      <c r="B29" s="4" t="n"/>
      <c r="C29" s="4" t="n"/>
      <c r="D29" s="4" t="n"/>
      <c r="E29" s="4" t="n"/>
      <c r="F29" s="4" t="n"/>
      <c r="G29" s="4" t="n"/>
      <c r="H29" s="4" t="n"/>
      <c r="I29" s="4" t="n"/>
      <c r="J29" s="4" t="n"/>
    </row>
    <row r="30" ht="44" customHeight="1">
      <c r="A30" s="4" t="n">
        <v>9</v>
      </c>
      <c r="B30" s="4" t="n"/>
      <c r="C30" s="4" t="n"/>
      <c r="D30" s="4" t="n"/>
      <c r="E30" s="4" t="n"/>
      <c r="F30" s="4" t="n"/>
      <c r="G30" s="4" t="n"/>
      <c r="H30" s="4" t="n"/>
      <c r="I30" s="4" t="n"/>
      <c r="J30" s="4" t="n"/>
    </row>
    <row r="31" ht="44" customHeight="1">
      <c r="A31" s="4" t="n">
        <v>10</v>
      </c>
      <c r="B31" s="4" t="n"/>
      <c r="C31" s="4" t="n"/>
      <c r="D31" s="4" t="n"/>
      <c r="E31" s="4" t="n"/>
      <c r="F31" s="4" t="n"/>
      <c r="G31" s="4" t="n"/>
      <c r="H31" s="4" t="n"/>
      <c r="I31" s="4" t="n"/>
      <c r="J31" s="4" t="n"/>
    </row>
    <row r="32" ht="44" customHeight="1">
      <c r="A32" s="4" t="n">
        <v>11</v>
      </c>
      <c r="B32" s="4" t="n"/>
      <c r="C32" s="4" t="n"/>
      <c r="D32" s="4" t="n"/>
      <c r="E32" s="4" t="n"/>
      <c r="F32" s="4" t="n"/>
      <c r="G32" s="4" t="n"/>
      <c r="H32" s="4" t="n"/>
      <c r="I32" s="4" t="n"/>
      <c r="J32" s="4" t="n"/>
    </row>
    <row r="33" ht="44" customHeight="1">
      <c r="A33" s="4" t="n">
        <v>12</v>
      </c>
      <c r="B33" s="4" t="n"/>
      <c r="C33" s="4" t="n"/>
      <c r="D33" s="4" t="n"/>
      <c r="E33" s="4" t="n"/>
      <c r="F33" s="4" t="n"/>
      <c r="G33" s="4" t="n"/>
      <c r="H33" s="4" t="n"/>
      <c r="I33" s="4" t="n"/>
      <c r="J33" s="4" t="n"/>
    </row>
    <row r="34" ht="44" customHeight="1">
      <c r="A34" s="4" t="n">
        <v>13</v>
      </c>
      <c r="B34" s="4" t="n"/>
      <c r="C34" s="4" t="n"/>
      <c r="D34" s="4" t="n"/>
      <c r="E34" s="4" t="n"/>
      <c r="F34" s="4" t="n"/>
      <c r="G34" s="4" t="n"/>
      <c r="H34" s="4" t="n"/>
      <c r="I34" s="4" t="n"/>
      <c r="J34" s="4" t="n"/>
    </row>
    <row r="35" ht="44" customHeight="1">
      <c r="A35" s="4" t="n">
        <v>14</v>
      </c>
      <c r="B35" s="4" t="n"/>
      <c r="C35" s="4" t="n"/>
      <c r="D35" s="4" t="n"/>
      <c r="E35" s="4" t="n"/>
      <c r="F35" s="4" t="n"/>
      <c r="G35" s="4" t="n"/>
      <c r="H35" s="4" t="n"/>
      <c r="I35" s="4" t="n"/>
      <c r="J35" s="4" t="n"/>
    </row>
    <row r="36" ht="44" customHeight="1">
      <c r="A36" s="4" t="n">
        <v>15</v>
      </c>
      <c r="B36" s="4" t="n"/>
      <c r="C36" s="4" t="n"/>
      <c r="D36" s="4" t="n"/>
      <c r="E36" s="4" t="n"/>
      <c r="F36" s="4" t="n"/>
      <c r="G36" s="4" t="n"/>
      <c r="H36" s="4" t="n"/>
      <c r="I36" s="4" t="n"/>
      <c r="J36" s="4" t="n"/>
    </row>
    <row r="37">
      <c r="A37" s="3" t="n"/>
      <c r="B37" s="3" t="n"/>
      <c r="C37" s="3" t="n"/>
      <c r="D37" s="3" t="n"/>
      <c r="E37" s="3" t="n"/>
      <c r="F37" s="3" t="n"/>
      <c r="G37" s="3" t="n"/>
      <c r="H37" s="3" t="n"/>
      <c r="I37" s="3" t="n"/>
      <c r="J37" s="3" t="n"/>
    </row>
    <row r="38">
      <c r="A38" s="8" t="inlineStr">
        <is>
          <t>Claim-by-claim review</t>
        </is>
      </c>
      <c r="B38" s="3" t="n"/>
      <c r="C38" s="3" t="n"/>
      <c r="D38" s="3" t="n"/>
      <c r="E38" s="3" t="n"/>
      <c r="F38" s="3" t="n"/>
      <c r="G38" s="3" t="n"/>
      <c r="H38" s="3" t="n"/>
      <c r="I38" s="3" t="n"/>
      <c r="J38" s="3" t="n"/>
    </row>
    <row r="39">
      <c r="A39" s="11" t="inlineStr">
        <is>
          <t>Claim ID</t>
        </is>
      </c>
      <c r="B39" s="11" t="inlineStr">
        <is>
          <t>Claim from answer</t>
        </is>
      </c>
      <c r="C39" s="11" t="inlineStr">
        <is>
          <t>Citation used</t>
        </is>
      </c>
      <c r="D39" s="11" t="inlineStr">
        <is>
          <t>Expert verdict</t>
        </is>
      </c>
      <c r="E39" s="11" t="inlineStr">
        <is>
          <t>Issue type</t>
        </is>
      </c>
      <c r="F39" s="11" t="inlineStr">
        <is>
          <t>Cited passage / source note</t>
        </is>
      </c>
      <c r="G39" s="11" t="inlineStr">
        <is>
          <t>Required fix / comment</t>
        </is>
      </c>
      <c r="H39" s="11" t="inlineStr">
        <is>
          <t>Reviewer</t>
        </is>
      </c>
      <c r="I39" s="11" t="n"/>
      <c r="J39" s="11" t="n"/>
    </row>
    <row r="40" ht="54" customHeight="1">
      <c r="A40" s="4" t="n">
        <v>1</v>
      </c>
      <c r="B40" s="4" t="n"/>
      <c r="C40" s="4" t="n"/>
      <c r="D40" s="4" t="n"/>
      <c r="E40" s="4" t="n"/>
      <c r="F40" s="4" t="n"/>
      <c r="G40" s="4" t="n"/>
      <c r="H40" s="4" t="n"/>
      <c r="I40" s="3" t="n"/>
      <c r="J40" s="3" t="n"/>
    </row>
    <row r="41" ht="54" customHeight="1">
      <c r="A41" s="4" t="n">
        <v>2</v>
      </c>
      <c r="B41" s="4" t="n"/>
      <c r="C41" s="4" t="n"/>
      <c r="D41" s="4" t="n"/>
      <c r="E41" s="4" t="n"/>
      <c r="F41" s="4" t="n"/>
      <c r="G41" s="4" t="n"/>
      <c r="H41" s="4" t="n"/>
      <c r="I41" s="3" t="n"/>
      <c r="J41" s="3" t="n"/>
    </row>
    <row r="42" ht="54" customHeight="1">
      <c r="A42" s="4" t="n">
        <v>3</v>
      </c>
      <c r="B42" s="4" t="n"/>
      <c r="C42" s="4" t="n"/>
      <c r="D42" s="4" t="n"/>
      <c r="E42" s="4" t="n"/>
      <c r="F42" s="4" t="n"/>
      <c r="G42" s="4" t="n"/>
      <c r="H42" s="4" t="n"/>
      <c r="I42" s="3" t="n"/>
      <c r="J42" s="3" t="n"/>
    </row>
    <row r="43" ht="54" customHeight="1">
      <c r="A43" s="4" t="n">
        <v>4</v>
      </c>
      <c r="B43" s="4" t="n"/>
      <c r="C43" s="4" t="n"/>
      <c r="D43" s="4" t="n"/>
      <c r="E43" s="4" t="n"/>
      <c r="F43" s="4" t="n"/>
      <c r="G43" s="4" t="n"/>
      <c r="H43" s="4" t="n"/>
      <c r="I43" s="3" t="n"/>
      <c r="J43" s="3" t="n"/>
    </row>
    <row r="44" ht="54" customHeight="1">
      <c r="A44" s="4" t="n">
        <v>5</v>
      </c>
      <c r="B44" s="4" t="n"/>
      <c r="C44" s="4" t="n"/>
      <c r="D44" s="4" t="n"/>
      <c r="E44" s="4" t="n"/>
      <c r="F44" s="4" t="n"/>
      <c r="G44" s="4" t="n"/>
      <c r="H44" s="4" t="n"/>
      <c r="I44" s="3" t="n"/>
      <c r="J44" s="3" t="n"/>
    </row>
    <row r="45" ht="54" customHeight="1">
      <c r="A45" s="4" t="n">
        <v>6</v>
      </c>
      <c r="B45" s="4" t="n"/>
      <c r="C45" s="4" t="n"/>
      <c r="D45" s="4" t="n"/>
      <c r="E45" s="4" t="n"/>
      <c r="F45" s="4" t="n"/>
      <c r="G45" s="4" t="n"/>
      <c r="H45" s="4" t="n"/>
      <c r="I45" s="3" t="n"/>
      <c r="J45" s="3" t="n"/>
    </row>
    <row r="46" ht="54" customHeight="1">
      <c r="A46" s="4" t="n">
        <v>7</v>
      </c>
      <c r="B46" s="4" t="n"/>
      <c r="C46" s="4" t="n"/>
      <c r="D46" s="4" t="n"/>
      <c r="E46" s="4" t="n"/>
      <c r="F46" s="4" t="n"/>
      <c r="G46" s="4" t="n"/>
      <c r="H46" s="4" t="n"/>
      <c r="I46" s="3" t="n"/>
      <c r="J46" s="3" t="n"/>
    </row>
    <row r="47" ht="54" customHeight="1">
      <c r="A47" s="4" t="n">
        <v>8</v>
      </c>
      <c r="B47" s="4" t="n"/>
      <c r="C47" s="4" t="n"/>
      <c r="D47" s="4" t="n"/>
      <c r="E47" s="4" t="n"/>
      <c r="F47" s="4" t="n"/>
      <c r="G47" s="4" t="n"/>
      <c r="H47" s="4" t="n"/>
      <c r="I47" s="3" t="n"/>
      <c r="J47" s="3" t="n"/>
    </row>
    <row r="48" ht="54" customHeight="1">
      <c r="A48" s="4" t="n">
        <v>9</v>
      </c>
      <c r="B48" s="4" t="n"/>
      <c r="C48" s="4" t="n"/>
      <c r="D48" s="4" t="n"/>
      <c r="E48" s="4" t="n"/>
      <c r="F48" s="4" t="n"/>
      <c r="G48" s="4" t="n"/>
      <c r="H48" s="4" t="n"/>
      <c r="I48" s="3" t="n"/>
      <c r="J48" s="3" t="n"/>
    </row>
    <row r="49" ht="54" customHeight="1">
      <c r="A49" s="4" t="n">
        <v>10</v>
      </c>
      <c r="B49" s="4" t="n"/>
      <c r="C49" s="4" t="n"/>
      <c r="D49" s="4" t="n"/>
      <c r="E49" s="4" t="n"/>
      <c r="F49" s="4" t="n"/>
      <c r="G49" s="4" t="n"/>
      <c r="H49" s="4" t="n"/>
      <c r="I49" s="3" t="n"/>
      <c r="J49" s="3" t="n"/>
    </row>
    <row r="50" ht="54" customHeight="1">
      <c r="A50" s="4" t="n">
        <v>11</v>
      </c>
      <c r="B50" s="4" t="n"/>
      <c r="C50" s="4" t="n"/>
      <c r="D50" s="4" t="n"/>
      <c r="E50" s="4" t="n"/>
      <c r="F50" s="4" t="n"/>
      <c r="G50" s="4" t="n"/>
      <c r="H50" s="4" t="n"/>
      <c r="I50" s="3" t="n"/>
      <c r="J50" s="3" t="n"/>
    </row>
    <row r="51" ht="54" customHeight="1">
      <c r="A51" s="4" t="n">
        <v>12</v>
      </c>
      <c r="B51" s="4" t="n"/>
      <c r="C51" s="4" t="n"/>
      <c r="D51" s="4" t="n"/>
      <c r="E51" s="4" t="n"/>
      <c r="F51" s="4" t="n"/>
      <c r="G51" s="4" t="n"/>
      <c r="H51" s="4" t="n"/>
      <c r="I51" s="3" t="n"/>
      <c r="J51" s="3" t="n"/>
    </row>
    <row r="52" ht="54" customHeight="1">
      <c r="A52" s="4" t="n">
        <v>13</v>
      </c>
      <c r="B52" s="4" t="n"/>
      <c r="C52" s="4" t="n"/>
      <c r="D52" s="4" t="n"/>
      <c r="E52" s="4" t="n"/>
      <c r="F52" s="4" t="n"/>
      <c r="G52" s="4" t="n"/>
      <c r="H52" s="4" t="n"/>
      <c r="I52" s="3" t="n"/>
      <c r="J52" s="3" t="n"/>
    </row>
    <row r="53" ht="54" customHeight="1">
      <c r="A53" s="4" t="n">
        <v>14</v>
      </c>
      <c r="B53" s="4" t="n"/>
      <c r="C53" s="4" t="n"/>
      <c r="D53" s="4" t="n"/>
      <c r="E53" s="4" t="n"/>
      <c r="F53" s="4" t="n"/>
      <c r="G53" s="4" t="n"/>
      <c r="H53" s="4" t="n"/>
      <c r="I53" s="3" t="n"/>
      <c r="J53" s="3" t="n"/>
    </row>
    <row r="54" ht="54" customHeight="1">
      <c r="A54" s="4" t="n">
        <v>15</v>
      </c>
      <c r="B54" s="4" t="n"/>
      <c r="C54" s="4" t="n"/>
      <c r="D54" s="4" t="n"/>
      <c r="E54" s="4" t="n"/>
      <c r="F54" s="4" t="n"/>
      <c r="G54" s="4" t="n"/>
      <c r="H54" s="4" t="n"/>
      <c r="I54" s="3" t="n"/>
      <c r="J54" s="3" t="n"/>
    </row>
    <row r="55" ht="54" customHeight="1">
      <c r="A55" s="4" t="n">
        <v>16</v>
      </c>
      <c r="B55" s="4" t="n"/>
      <c r="C55" s="4" t="n"/>
      <c r="D55" s="4" t="n"/>
      <c r="E55" s="4" t="n"/>
      <c r="F55" s="4" t="n"/>
      <c r="G55" s="4" t="n"/>
      <c r="H55" s="4" t="n"/>
      <c r="I55" s="3" t="n"/>
      <c r="J55" s="3" t="n"/>
    </row>
    <row r="56" ht="54" customHeight="1">
      <c r="A56" s="4" t="n">
        <v>17</v>
      </c>
      <c r="B56" s="4" t="n"/>
      <c r="C56" s="4" t="n"/>
      <c r="D56" s="4" t="n"/>
      <c r="E56" s="4" t="n"/>
      <c r="F56" s="4" t="n"/>
      <c r="G56" s="4" t="n"/>
      <c r="H56" s="4" t="n"/>
      <c r="I56" s="3" t="n"/>
      <c r="J56" s="3" t="n"/>
    </row>
    <row r="57" ht="54" customHeight="1">
      <c r="A57" s="4" t="n">
        <v>18</v>
      </c>
      <c r="B57" s="4" t="n"/>
      <c r="C57" s="4" t="n"/>
      <c r="D57" s="4" t="n"/>
      <c r="E57" s="4" t="n"/>
      <c r="F57" s="4" t="n"/>
      <c r="G57" s="4" t="n"/>
      <c r="H57" s="4" t="n"/>
      <c r="I57" s="3" t="n"/>
      <c r="J57" s="3" t="n"/>
    </row>
    <row r="58" ht="54" customHeight="1">
      <c r="A58" s="4" t="n">
        <v>19</v>
      </c>
      <c r="B58" s="4" t="n"/>
      <c r="C58" s="4" t="n"/>
      <c r="D58" s="4" t="n"/>
      <c r="E58" s="4" t="n"/>
      <c r="F58" s="4" t="n"/>
      <c r="G58" s="4" t="n"/>
      <c r="H58" s="4" t="n"/>
      <c r="I58" s="3" t="n"/>
      <c r="J58" s="3" t="n"/>
    </row>
    <row r="59" ht="54" customHeight="1">
      <c r="A59" s="4" t="n">
        <v>20</v>
      </c>
      <c r="B59" s="4" t="n"/>
      <c r="C59" s="4" t="n"/>
      <c r="D59" s="4" t="n"/>
      <c r="E59" s="4" t="n"/>
      <c r="F59" s="4" t="n"/>
      <c r="G59" s="4" t="n"/>
      <c r="H59" s="4" t="n"/>
      <c r="I59" s="3" t="n"/>
      <c r="J59" s="3" t="n"/>
    </row>
    <row r="60">
      <c r="A60" s="3" t="n"/>
      <c r="B60" s="3" t="n"/>
      <c r="C60" s="3" t="n"/>
      <c r="D60" s="3" t="n"/>
      <c r="E60" s="3" t="n"/>
      <c r="F60" s="3" t="n"/>
      <c r="G60" s="3" t="n"/>
      <c r="H60" s="3" t="n"/>
      <c r="I60" s="3" t="n"/>
      <c r="J60" s="3" t="n"/>
    </row>
    <row r="61">
      <c r="A61" s="8" t="inlineStr">
        <is>
          <t>Final expert verdict</t>
        </is>
      </c>
      <c r="B61" s="3" t="n"/>
      <c r="C61" s="3" t="n"/>
      <c r="D61" s="3" t="n"/>
      <c r="E61" s="3" t="n"/>
      <c r="F61" s="3" t="n"/>
      <c r="G61" s="3" t="n"/>
      <c r="H61" s="3" t="n"/>
      <c r="I61" s="3" t="n"/>
      <c r="J61" s="3" t="n"/>
    </row>
    <row r="62">
      <c r="A62" s="12" t="inlineStr">
        <is>
          <t>Is the answer acceptable?</t>
        </is>
      </c>
      <c r="B62" s="4" t="inlineStr"/>
      <c r="C62" s="4" t="n"/>
      <c r="D62" s="4" t="n"/>
      <c r="E62" s="4" t="n"/>
      <c r="F62" s="4" t="n"/>
      <c r="G62" s="4" t="n"/>
      <c r="H62" s="4" t="n"/>
      <c r="I62" s="3" t="n"/>
      <c r="J62" s="3" t="n"/>
    </row>
    <row r="63" ht="54" customHeight="1">
      <c r="A63" s="12" t="inlineStr">
        <is>
          <t>Overall comment / required fixes</t>
        </is>
      </c>
      <c r="B63" s="4" t="n"/>
      <c r="C63" s="4" t="n"/>
      <c r="D63" s="4" t="n"/>
      <c r="E63" s="4" t="n"/>
      <c r="F63" s="4" t="n"/>
      <c r="G63" s="4" t="n"/>
      <c r="H63" s="4" t="n"/>
      <c r="I63" s="3" t="n"/>
      <c r="J63" s="3" t="n"/>
    </row>
    <row r="64">
      <c r="A64" s="4" t="n"/>
      <c r="B64" s="4" t="n"/>
      <c r="C64" s="4" t="n"/>
      <c r="D64" s="4" t="n"/>
      <c r="E64" s="4" t="n"/>
      <c r="F64" s="4" t="n"/>
      <c r="G64" s="4" t="n"/>
      <c r="H64" s="4" t="n"/>
      <c r="I64" s="3" t="n"/>
      <c r="J64" s="3" t="n"/>
    </row>
    <row r="65">
      <c r="A65" s="12" t="inlineStr">
        <is>
          <t>Missing key sources?</t>
        </is>
      </c>
      <c r="B65" s="4" t="n"/>
      <c r="C65" s="4" t="n"/>
      <c r="D65" s="4" t="n"/>
      <c r="E65" s="4" t="n"/>
      <c r="F65" s="4" t="n"/>
      <c r="G65" s="4" t="n"/>
      <c r="H65" s="4" t="n"/>
      <c r="I65" s="3" t="n"/>
      <c r="J65" s="3" t="n"/>
    </row>
    <row r="66">
      <c r="A66" s="12" t="inlineStr">
        <is>
          <t>Review completed?</t>
        </is>
      </c>
      <c r="B66" s="4" t="inlineStr"/>
      <c r="C66" s="4" t="n"/>
      <c r="D66" s="4" t="n"/>
      <c r="E66" s="4" t="n"/>
      <c r="F66" s="4" t="n"/>
      <c r="G66" s="4" t="n"/>
      <c r="H66" s="4" t="n"/>
      <c r="I66" s="3" t="n"/>
      <c r="J66" s="3" t="n"/>
    </row>
    <row r="67">
      <c r="A67" s="12" t="inlineStr">
        <is>
          <t>Reviewer</t>
        </is>
      </c>
      <c r="B67" s="4" t="n"/>
      <c r="C67" s="12" t="inlineStr">
        <is>
          <t>Review date</t>
        </is>
      </c>
      <c r="D67" s="5" t="inlineStr"/>
      <c r="E67" s="4" t="n"/>
      <c r="F67" s="4" t="n"/>
      <c r="G67" s="4" t="n"/>
      <c r="H67" s="4" t="n"/>
      <c r="I67" s="3" t="n"/>
      <c r="J67" s="3" t="n"/>
    </row>
    <row r="68">
      <c r="A68" s="3" t="n"/>
      <c r="B68" s="3" t="n"/>
      <c r="C68" s="3" t="n"/>
      <c r="D68" s="3" t="n"/>
      <c r="E68" s="3" t="n"/>
      <c r="F68" s="3" t="n"/>
      <c r="G68" s="3" t="n"/>
      <c r="H68" s="3" t="n"/>
      <c r="I68" s="3" t="n"/>
      <c r="J68" s="3" t="n"/>
    </row>
    <row r="69">
      <c r="A69" s="8" t="inlineStr">
        <is>
          <t>Original source notes</t>
        </is>
      </c>
      <c r="B69" s="3" t="n"/>
      <c r="C69" s="3" t="n"/>
      <c r="D69" s="3" t="n"/>
      <c r="E69" s="3" t="n"/>
      <c r="F69" s="3" t="n"/>
      <c r="G69" s="3" t="n"/>
      <c r="H69" s="3" t="n"/>
      <c r="I69" s="3" t="n"/>
      <c r="J69" s="3" t="n"/>
    </row>
    <row r="70">
      <c r="A70" s="12" t="inlineStr">
        <is>
          <t>WAB notes</t>
        </is>
      </c>
      <c r="B70" s="4" t="inlineStr">
        <is>
          <t>Split from the question 31 following Carolina’s feedback. Question 1.</t>
        </is>
      </c>
      <c r="C70" s="4" t="n"/>
      <c r="D70" s="4" t="n"/>
      <c r="E70" s="4" t="n"/>
      <c r="F70" s="4" t="n"/>
      <c r="G70" s="4" t="n"/>
      <c r="H70" s="4" t="n"/>
      <c r="I70" s="3" t="n"/>
      <c r="J70" s="3" t="n"/>
    </row>
    <row r="71" ht="54" customHeight="1">
      <c r="A71" s="12" t="inlineStr">
        <is>
          <t>Reviewer notes from question approval</t>
        </is>
      </c>
      <c r="B71" s="4" t="inlineStr">
        <is>
          <t>agreed.</t>
        </is>
      </c>
      <c r="C71" s="4" t="n"/>
      <c r="D71" s="4" t="n"/>
      <c r="E71" s="4" t="n"/>
      <c r="F71" s="4" t="n"/>
      <c r="G71" s="4" t="n"/>
      <c r="H71" s="4" t="n"/>
      <c r="I71" s="3" t="n"/>
      <c r="J71" s="3" t="n"/>
    </row>
    <row r="72">
      <c r="A72" s="4" t="n"/>
      <c r="B72" s="4" t="n"/>
      <c r="C72" s="4" t="n"/>
      <c r="D72" s="4" t="n"/>
      <c r="E72" s="4" t="n"/>
      <c r="F72" s="4" t="n"/>
      <c r="G72" s="4" t="n"/>
      <c r="H72" s="4" t="n"/>
      <c r="I72" s="3" t="n"/>
      <c r="J72" s="3" t="n"/>
    </row>
  </sheetData>
  <autoFilter ref="A21:J36"/>
  <mergeCells count="20">
    <mergeCell ref="B65:H65"/>
    <mergeCell ref="B71:H72"/>
    <mergeCell ref="B6:H6"/>
    <mergeCell ref="A20:J20"/>
    <mergeCell ref="A1:H1"/>
    <mergeCell ref="B5:H5"/>
    <mergeCell ref="A61:H61"/>
    <mergeCell ref="A69:H69"/>
    <mergeCell ref="B4:H4"/>
    <mergeCell ref="B62:H62"/>
    <mergeCell ref="B7:H7"/>
    <mergeCell ref="B66:H66"/>
    <mergeCell ref="A3:H3"/>
    <mergeCell ref="A16:H18"/>
    <mergeCell ref="B70:H70"/>
    <mergeCell ref="A14:H14"/>
    <mergeCell ref="B63:H64"/>
    <mergeCell ref="B8:H8"/>
    <mergeCell ref="B10:H12"/>
    <mergeCell ref="A38:H38"/>
  </mergeCells>
  <dataValidations count="9">
    <dataValidation sqref="C22:C36" showDropDown="0" showInputMessage="0" showErrorMessage="0" allowBlank="1" type="list">
      <formula1>=Lists!$F$2:$F$5</formula1>
    </dataValidation>
    <dataValidation sqref="F22:F36" showDropDown="0" showInputMessage="0" showErrorMessage="0" allowBlank="1" type="list">
      <formula1>=Lists!$G$2:$G$4</formula1>
    </dataValidation>
    <dataValidation sqref="G22:G36" showDropDown="0" showInputMessage="0" showErrorMessage="0" allowBlank="1" type="list">
      <formula1>=Lists!$G$2:$G$4</formula1>
    </dataValidation>
    <dataValidation sqref="H22:H36" showDropDown="0" showInputMessage="0" showErrorMessage="0" allowBlank="1" type="list">
      <formula1>=Lists!$G$2:$G$4</formula1>
    </dataValidation>
    <dataValidation sqref="I22:I36" showDropDown="0" showInputMessage="0" showErrorMessage="0" allowBlank="1" type="list">
      <formula1>=Lists!$H$2:$H$6</formula1>
    </dataValidation>
    <dataValidation sqref="D40:D59" showDropDown="0" showInputMessage="0" showErrorMessage="0" allowBlank="1" type="list">
      <formula1>=Lists!$D$2:$D$7</formula1>
    </dataValidation>
    <dataValidation sqref="E40:E59" showDropDown="0" showInputMessage="0" showErrorMessage="0" allowBlank="1" type="list">
      <formula1>=Lists!$E$2:$E$8</formula1>
    </dataValidation>
    <dataValidation sqref="B62" showDropDown="0" showInputMessage="0" showErrorMessage="0" allowBlank="1" type="list">
      <formula1>=Lists!$C$2:$C$4</formula1>
    </dataValidation>
    <dataValidation sqref="B66" showDropDown="0" showInputMessage="0" showErrorMessage="0" allowBlank="1" type="list">
      <formula1>=Lists!$A$2:$A$3</formula1>
    </dataValidation>
  </dataValidations>
  <pageMargins left="0.75" right="0.75" top="1" bottom="1" header="0.5" footer="0.5"/>
</worksheet>
</file>

<file path=xl/worksheets/sheet48.xml><?xml version="1.0" encoding="utf-8"?>
<worksheet xmlns="http://schemas.openxmlformats.org/spreadsheetml/2006/main">
  <sheetPr>
    <outlinePr summaryBelow="1" summaryRight="1"/>
    <pageSetUpPr/>
  </sheetPr>
  <dimension ref="A1:J72"/>
  <sheetViews>
    <sheetView showGridLines="0" workbookViewId="0">
      <pane ySplit="21" topLeftCell="A22" activePane="bottomLeft" state="frozen"/>
      <selection pane="bottomLeft" activeCell="A1" sqref="A1"/>
    </sheetView>
  </sheetViews>
  <sheetFormatPr baseColWidth="8" defaultRowHeight="15"/>
  <cols>
    <col width="12" customWidth="1" min="1" max="1"/>
    <col width="34" customWidth="1" min="2" max="2"/>
    <col width="22" customWidth="1" min="3" max="3"/>
    <col width="18" customWidth="1" min="4" max="4"/>
    <col width="20" customWidth="1" min="5" max="5"/>
    <col width="30" customWidth="1" min="6" max="6"/>
    <col width="34" customWidth="1" min="7" max="7"/>
    <col width="18" customWidth="1" min="8" max="8"/>
    <col width="18" customWidth="1" min="9" max="9"/>
    <col width="30" customWidth="1" min="10" max="10"/>
  </cols>
  <sheetData>
    <row r="1" ht="28" customHeight="1">
      <c r="A1" s="6" t="inlineStr">
        <is>
          <t>Q54 — Expert Review</t>
        </is>
      </c>
      <c r="B1" s="3" t="n"/>
      <c r="C1" s="3" t="n"/>
      <c r="D1" s="3" t="n"/>
      <c r="E1" s="3" t="n"/>
      <c r="F1" s="3" t="n"/>
      <c r="G1" s="3" t="n"/>
      <c r="H1" s="3" t="n"/>
      <c r="I1" s="3" t="n"/>
      <c r="J1" s="3" t="n"/>
    </row>
    <row r="2">
      <c r="A2" s="3" t="n"/>
      <c r="B2" s="3" t="n"/>
      <c r="C2" s="3" t="n"/>
      <c r="D2" s="3" t="n"/>
      <c r="E2" s="3" t="n"/>
      <c r="F2" s="3" t="n"/>
      <c r="G2" s="3" t="n"/>
      <c r="H2" s="3" t="n"/>
      <c r="I2" s="3" t="n"/>
      <c r="J2" s="3" t="n"/>
    </row>
    <row r="3">
      <c r="A3" s="8" t="inlineStr">
        <is>
          <t>Question metadata</t>
        </is>
      </c>
      <c r="B3" s="3" t="n"/>
      <c r="C3" s="3" t="n"/>
      <c r="D3" s="3" t="n"/>
      <c r="E3" s="3" t="n"/>
      <c r="F3" s="3" t="n"/>
      <c r="G3" s="3" t="n"/>
      <c r="H3" s="3" t="n"/>
      <c r="I3" s="3" t="n"/>
      <c r="J3" s="3" t="n"/>
    </row>
    <row r="4">
      <c r="A4" s="9" t="inlineStr">
        <is>
          <t>Question ID</t>
        </is>
      </c>
      <c r="B4" s="3" t="n">
        <v>54</v>
      </c>
      <c r="C4" s="3" t="n"/>
      <c r="D4" s="3" t="n"/>
      <c r="E4" s="3" t="n"/>
      <c r="F4" s="3" t="n"/>
      <c r="G4" s="3" t="n"/>
      <c r="H4" s="3" t="n"/>
      <c r="I4" s="3" t="n"/>
      <c r="J4" s="3" t="n"/>
    </row>
    <row r="5">
      <c r="A5" s="9" t="inlineStr">
        <is>
          <t>Topic</t>
        </is>
      </c>
      <c r="B5" s="3" t="inlineStr">
        <is>
          <t>Dawn raids — grounds for an inspection</t>
        </is>
      </c>
      <c r="C5" s="3" t="n"/>
      <c r="D5" s="3" t="n"/>
      <c r="E5" s="3" t="n"/>
      <c r="F5" s="3" t="n"/>
      <c r="G5" s="3" t="n"/>
      <c r="H5" s="3" t="n"/>
      <c r="I5" s="3" t="n"/>
      <c r="J5" s="3" t="n"/>
    </row>
    <row r="6">
      <c r="A6" s="9" t="inlineStr">
        <is>
          <t>Scope</t>
        </is>
      </c>
      <c r="B6" s="3" t="inlineStr">
        <is>
          <t>EU</t>
        </is>
      </c>
      <c r="C6" s="3" t="n"/>
      <c r="D6" s="3" t="n"/>
      <c r="E6" s="3" t="n"/>
      <c r="F6" s="3" t="n"/>
      <c r="G6" s="3" t="n"/>
      <c r="H6" s="3" t="n"/>
      <c r="I6" s="3" t="n"/>
      <c r="J6" s="3" t="n"/>
    </row>
    <row r="7">
      <c r="A7" s="9" t="inlineStr">
        <is>
          <t>Original reviewer</t>
        </is>
      </c>
      <c r="B7" s="3" t="inlineStr">
        <is>
          <t>Carolina</t>
        </is>
      </c>
      <c r="C7" s="3" t="n"/>
      <c r="D7" s="3" t="n"/>
      <c r="E7" s="3" t="n"/>
      <c r="F7" s="3" t="n"/>
      <c r="G7" s="3" t="n"/>
      <c r="H7" s="3" t="n"/>
      <c r="I7" s="3" t="n"/>
      <c r="J7" s="3" t="n"/>
    </row>
    <row r="8">
      <c r="A8" s="9" t="inlineStr">
        <is>
          <t>Original status</t>
        </is>
      </c>
      <c r="B8" s="3" t="inlineStr">
        <is>
          <t>Approved</t>
        </is>
      </c>
      <c r="C8" s="3" t="n"/>
      <c r="D8" s="3" t="n"/>
      <c r="E8" s="3" t="n"/>
      <c r="F8" s="3" t="n"/>
      <c r="G8" s="3" t="n"/>
      <c r="H8" s="3" t="n"/>
      <c r="I8" s="3" t="n"/>
      <c r="J8" s="3" t="n"/>
    </row>
    <row r="9">
      <c r="A9" s="3" t="n"/>
      <c r="B9" s="3" t="n"/>
      <c r="C9" s="3" t="n"/>
      <c r="D9" s="3" t="n"/>
      <c r="E9" s="3" t="n"/>
      <c r="F9" s="3" t="n"/>
      <c r="G9" s="3" t="n"/>
      <c r="H9" s="3" t="n"/>
      <c r="I9" s="3" t="n"/>
      <c r="J9" s="3" t="n"/>
    </row>
    <row r="10" ht="45" customHeight="1">
      <c r="A10" s="9" t="inlineStr">
        <is>
          <t>Question</t>
        </is>
      </c>
      <c r="B10" s="3" t="inlineStr">
        <is>
          <t>What is an undertaking entitled to know about the indicia underpinning an inspection decision, beyond its subject matter and purpose under Article 20(4) of Regulation 1/2003?</t>
        </is>
      </c>
      <c r="C10" s="3" t="n"/>
      <c r="D10" s="3" t="n"/>
      <c r="E10" s="3" t="n"/>
      <c r="F10" s="3" t="n"/>
      <c r="G10" s="3" t="n"/>
      <c r="H10" s="3" t="n"/>
      <c r="I10" s="3" t="n"/>
      <c r="J10" s="3" t="n"/>
    </row>
    <row r="11">
      <c r="A11" s="3" t="n"/>
      <c r="B11" s="3" t="n"/>
      <c r="C11" s="3" t="n"/>
      <c r="D11" s="3" t="n"/>
      <c r="E11" s="3" t="n"/>
      <c r="F11" s="3" t="n"/>
      <c r="G11" s="3" t="n"/>
      <c r="H11" s="3" t="n"/>
      <c r="I11" s="3" t="n"/>
      <c r="J11" s="3" t="n"/>
    </row>
    <row r="12">
      <c r="A12" s="3" t="n"/>
      <c r="B12" s="3" t="n"/>
      <c r="C12" s="3" t="n"/>
      <c r="D12" s="3" t="n"/>
      <c r="E12" s="3" t="n"/>
      <c r="F12" s="3" t="n"/>
      <c r="G12" s="3" t="n"/>
      <c r="H12" s="3" t="n"/>
      <c r="I12" s="3" t="n"/>
      <c r="J12" s="3" t="n"/>
    </row>
    <row r="13">
      <c r="A13" s="3" t="n"/>
      <c r="B13" s="3" t="n"/>
      <c r="C13" s="3" t="n"/>
      <c r="D13" s="3" t="n"/>
      <c r="E13" s="3" t="n"/>
      <c r="F13" s="3" t="n"/>
      <c r="G13" s="3" t="n"/>
      <c r="H13" s="3" t="n"/>
      <c r="I13" s="3" t="n"/>
      <c r="J13" s="3" t="n"/>
    </row>
    <row r="14">
      <c r="A14" s="8" t="inlineStr">
        <is>
          <t>Generated answer</t>
        </is>
      </c>
      <c r="B14" s="3" t="n"/>
      <c r="C14" s="3" t="n"/>
      <c r="D14" s="3" t="n"/>
      <c r="E14" s="3" t="n"/>
      <c r="F14" s="3" t="n"/>
      <c r="G14" s="3" t="n"/>
      <c r="H14" s="3" t="n"/>
      <c r="I14" s="3" t="n"/>
      <c r="J14" s="3" t="n"/>
    </row>
    <row r="15">
      <c r="A15" s="10" t="inlineStr">
        <is>
          <t>Paste the generated answer below.</t>
        </is>
      </c>
      <c r="B15" s="3" t="n"/>
      <c r="C15" s="3" t="n"/>
      <c r="D15" s="3" t="n"/>
      <c r="E15" s="3" t="n"/>
      <c r="F15" s="3" t="n"/>
      <c r="G15" s="3" t="n"/>
      <c r="H15" s="3" t="n"/>
      <c r="I15" s="3" t="n"/>
      <c r="J15" s="3" t="n"/>
    </row>
    <row r="16" ht="90" customHeight="1">
      <c r="A16" s="3" t="inlineStr"/>
      <c r="B16" s="3" t="n"/>
      <c r="C16" s="3" t="n"/>
      <c r="D16" s="3" t="n"/>
      <c r="E16" s="3" t="n"/>
      <c r="F16" s="3" t="n"/>
      <c r="G16" s="3" t="n"/>
      <c r="H16" s="3" t="n"/>
      <c r="I16" s="3" t="n"/>
      <c r="J16" s="3" t="n"/>
    </row>
    <row r="17" ht="30" customHeight="1">
      <c r="A17" s="3" t="n"/>
      <c r="B17" s="3" t="n"/>
      <c r="C17" s="3" t="n"/>
      <c r="D17" s="3" t="n"/>
      <c r="E17" s="3" t="n"/>
      <c r="F17" s="3" t="n"/>
      <c r="G17" s="3" t="n"/>
      <c r="H17" s="3" t="n"/>
      <c r="I17" s="3" t="n"/>
      <c r="J17" s="3" t="n"/>
    </row>
    <row r="18" ht="30" customHeight="1">
      <c r="A18" s="3" t="n"/>
      <c r="B18" s="3" t="n"/>
      <c r="C18" s="3" t="n"/>
      <c r="D18" s="3" t="n"/>
      <c r="E18" s="3" t="n"/>
      <c r="F18" s="3" t="n"/>
      <c r="G18" s="3" t="n"/>
      <c r="H18" s="3" t="n"/>
      <c r="I18" s="3" t="n"/>
      <c r="J18" s="3" t="n"/>
    </row>
    <row r="19">
      <c r="A19" s="9" t="inlineStr">
        <is>
          <t>Run ID</t>
        </is>
      </c>
      <c r="B19" s="3" t="inlineStr"/>
      <c r="C19" s="9" t="inlineStr">
        <is>
          <t>Run date</t>
        </is>
      </c>
      <c r="D19" s="3" t="inlineStr"/>
      <c r="E19" s="9" t="inlineStr">
        <is>
          <t>Model / prompt version</t>
        </is>
      </c>
      <c r="F19" s="3" t="inlineStr"/>
      <c r="G19" s="9" t="inlineStr">
        <is>
          <t>Corpus snapshot</t>
        </is>
      </c>
      <c r="H19" s="3" t="inlineStr"/>
      <c r="I19" s="3" t="n"/>
      <c r="J19" s="3" t="n"/>
    </row>
    <row r="20">
      <c r="A20" s="8" t="inlineStr">
        <is>
          <t>Retrieval set review</t>
        </is>
      </c>
      <c r="B20" s="3" t="n"/>
      <c r="C20" s="3" t="n"/>
      <c r="D20" s="3" t="n"/>
      <c r="E20" s="3" t="n"/>
      <c r="F20" s="3" t="n"/>
      <c r="G20" s="3" t="n"/>
      <c r="H20" s="3" t="n"/>
      <c r="I20" s="3" t="n"/>
      <c r="J20" s="3" t="n"/>
    </row>
    <row r="21">
      <c r="A21" s="11" t="inlineStr">
        <is>
          <t>Rank</t>
        </is>
      </c>
      <c r="B21" s="11" t="inlineStr">
        <is>
          <t>Retrieved source</t>
        </is>
      </c>
      <c r="C21" s="11" t="inlineStr">
        <is>
          <t>Source type</t>
        </is>
      </c>
      <c r="D21" s="11" t="inlineStr">
        <is>
          <t>Jurisdiction</t>
        </is>
      </c>
      <c r="E21" s="11" t="inlineStr">
        <is>
          <t>URL / Document ID</t>
        </is>
      </c>
      <c r="F21" s="11" t="inlineStr">
        <is>
          <t>Returned by engine?</t>
        </is>
      </c>
      <c r="G21" s="11" t="inlineStr">
        <is>
          <t>Required source?</t>
        </is>
      </c>
      <c r="H21" s="11" t="inlineStr">
        <is>
          <t>Trap?</t>
        </is>
      </c>
      <c r="I21" s="11" t="inlineStr">
        <is>
          <t>Expert verdict</t>
        </is>
      </c>
      <c r="J21" s="11" t="inlineStr">
        <is>
          <t>Notes</t>
        </is>
      </c>
    </row>
    <row r="22" ht="44" customHeight="1">
      <c r="A22" s="4" t="n">
        <v>1</v>
      </c>
      <c r="B22" s="4" t="n"/>
      <c r="C22" s="4" t="n"/>
      <c r="D22" s="4" t="n"/>
      <c r="E22" s="4" t="n"/>
      <c r="F22" s="4" t="n"/>
      <c r="G22" s="4" t="n"/>
      <c r="H22" s="4" t="n"/>
      <c r="I22" s="4" t="n"/>
      <c r="J22" s="4" t="n"/>
    </row>
    <row r="23" ht="44" customHeight="1">
      <c r="A23" s="4" t="n">
        <v>2</v>
      </c>
      <c r="B23" s="4" t="n"/>
      <c r="C23" s="4" t="n"/>
      <c r="D23" s="4" t="n"/>
      <c r="E23" s="4" t="n"/>
      <c r="F23" s="4" t="n"/>
      <c r="G23" s="4" t="n"/>
      <c r="H23" s="4" t="n"/>
      <c r="I23" s="4" t="n"/>
      <c r="J23" s="4" t="n"/>
    </row>
    <row r="24" ht="44" customHeight="1">
      <c r="A24" s="4" t="n">
        <v>3</v>
      </c>
      <c r="B24" s="4" t="n"/>
      <c r="C24" s="4" t="n"/>
      <c r="D24" s="4" t="n"/>
      <c r="E24" s="4" t="n"/>
      <c r="F24" s="4" t="n"/>
      <c r="G24" s="4" t="n"/>
      <c r="H24" s="4" t="n"/>
      <c r="I24" s="4" t="n"/>
      <c r="J24" s="4" t="n"/>
    </row>
    <row r="25" ht="44" customHeight="1">
      <c r="A25" s="4" t="n">
        <v>4</v>
      </c>
      <c r="B25" s="4" t="n"/>
      <c r="C25" s="4" t="n"/>
      <c r="D25" s="4" t="n"/>
      <c r="E25" s="4" t="n"/>
      <c r="F25" s="4" t="n"/>
      <c r="G25" s="4" t="n"/>
      <c r="H25" s="4" t="n"/>
      <c r="I25" s="4" t="n"/>
      <c r="J25" s="4" t="n"/>
    </row>
    <row r="26" ht="44" customHeight="1">
      <c r="A26" s="4" t="n">
        <v>5</v>
      </c>
      <c r="B26" s="4" t="n"/>
      <c r="C26" s="4" t="n"/>
      <c r="D26" s="4" t="n"/>
      <c r="E26" s="4" t="n"/>
      <c r="F26" s="4" t="n"/>
      <c r="G26" s="4" t="n"/>
      <c r="H26" s="4" t="n"/>
      <c r="I26" s="4" t="n"/>
      <c r="J26" s="4" t="n"/>
    </row>
    <row r="27" ht="44" customHeight="1">
      <c r="A27" s="4" t="n">
        <v>6</v>
      </c>
      <c r="B27" s="4" t="n"/>
      <c r="C27" s="4" t="n"/>
      <c r="D27" s="4" t="n"/>
      <c r="E27" s="4" t="n"/>
      <c r="F27" s="4" t="n"/>
      <c r="G27" s="4" t="n"/>
      <c r="H27" s="4" t="n"/>
      <c r="I27" s="4" t="n"/>
      <c r="J27" s="4" t="n"/>
    </row>
    <row r="28" ht="44" customHeight="1">
      <c r="A28" s="4" t="n">
        <v>7</v>
      </c>
      <c r="B28" s="4" t="n"/>
      <c r="C28" s="4" t="n"/>
      <c r="D28" s="4" t="n"/>
      <c r="E28" s="4" t="n"/>
      <c r="F28" s="4" t="n"/>
      <c r="G28" s="4" t="n"/>
      <c r="H28" s="4" t="n"/>
      <c r="I28" s="4" t="n"/>
      <c r="J28" s="4" t="n"/>
    </row>
    <row r="29" ht="44" customHeight="1">
      <c r="A29" s="4" t="n">
        <v>8</v>
      </c>
      <c r="B29" s="4" t="n"/>
      <c r="C29" s="4" t="n"/>
      <c r="D29" s="4" t="n"/>
      <c r="E29" s="4" t="n"/>
      <c r="F29" s="4" t="n"/>
      <c r="G29" s="4" t="n"/>
      <c r="H29" s="4" t="n"/>
      <c r="I29" s="4" t="n"/>
      <c r="J29" s="4" t="n"/>
    </row>
    <row r="30" ht="44" customHeight="1">
      <c r="A30" s="4" t="n">
        <v>9</v>
      </c>
      <c r="B30" s="4" t="n"/>
      <c r="C30" s="4" t="n"/>
      <c r="D30" s="4" t="n"/>
      <c r="E30" s="4" t="n"/>
      <c r="F30" s="4" t="n"/>
      <c r="G30" s="4" t="n"/>
      <c r="H30" s="4" t="n"/>
      <c r="I30" s="4" t="n"/>
      <c r="J30" s="4" t="n"/>
    </row>
    <row r="31" ht="44" customHeight="1">
      <c r="A31" s="4" t="n">
        <v>10</v>
      </c>
      <c r="B31" s="4" t="n"/>
      <c r="C31" s="4" t="n"/>
      <c r="D31" s="4" t="n"/>
      <c r="E31" s="4" t="n"/>
      <c r="F31" s="4" t="n"/>
      <c r="G31" s="4" t="n"/>
      <c r="H31" s="4" t="n"/>
      <c r="I31" s="4" t="n"/>
      <c r="J31" s="4" t="n"/>
    </row>
    <row r="32" ht="44" customHeight="1">
      <c r="A32" s="4" t="n">
        <v>11</v>
      </c>
      <c r="B32" s="4" t="n"/>
      <c r="C32" s="4" t="n"/>
      <c r="D32" s="4" t="n"/>
      <c r="E32" s="4" t="n"/>
      <c r="F32" s="4" t="n"/>
      <c r="G32" s="4" t="n"/>
      <c r="H32" s="4" t="n"/>
      <c r="I32" s="4" t="n"/>
      <c r="J32" s="4" t="n"/>
    </row>
    <row r="33" ht="44" customHeight="1">
      <c r="A33" s="4" t="n">
        <v>12</v>
      </c>
      <c r="B33" s="4" t="n"/>
      <c r="C33" s="4" t="n"/>
      <c r="D33" s="4" t="n"/>
      <c r="E33" s="4" t="n"/>
      <c r="F33" s="4" t="n"/>
      <c r="G33" s="4" t="n"/>
      <c r="H33" s="4" t="n"/>
      <c r="I33" s="4" t="n"/>
      <c r="J33" s="4" t="n"/>
    </row>
    <row r="34" ht="44" customHeight="1">
      <c r="A34" s="4" t="n">
        <v>13</v>
      </c>
      <c r="B34" s="4" t="n"/>
      <c r="C34" s="4" t="n"/>
      <c r="D34" s="4" t="n"/>
      <c r="E34" s="4" t="n"/>
      <c r="F34" s="4" t="n"/>
      <c r="G34" s="4" t="n"/>
      <c r="H34" s="4" t="n"/>
      <c r="I34" s="4" t="n"/>
      <c r="J34" s="4" t="n"/>
    </row>
    <row r="35" ht="44" customHeight="1">
      <c r="A35" s="4" t="n">
        <v>14</v>
      </c>
      <c r="B35" s="4" t="n"/>
      <c r="C35" s="4" t="n"/>
      <c r="D35" s="4" t="n"/>
      <c r="E35" s="4" t="n"/>
      <c r="F35" s="4" t="n"/>
      <c r="G35" s="4" t="n"/>
      <c r="H35" s="4" t="n"/>
      <c r="I35" s="4" t="n"/>
      <c r="J35" s="4" t="n"/>
    </row>
    <row r="36" ht="44" customHeight="1">
      <c r="A36" s="4" t="n">
        <v>15</v>
      </c>
      <c r="B36" s="4" t="n"/>
      <c r="C36" s="4" t="n"/>
      <c r="D36" s="4" t="n"/>
      <c r="E36" s="4" t="n"/>
      <c r="F36" s="4" t="n"/>
      <c r="G36" s="4" t="n"/>
      <c r="H36" s="4" t="n"/>
      <c r="I36" s="4" t="n"/>
      <c r="J36" s="4" t="n"/>
    </row>
    <row r="37">
      <c r="A37" s="3" t="n"/>
      <c r="B37" s="3" t="n"/>
      <c r="C37" s="3" t="n"/>
      <c r="D37" s="3" t="n"/>
      <c r="E37" s="3" t="n"/>
      <c r="F37" s="3" t="n"/>
      <c r="G37" s="3" t="n"/>
      <c r="H37" s="3" t="n"/>
      <c r="I37" s="3" t="n"/>
      <c r="J37" s="3" t="n"/>
    </row>
    <row r="38">
      <c r="A38" s="8" t="inlineStr">
        <is>
          <t>Claim-by-claim review</t>
        </is>
      </c>
      <c r="B38" s="3" t="n"/>
      <c r="C38" s="3" t="n"/>
      <c r="D38" s="3" t="n"/>
      <c r="E38" s="3" t="n"/>
      <c r="F38" s="3" t="n"/>
      <c r="G38" s="3" t="n"/>
      <c r="H38" s="3" t="n"/>
      <c r="I38" s="3" t="n"/>
      <c r="J38" s="3" t="n"/>
    </row>
    <row r="39">
      <c r="A39" s="11" t="inlineStr">
        <is>
          <t>Claim ID</t>
        </is>
      </c>
      <c r="B39" s="11" t="inlineStr">
        <is>
          <t>Claim from answer</t>
        </is>
      </c>
      <c r="C39" s="11" t="inlineStr">
        <is>
          <t>Citation used</t>
        </is>
      </c>
      <c r="D39" s="11" t="inlineStr">
        <is>
          <t>Expert verdict</t>
        </is>
      </c>
      <c r="E39" s="11" t="inlineStr">
        <is>
          <t>Issue type</t>
        </is>
      </c>
      <c r="F39" s="11" t="inlineStr">
        <is>
          <t>Cited passage / source note</t>
        </is>
      </c>
      <c r="G39" s="11" t="inlineStr">
        <is>
          <t>Required fix / comment</t>
        </is>
      </c>
      <c r="H39" s="11" t="inlineStr">
        <is>
          <t>Reviewer</t>
        </is>
      </c>
      <c r="I39" s="11" t="n"/>
      <c r="J39" s="11" t="n"/>
    </row>
    <row r="40" ht="54" customHeight="1">
      <c r="A40" s="4" t="n">
        <v>1</v>
      </c>
      <c r="B40" s="4" t="n"/>
      <c r="C40" s="4" t="n"/>
      <c r="D40" s="4" t="n"/>
      <c r="E40" s="4" t="n"/>
      <c r="F40" s="4" t="n"/>
      <c r="G40" s="4" t="n"/>
      <c r="H40" s="4" t="n"/>
      <c r="I40" s="3" t="n"/>
      <c r="J40" s="3" t="n"/>
    </row>
    <row r="41" ht="54" customHeight="1">
      <c r="A41" s="4" t="n">
        <v>2</v>
      </c>
      <c r="B41" s="4" t="n"/>
      <c r="C41" s="4" t="n"/>
      <c r="D41" s="4" t="n"/>
      <c r="E41" s="4" t="n"/>
      <c r="F41" s="4" t="n"/>
      <c r="G41" s="4" t="n"/>
      <c r="H41" s="4" t="n"/>
      <c r="I41" s="3" t="n"/>
      <c r="J41" s="3" t="n"/>
    </row>
    <row r="42" ht="54" customHeight="1">
      <c r="A42" s="4" t="n">
        <v>3</v>
      </c>
      <c r="B42" s="4" t="n"/>
      <c r="C42" s="4" t="n"/>
      <c r="D42" s="4" t="n"/>
      <c r="E42" s="4" t="n"/>
      <c r="F42" s="4" t="n"/>
      <c r="G42" s="4" t="n"/>
      <c r="H42" s="4" t="n"/>
      <c r="I42" s="3" t="n"/>
      <c r="J42" s="3" t="n"/>
    </row>
    <row r="43" ht="54" customHeight="1">
      <c r="A43" s="4" t="n">
        <v>4</v>
      </c>
      <c r="B43" s="4" t="n"/>
      <c r="C43" s="4" t="n"/>
      <c r="D43" s="4" t="n"/>
      <c r="E43" s="4" t="n"/>
      <c r="F43" s="4" t="n"/>
      <c r="G43" s="4" t="n"/>
      <c r="H43" s="4" t="n"/>
      <c r="I43" s="3" t="n"/>
      <c r="J43" s="3" t="n"/>
    </row>
    <row r="44" ht="54" customHeight="1">
      <c r="A44" s="4" t="n">
        <v>5</v>
      </c>
      <c r="B44" s="4" t="n"/>
      <c r="C44" s="4" t="n"/>
      <c r="D44" s="4" t="n"/>
      <c r="E44" s="4" t="n"/>
      <c r="F44" s="4" t="n"/>
      <c r="G44" s="4" t="n"/>
      <c r="H44" s="4" t="n"/>
      <c r="I44" s="3" t="n"/>
      <c r="J44" s="3" t="n"/>
    </row>
    <row r="45" ht="54" customHeight="1">
      <c r="A45" s="4" t="n">
        <v>6</v>
      </c>
      <c r="B45" s="4" t="n"/>
      <c r="C45" s="4" t="n"/>
      <c r="D45" s="4" t="n"/>
      <c r="E45" s="4" t="n"/>
      <c r="F45" s="4" t="n"/>
      <c r="G45" s="4" t="n"/>
      <c r="H45" s="4" t="n"/>
      <c r="I45" s="3" t="n"/>
      <c r="J45" s="3" t="n"/>
    </row>
    <row r="46" ht="54" customHeight="1">
      <c r="A46" s="4" t="n">
        <v>7</v>
      </c>
      <c r="B46" s="4" t="n"/>
      <c r="C46" s="4" t="n"/>
      <c r="D46" s="4" t="n"/>
      <c r="E46" s="4" t="n"/>
      <c r="F46" s="4" t="n"/>
      <c r="G46" s="4" t="n"/>
      <c r="H46" s="4" t="n"/>
      <c r="I46" s="3" t="n"/>
      <c r="J46" s="3" t="n"/>
    </row>
    <row r="47" ht="54" customHeight="1">
      <c r="A47" s="4" t="n">
        <v>8</v>
      </c>
      <c r="B47" s="4" t="n"/>
      <c r="C47" s="4" t="n"/>
      <c r="D47" s="4" t="n"/>
      <c r="E47" s="4" t="n"/>
      <c r="F47" s="4" t="n"/>
      <c r="G47" s="4" t="n"/>
      <c r="H47" s="4" t="n"/>
      <c r="I47" s="3" t="n"/>
      <c r="J47" s="3" t="n"/>
    </row>
    <row r="48" ht="54" customHeight="1">
      <c r="A48" s="4" t="n">
        <v>9</v>
      </c>
      <c r="B48" s="4" t="n"/>
      <c r="C48" s="4" t="n"/>
      <c r="D48" s="4" t="n"/>
      <c r="E48" s="4" t="n"/>
      <c r="F48" s="4" t="n"/>
      <c r="G48" s="4" t="n"/>
      <c r="H48" s="4" t="n"/>
      <c r="I48" s="3" t="n"/>
      <c r="J48" s="3" t="n"/>
    </row>
    <row r="49" ht="54" customHeight="1">
      <c r="A49" s="4" t="n">
        <v>10</v>
      </c>
      <c r="B49" s="4" t="n"/>
      <c r="C49" s="4" t="n"/>
      <c r="D49" s="4" t="n"/>
      <c r="E49" s="4" t="n"/>
      <c r="F49" s="4" t="n"/>
      <c r="G49" s="4" t="n"/>
      <c r="H49" s="4" t="n"/>
      <c r="I49" s="3" t="n"/>
      <c r="J49" s="3" t="n"/>
    </row>
    <row r="50" ht="54" customHeight="1">
      <c r="A50" s="4" t="n">
        <v>11</v>
      </c>
      <c r="B50" s="4" t="n"/>
      <c r="C50" s="4" t="n"/>
      <c r="D50" s="4" t="n"/>
      <c r="E50" s="4" t="n"/>
      <c r="F50" s="4" t="n"/>
      <c r="G50" s="4" t="n"/>
      <c r="H50" s="4" t="n"/>
      <c r="I50" s="3" t="n"/>
      <c r="J50" s="3" t="n"/>
    </row>
    <row r="51" ht="54" customHeight="1">
      <c r="A51" s="4" t="n">
        <v>12</v>
      </c>
      <c r="B51" s="4" t="n"/>
      <c r="C51" s="4" t="n"/>
      <c r="D51" s="4" t="n"/>
      <c r="E51" s="4" t="n"/>
      <c r="F51" s="4" t="n"/>
      <c r="G51" s="4" t="n"/>
      <c r="H51" s="4" t="n"/>
      <c r="I51" s="3" t="n"/>
      <c r="J51" s="3" t="n"/>
    </row>
    <row r="52" ht="54" customHeight="1">
      <c r="A52" s="4" t="n">
        <v>13</v>
      </c>
      <c r="B52" s="4" t="n"/>
      <c r="C52" s="4" t="n"/>
      <c r="D52" s="4" t="n"/>
      <c r="E52" s="4" t="n"/>
      <c r="F52" s="4" t="n"/>
      <c r="G52" s="4" t="n"/>
      <c r="H52" s="4" t="n"/>
      <c r="I52" s="3" t="n"/>
      <c r="J52" s="3" t="n"/>
    </row>
    <row r="53" ht="54" customHeight="1">
      <c r="A53" s="4" t="n">
        <v>14</v>
      </c>
      <c r="B53" s="4" t="n"/>
      <c r="C53" s="4" t="n"/>
      <c r="D53" s="4" t="n"/>
      <c r="E53" s="4" t="n"/>
      <c r="F53" s="4" t="n"/>
      <c r="G53" s="4" t="n"/>
      <c r="H53" s="4" t="n"/>
      <c r="I53" s="3" t="n"/>
      <c r="J53" s="3" t="n"/>
    </row>
    <row r="54" ht="54" customHeight="1">
      <c r="A54" s="4" t="n">
        <v>15</v>
      </c>
      <c r="B54" s="4" t="n"/>
      <c r="C54" s="4" t="n"/>
      <c r="D54" s="4" t="n"/>
      <c r="E54" s="4" t="n"/>
      <c r="F54" s="4" t="n"/>
      <c r="G54" s="4" t="n"/>
      <c r="H54" s="4" t="n"/>
      <c r="I54" s="3" t="n"/>
      <c r="J54" s="3" t="n"/>
    </row>
    <row r="55" ht="54" customHeight="1">
      <c r="A55" s="4" t="n">
        <v>16</v>
      </c>
      <c r="B55" s="4" t="n"/>
      <c r="C55" s="4" t="n"/>
      <c r="D55" s="4" t="n"/>
      <c r="E55" s="4" t="n"/>
      <c r="F55" s="4" t="n"/>
      <c r="G55" s="4" t="n"/>
      <c r="H55" s="4" t="n"/>
      <c r="I55" s="3" t="n"/>
      <c r="J55" s="3" t="n"/>
    </row>
    <row r="56" ht="54" customHeight="1">
      <c r="A56" s="4" t="n">
        <v>17</v>
      </c>
      <c r="B56" s="4" t="n"/>
      <c r="C56" s="4" t="n"/>
      <c r="D56" s="4" t="n"/>
      <c r="E56" s="4" t="n"/>
      <c r="F56" s="4" t="n"/>
      <c r="G56" s="4" t="n"/>
      <c r="H56" s="4" t="n"/>
      <c r="I56" s="3" t="n"/>
      <c r="J56" s="3" t="n"/>
    </row>
    <row r="57" ht="54" customHeight="1">
      <c r="A57" s="4" t="n">
        <v>18</v>
      </c>
      <c r="B57" s="4" t="n"/>
      <c r="C57" s="4" t="n"/>
      <c r="D57" s="4" t="n"/>
      <c r="E57" s="4" t="n"/>
      <c r="F57" s="4" t="n"/>
      <c r="G57" s="4" t="n"/>
      <c r="H57" s="4" t="n"/>
      <c r="I57" s="3" t="n"/>
      <c r="J57" s="3" t="n"/>
    </row>
    <row r="58" ht="54" customHeight="1">
      <c r="A58" s="4" t="n">
        <v>19</v>
      </c>
      <c r="B58" s="4" t="n"/>
      <c r="C58" s="4" t="n"/>
      <c r="D58" s="4" t="n"/>
      <c r="E58" s="4" t="n"/>
      <c r="F58" s="4" t="n"/>
      <c r="G58" s="4" t="n"/>
      <c r="H58" s="4" t="n"/>
      <c r="I58" s="3" t="n"/>
      <c r="J58" s="3" t="n"/>
    </row>
    <row r="59" ht="54" customHeight="1">
      <c r="A59" s="4" t="n">
        <v>20</v>
      </c>
      <c r="B59" s="4" t="n"/>
      <c r="C59" s="4" t="n"/>
      <c r="D59" s="4" t="n"/>
      <c r="E59" s="4" t="n"/>
      <c r="F59" s="4" t="n"/>
      <c r="G59" s="4" t="n"/>
      <c r="H59" s="4" t="n"/>
      <c r="I59" s="3" t="n"/>
      <c r="J59" s="3" t="n"/>
    </row>
    <row r="60">
      <c r="A60" s="3" t="n"/>
      <c r="B60" s="3" t="n"/>
      <c r="C60" s="3" t="n"/>
      <c r="D60" s="3" t="n"/>
      <c r="E60" s="3" t="n"/>
      <c r="F60" s="3" t="n"/>
      <c r="G60" s="3" t="n"/>
      <c r="H60" s="3" t="n"/>
      <c r="I60" s="3" t="n"/>
      <c r="J60" s="3" t="n"/>
    </row>
    <row r="61">
      <c r="A61" s="8" t="inlineStr">
        <is>
          <t>Final expert verdict</t>
        </is>
      </c>
      <c r="B61" s="3" t="n"/>
      <c r="C61" s="3" t="n"/>
      <c r="D61" s="3" t="n"/>
      <c r="E61" s="3" t="n"/>
      <c r="F61" s="3" t="n"/>
      <c r="G61" s="3" t="n"/>
      <c r="H61" s="3" t="n"/>
      <c r="I61" s="3" t="n"/>
      <c r="J61" s="3" t="n"/>
    </row>
    <row r="62">
      <c r="A62" s="12" t="inlineStr">
        <is>
          <t>Is the answer acceptable?</t>
        </is>
      </c>
      <c r="B62" s="4" t="inlineStr"/>
      <c r="C62" s="4" t="n"/>
      <c r="D62" s="4" t="n"/>
      <c r="E62" s="4" t="n"/>
      <c r="F62" s="4" t="n"/>
      <c r="G62" s="4" t="n"/>
      <c r="H62" s="4" t="n"/>
      <c r="I62" s="3" t="n"/>
      <c r="J62" s="3" t="n"/>
    </row>
    <row r="63" ht="54" customHeight="1">
      <c r="A63" s="12" t="inlineStr">
        <is>
          <t>Overall comment / required fixes</t>
        </is>
      </c>
      <c r="B63" s="4" t="n"/>
      <c r="C63" s="4" t="n"/>
      <c r="D63" s="4" t="n"/>
      <c r="E63" s="4" t="n"/>
      <c r="F63" s="4" t="n"/>
      <c r="G63" s="4" t="n"/>
      <c r="H63" s="4" t="n"/>
      <c r="I63" s="3" t="n"/>
      <c r="J63" s="3" t="n"/>
    </row>
    <row r="64">
      <c r="A64" s="4" t="n"/>
      <c r="B64" s="4" t="n"/>
      <c r="C64" s="4" t="n"/>
      <c r="D64" s="4" t="n"/>
      <c r="E64" s="4" t="n"/>
      <c r="F64" s="4" t="n"/>
      <c r="G64" s="4" t="n"/>
      <c r="H64" s="4" t="n"/>
      <c r="I64" s="3" t="n"/>
      <c r="J64" s="3" t="n"/>
    </row>
    <row r="65">
      <c r="A65" s="12" t="inlineStr">
        <is>
          <t>Missing key sources?</t>
        </is>
      </c>
      <c r="B65" s="4" t="n"/>
      <c r="C65" s="4" t="n"/>
      <c r="D65" s="4" t="n"/>
      <c r="E65" s="4" t="n"/>
      <c r="F65" s="4" t="n"/>
      <c r="G65" s="4" t="n"/>
      <c r="H65" s="4" t="n"/>
      <c r="I65" s="3" t="n"/>
      <c r="J65" s="3" t="n"/>
    </row>
    <row r="66">
      <c r="A66" s="12" t="inlineStr">
        <is>
          <t>Review completed?</t>
        </is>
      </c>
      <c r="B66" s="4" t="inlineStr"/>
      <c r="C66" s="4" t="n"/>
      <c r="D66" s="4" t="n"/>
      <c r="E66" s="4" t="n"/>
      <c r="F66" s="4" t="n"/>
      <c r="G66" s="4" t="n"/>
      <c r="H66" s="4" t="n"/>
      <c r="I66" s="3" t="n"/>
      <c r="J66" s="3" t="n"/>
    </row>
    <row r="67">
      <c r="A67" s="12" t="inlineStr">
        <is>
          <t>Reviewer</t>
        </is>
      </c>
      <c r="B67" s="4" t="n"/>
      <c r="C67" s="12" t="inlineStr">
        <is>
          <t>Review date</t>
        </is>
      </c>
      <c r="D67" s="5" t="inlineStr"/>
      <c r="E67" s="4" t="n"/>
      <c r="F67" s="4" t="n"/>
      <c r="G67" s="4" t="n"/>
      <c r="H67" s="4" t="n"/>
      <c r="I67" s="3" t="n"/>
      <c r="J67" s="3" t="n"/>
    </row>
    <row r="68">
      <c r="A68" s="3" t="n"/>
      <c r="B68" s="3" t="n"/>
      <c r="C68" s="3" t="n"/>
      <c r="D68" s="3" t="n"/>
      <c r="E68" s="3" t="n"/>
      <c r="F68" s="3" t="n"/>
      <c r="G68" s="3" t="n"/>
      <c r="H68" s="3" t="n"/>
      <c r="I68" s="3" t="n"/>
      <c r="J68" s="3" t="n"/>
    </row>
    <row r="69">
      <c r="A69" s="8" t="inlineStr">
        <is>
          <t>Original source notes</t>
        </is>
      </c>
      <c r="B69" s="3" t="n"/>
      <c r="C69" s="3" t="n"/>
      <c r="D69" s="3" t="n"/>
      <c r="E69" s="3" t="n"/>
      <c r="F69" s="3" t="n"/>
      <c r="G69" s="3" t="n"/>
      <c r="H69" s="3" t="n"/>
      <c r="I69" s="3" t="n"/>
      <c r="J69" s="3" t="n"/>
    </row>
    <row r="70">
      <c r="A70" s="12" t="inlineStr">
        <is>
          <t>WAB notes</t>
        </is>
      </c>
      <c r="B70" s="4" t="inlineStr">
        <is>
          <t>Split from the question 31 following Carolina’s feedback. Question 2.</t>
        </is>
      </c>
      <c r="C70" s="4" t="n"/>
      <c r="D70" s="4" t="n"/>
      <c r="E70" s="4" t="n"/>
      <c r="F70" s="4" t="n"/>
      <c r="G70" s="4" t="n"/>
      <c r="H70" s="4" t="n"/>
      <c r="I70" s="3" t="n"/>
      <c r="J70" s="3" t="n"/>
    </row>
    <row r="71" ht="54" customHeight="1">
      <c r="A71" s="12" t="inlineStr">
        <is>
          <t>Reviewer notes from question approval</t>
        </is>
      </c>
      <c r="B71" s="4" t="inlineStr">
        <is>
          <t>let's frame it in the following way "What is an undertaking entitled to know about the indicia underpinning an inspection decision, beyond its subject matter and purpose under Article 20(4) of Regulation 1/2003?"</t>
        </is>
      </c>
      <c r="C71" s="4" t="n"/>
      <c r="D71" s="4" t="n"/>
      <c r="E71" s="4" t="n"/>
      <c r="F71" s="4" t="n"/>
      <c r="G71" s="4" t="n"/>
      <c r="H71" s="4" t="n"/>
      <c r="I71" s="3" t="n"/>
      <c r="J71" s="3" t="n"/>
    </row>
    <row r="72">
      <c r="A72" s="4" t="n"/>
      <c r="B72" s="4" t="n"/>
      <c r="C72" s="4" t="n"/>
      <c r="D72" s="4" t="n"/>
      <c r="E72" s="4" t="n"/>
      <c r="F72" s="4" t="n"/>
      <c r="G72" s="4" t="n"/>
      <c r="H72" s="4" t="n"/>
      <c r="I72" s="3" t="n"/>
      <c r="J72" s="3" t="n"/>
    </row>
  </sheetData>
  <autoFilter ref="A21:J36"/>
  <mergeCells count="20">
    <mergeCell ref="B65:H65"/>
    <mergeCell ref="B71:H72"/>
    <mergeCell ref="B6:H6"/>
    <mergeCell ref="A20:J20"/>
    <mergeCell ref="A1:H1"/>
    <mergeCell ref="B5:H5"/>
    <mergeCell ref="A61:H61"/>
    <mergeCell ref="A69:H69"/>
    <mergeCell ref="B4:H4"/>
    <mergeCell ref="B62:H62"/>
    <mergeCell ref="B7:H7"/>
    <mergeCell ref="B66:H66"/>
    <mergeCell ref="A3:H3"/>
    <mergeCell ref="A16:H18"/>
    <mergeCell ref="B70:H70"/>
    <mergeCell ref="A14:H14"/>
    <mergeCell ref="B63:H64"/>
    <mergeCell ref="B8:H8"/>
    <mergeCell ref="B10:H12"/>
    <mergeCell ref="A38:H38"/>
  </mergeCells>
  <dataValidations count="9">
    <dataValidation sqref="C22:C36" showDropDown="0" showInputMessage="0" showErrorMessage="0" allowBlank="1" type="list">
      <formula1>=Lists!$F$2:$F$5</formula1>
    </dataValidation>
    <dataValidation sqref="F22:F36" showDropDown="0" showInputMessage="0" showErrorMessage="0" allowBlank="1" type="list">
      <formula1>=Lists!$G$2:$G$4</formula1>
    </dataValidation>
    <dataValidation sqref="G22:G36" showDropDown="0" showInputMessage="0" showErrorMessage="0" allowBlank="1" type="list">
      <formula1>=Lists!$G$2:$G$4</formula1>
    </dataValidation>
    <dataValidation sqref="H22:H36" showDropDown="0" showInputMessage="0" showErrorMessage="0" allowBlank="1" type="list">
      <formula1>=Lists!$G$2:$G$4</formula1>
    </dataValidation>
    <dataValidation sqref="I22:I36" showDropDown="0" showInputMessage="0" showErrorMessage="0" allowBlank="1" type="list">
      <formula1>=Lists!$H$2:$H$6</formula1>
    </dataValidation>
    <dataValidation sqref="D40:D59" showDropDown="0" showInputMessage="0" showErrorMessage="0" allowBlank="1" type="list">
      <formula1>=Lists!$D$2:$D$7</formula1>
    </dataValidation>
    <dataValidation sqref="E40:E59" showDropDown="0" showInputMessage="0" showErrorMessage="0" allowBlank="1" type="list">
      <formula1>=Lists!$E$2:$E$8</formula1>
    </dataValidation>
    <dataValidation sqref="B62" showDropDown="0" showInputMessage="0" showErrorMessage="0" allowBlank="1" type="list">
      <formula1>=Lists!$C$2:$C$4</formula1>
    </dataValidation>
    <dataValidation sqref="B66" showDropDown="0" showInputMessage="0" showErrorMessage="0" allowBlank="1" type="list">
      <formula1>=Lists!$A$2:$A$3</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2026-08-11T08:31:11Z</dcterms:created>
  <dcterms:modified xmlns:dcterms="http://purl.org/dc/terms/" xmlns:xsi="http://www.w3.org/2001/XMLSchema-instance" xsi:type="dcterms:W3CDTF">2026-08-11T08:31:15Z</dcterms:modified>
</cp:coreProperties>
</file>