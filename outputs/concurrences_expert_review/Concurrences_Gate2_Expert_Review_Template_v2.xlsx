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Review Status" sheetId="3" state="visible" r:id="rId3"/>
    <sheet xmlns:r="http://schemas.openxmlformats.org/officeDocument/2006/relationships" name="Scoring Summary" sheetId="4" state="visible" r:id="rId4"/>
    <sheet xmlns:r="http://schemas.openxmlformats.org/officeDocument/2006/relationships" name="Q01" sheetId="5" state="visible" r:id="rId5"/>
    <sheet xmlns:r="http://schemas.openxmlformats.org/officeDocument/2006/relationships" name="Q02" sheetId="6" state="visible" r:id="rId6"/>
    <sheet xmlns:r="http://schemas.openxmlformats.org/officeDocument/2006/relationships" name="Q03" sheetId="7" state="visible" r:id="rId7"/>
    <sheet xmlns:r="http://schemas.openxmlformats.org/officeDocument/2006/relationships" name="Q04" sheetId="8" state="visible" r:id="rId8"/>
    <sheet xmlns:r="http://schemas.openxmlformats.org/officeDocument/2006/relationships" name="Q05" sheetId="9" state="visible" r:id="rId9"/>
    <sheet xmlns:r="http://schemas.openxmlformats.org/officeDocument/2006/relationships" name="Q06" sheetId="10" state="visible" r:id="rId10"/>
    <sheet xmlns:r="http://schemas.openxmlformats.org/officeDocument/2006/relationships" name="Q07" sheetId="11" state="visible" r:id="rId11"/>
    <sheet xmlns:r="http://schemas.openxmlformats.org/officeDocument/2006/relationships" name="Q08" sheetId="12" state="visible" r:id="rId12"/>
    <sheet xmlns:r="http://schemas.openxmlformats.org/officeDocument/2006/relationships" name="Q09" sheetId="13" state="visible" r:id="rId13"/>
    <sheet xmlns:r="http://schemas.openxmlformats.org/officeDocument/2006/relationships" name="Q10" sheetId="14" state="visible" r:id="rId14"/>
    <sheet xmlns:r="http://schemas.openxmlformats.org/officeDocument/2006/relationships" name="Q11" sheetId="15" state="visible" r:id="rId15"/>
    <sheet xmlns:r="http://schemas.openxmlformats.org/officeDocument/2006/relationships" name="Q12" sheetId="16" state="visible" r:id="rId16"/>
    <sheet xmlns:r="http://schemas.openxmlformats.org/officeDocument/2006/relationships" name="Q13" sheetId="17" state="visible" r:id="rId17"/>
    <sheet xmlns:r="http://schemas.openxmlformats.org/officeDocument/2006/relationships" name="Q14" sheetId="18" state="visible" r:id="rId18"/>
    <sheet xmlns:r="http://schemas.openxmlformats.org/officeDocument/2006/relationships" name="Q15" sheetId="19" state="visible" r:id="rId19"/>
    <sheet xmlns:r="http://schemas.openxmlformats.org/officeDocument/2006/relationships" name="Q16" sheetId="20" state="visible" r:id="rId20"/>
    <sheet xmlns:r="http://schemas.openxmlformats.org/officeDocument/2006/relationships" name="Q17" sheetId="21" state="visible" r:id="rId21"/>
    <sheet xmlns:r="http://schemas.openxmlformats.org/officeDocument/2006/relationships" name="Q18" sheetId="22" state="visible" r:id="rId22"/>
    <sheet xmlns:r="http://schemas.openxmlformats.org/officeDocument/2006/relationships" name="Q22" sheetId="23" state="visible" r:id="rId23"/>
    <sheet xmlns:r="http://schemas.openxmlformats.org/officeDocument/2006/relationships" name="Q23" sheetId="24" state="visible" r:id="rId24"/>
    <sheet xmlns:r="http://schemas.openxmlformats.org/officeDocument/2006/relationships" name="Q24" sheetId="25" state="visible" r:id="rId25"/>
    <sheet xmlns:r="http://schemas.openxmlformats.org/officeDocument/2006/relationships" name="Q25" sheetId="26" state="visible" r:id="rId26"/>
    <sheet xmlns:r="http://schemas.openxmlformats.org/officeDocument/2006/relationships" name="Q26" sheetId="27" state="visible" r:id="rId27"/>
    <sheet xmlns:r="http://schemas.openxmlformats.org/officeDocument/2006/relationships" name="Q27" sheetId="28" state="visible" r:id="rId28"/>
    <sheet xmlns:r="http://schemas.openxmlformats.org/officeDocument/2006/relationships" name="Q28" sheetId="29" state="visible" r:id="rId29"/>
    <sheet xmlns:r="http://schemas.openxmlformats.org/officeDocument/2006/relationships" name="Q29" sheetId="30" state="visible" r:id="rId30"/>
    <sheet xmlns:r="http://schemas.openxmlformats.org/officeDocument/2006/relationships" name="Q30" sheetId="31" state="visible" r:id="rId31"/>
    <sheet xmlns:r="http://schemas.openxmlformats.org/officeDocument/2006/relationships" name="Q34" sheetId="32" state="visible" r:id="rId32"/>
    <sheet xmlns:r="http://schemas.openxmlformats.org/officeDocument/2006/relationships" name="Q35" sheetId="33" state="visible" r:id="rId33"/>
    <sheet xmlns:r="http://schemas.openxmlformats.org/officeDocument/2006/relationships" name="Q36" sheetId="34" state="visible" r:id="rId34"/>
    <sheet xmlns:r="http://schemas.openxmlformats.org/officeDocument/2006/relationships" name="Q38" sheetId="35" state="visible" r:id="rId35"/>
    <sheet xmlns:r="http://schemas.openxmlformats.org/officeDocument/2006/relationships" name="Q39" sheetId="36" state="visible" r:id="rId36"/>
    <sheet xmlns:r="http://schemas.openxmlformats.org/officeDocument/2006/relationships" name="Q41" sheetId="37" state="visible" r:id="rId37"/>
    <sheet xmlns:r="http://schemas.openxmlformats.org/officeDocument/2006/relationships" name="Q42" sheetId="38" state="visible" r:id="rId38"/>
    <sheet xmlns:r="http://schemas.openxmlformats.org/officeDocument/2006/relationships" name="Q43" sheetId="39" state="visible" r:id="rId39"/>
    <sheet xmlns:r="http://schemas.openxmlformats.org/officeDocument/2006/relationships" name="Q45" sheetId="40" state="visible" r:id="rId40"/>
    <sheet xmlns:r="http://schemas.openxmlformats.org/officeDocument/2006/relationships" name="Q46" sheetId="41" state="visible" r:id="rId41"/>
    <sheet xmlns:r="http://schemas.openxmlformats.org/officeDocument/2006/relationships" name="Q47" sheetId="42" state="visible" r:id="rId42"/>
    <sheet xmlns:r="http://schemas.openxmlformats.org/officeDocument/2006/relationships" name="Q48" sheetId="43" state="visible" r:id="rId43"/>
    <sheet xmlns:r="http://schemas.openxmlformats.org/officeDocument/2006/relationships" name="Q49" sheetId="44" state="visible" r:id="rId44"/>
    <sheet xmlns:r="http://schemas.openxmlformats.org/officeDocument/2006/relationships" name="Q51" sheetId="45" state="visible" r:id="rId45"/>
    <sheet xmlns:r="http://schemas.openxmlformats.org/officeDocument/2006/relationships" name="Q52" sheetId="46" state="visible" r:id="rId46"/>
    <sheet xmlns:r="http://schemas.openxmlformats.org/officeDocument/2006/relationships" name="Q53" sheetId="47" state="visible" r:id="rId47"/>
    <sheet xmlns:r="http://schemas.openxmlformats.org/officeDocument/2006/relationships" name="Q54" sheetId="48" state="visible" r:id="rId48"/>
  </sheets>
  <definedNames>
    <definedName name="_xlnm._FilterDatabase" localSheetId="2" hidden="1">'Review Status'!$A$3:$M$47</definedName>
    <definedName name="_xlnm._FilterDatabase" localSheetId="3" hidden="1">'Scoring Summary'!$A$4:$K$48</definedName>
    <definedName name="_xlnm._FilterDatabase" localSheetId="4" hidden="1">'Q01'!$A$21:$J$36</definedName>
    <definedName name="_xlnm._FilterDatabase" localSheetId="5" hidden="1">'Q02'!$A$21:$J$36</definedName>
    <definedName name="_xlnm._FilterDatabase" localSheetId="6" hidden="1">'Q03'!$A$21:$J$36</definedName>
    <definedName name="_xlnm._FilterDatabase" localSheetId="7" hidden="1">'Q04'!$A$21:$J$36</definedName>
    <definedName name="_xlnm._FilterDatabase" localSheetId="8" hidden="1">'Q05'!$A$21:$J$36</definedName>
    <definedName name="_xlnm._FilterDatabase" localSheetId="9" hidden="1">'Q06'!$A$21:$J$36</definedName>
    <definedName name="_xlnm._FilterDatabase" localSheetId="10" hidden="1">'Q07'!$A$21:$J$36</definedName>
    <definedName name="_xlnm._FilterDatabase" localSheetId="11" hidden="1">'Q08'!$A$21:$J$36</definedName>
    <definedName name="_xlnm._FilterDatabase" localSheetId="12" hidden="1">'Q09'!$A$21:$J$36</definedName>
    <definedName name="_xlnm._FilterDatabase" localSheetId="13" hidden="1">'Q10'!$A$21:$J$36</definedName>
    <definedName name="_xlnm._FilterDatabase" localSheetId="14" hidden="1">'Q11'!$A$21:$J$36</definedName>
    <definedName name="_xlnm._FilterDatabase" localSheetId="15" hidden="1">'Q12'!$A$21:$J$36</definedName>
    <definedName name="_xlnm._FilterDatabase" localSheetId="16" hidden="1">'Q13'!$A$21:$J$36</definedName>
    <definedName name="_xlnm._FilterDatabase" localSheetId="17" hidden="1">'Q14'!$A$21:$J$36</definedName>
    <definedName name="_xlnm._FilterDatabase" localSheetId="18" hidden="1">'Q15'!$A$21:$J$36</definedName>
    <definedName name="_xlnm._FilterDatabase" localSheetId="19" hidden="1">'Q16'!$A$21:$J$36</definedName>
    <definedName name="_xlnm._FilterDatabase" localSheetId="20" hidden="1">'Q17'!$A$21:$J$36</definedName>
    <definedName name="_xlnm._FilterDatabase" localSheetId="21" hidden="1">'Q18'!$A$21:$J$36</definedName>
    <definedName name="_xlnm._FilterDatabase" localSheetId="22" hidden="1">'Q22'!$A$21:$J$36</definedName>
    <definedName name="_xlnm._FilterDatabase" localSheetId="23" hidden="1">'Q23'!$A$21:$J$36</definedName>
    <definedName name="_xlnm._FilterDatabase" localSheetId="24" hidden="1">'Q24'!$A$21:$J$36</definedName>
    <definedName name="_xlnm._FilterDatabase" localSheetId="25" hidden="1">'Q25'!$A$21:$J$36</definedName>
    <definedName name="_xlnm._FilterDatabase" localSheetId="26" hidden="1">'Q26'!$A$21:$J$36</definedName>
    <definedName name="_xlnm._FilterDatabase" localSheetId="27" hidden="1">'Q27'!$A$21:$J$36</definedName>
    <definedName name="_xlnm._FilterDatabase" localSheetId="28" hidden="1">'Q28'!$A$21:$J$36</definedName>
    <definedName name="_xlnm._FilterDatabase" localSheetId="29" hidden="1">'Q29'!$A$21:$J$36</definedName>
    <definedName name="_xlnm._FilterDatabase" localSheetId="30" hidden="1">'Q30'!$A$21:$J$36</definedName>
    <definedName name="_xlnm._FilterDatabase" localSheetId="31" hidden="1">'Q34'!$A$21:$J$36</definedName>
    <definedName name="_xlnm._FilterDatabase" localSheetId="32" hidden="1">'Q35'!$A$21:$J$36</definedName>
    <definedName name="_xlnm._FilterDatabase" localSheetId="33" hidden="1">'Q36'!$A$21:$J$36</definedName>
    <definedName name="_xlnm._FilterDatabase" localSheetId="34" hidden="1">'Q38'!$A$21:$J$36</definedName>
    <definedName name="_xlnm._FilterDatabase" localSheetId="35" hidden="1">'Q39'!$A$21:$J$36</definedName>
    <definedName name="_xlnm._FilterDatabase" localSheetId="36" hidden="1">'Q41'!$A$21:$J$36</definedName>
    <definedName name="_xlnm._FilterDatabase" localSheetId="37" hidden="1">'Q42'!$A$21:$J$36</definedName>
    <definedName name="_xlnm._FilterDatabase" localSheetId="38" hidden="1">'Q43'!$A$21:$J$36</definedName>
    <definedName name="_xlnm._FilterDatabase" localSheetId="39" hidden="1">'Q45'!$A$21:$J$36</definedName>
    <definedName name="_xlnm._FilterDatabase" localSheetId="40" hidden="1">'Q46'!$A$21:$J$36</definedName>
    <definedName name="_xlnm._FilterDatabase" localSheetId="41" hidden="1">'Q47'!$A$21:$J$36</definedName>
    <definedName name="_xlnm._FilterDatabase" localSheetId="42" hidden="1">'Q48'!$A$21:$J$36</definedName>
    <definedName name="_xlnm._FilterDatabase" localSheetId="43" hidden="1">'Q49'!$A$21:$J$36</definedName>
    <definedName name="_xlnm._FilterDatabase" localSheetId="44" hidden="1">'Q51'!$A$21:$J$36</definedName>
    <definedName name="_xlnm._FilterDatabase" localSheetId="45" hidden="1">'Q52'!$A$21:$J$36</definedName>
    <definedName name="_xlnm._FilterDatabase" localSheetId="46" hidden="1">'Q53'!$A$21:$J$36</definedName>
    <definedName name="_xlnm._FilterDatabase" localSheetId="47" hidden="1">'Q54'!$A$21:$J$36</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FFFFFF"/>
      <sz val="16"/>
    </font>
    <font>
      <b val="1"/>
      <color rgb="001F1F1F"/>
      <sz val="12"/>
    </font>
    <font>
      <b val="1"/>
      <color rgb="00FFFFFF"/>
    </font>
    <font>
      <b val="1"/>
    </font>
    <font>
      <i val="1"/>
      <color rgb="00666666"/>
    </font>
    <font>
      <name val="Calibri"/>
      <family val="2"/>
      <color theme="10"/>
      <sz val="12"/>
      <scheme val="minor"/>
    </font>
    <font>
      <b val="1"/>
      <color rgb="00FFFFFF"/>
      <u val="single"/>
    </font>
  </fonts>
  <fills count="4">
    <fill>
      <patternFill/>
    </fill>
    <fill>
      <patternFill patternType="gray125"/>
    </fill>
    <fill>
      <patternFill patternType="solid">
        <fgColor rgb="001F4E78"/>
      </patternFill>
    </fill>
    <fill>
      <patternFill patternType="solid">
        <fgColor rgb="00D9EAF7"/>
      </patternFill>
    </fill>
  </fills>
  <borders count="11">
    <border>
      <left/>
      <right/>
      <top/>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style="thin">
        <color rgb="00D9E2F3"/>
      </left>
      <right/>
      <top/>
      <bottom/>
      <diagonal/>
    </border>
    <border>
      <left/>
      <right style="thin">
        <color rgb="00D9E2F3"/>
      </right>
      <top/>
      <bottom/>
      <diagonal/>
    </border>
    <border>
      <left style="thin">
        <color rgb="00D9E2F3"/>
      </left>
      <right/>
      <top/>
      <bottom style="thin">
        <color rgb="00D9E2F3"/>
      </bottom>
      <diagonal/>
    </border>
    <border>
      <left/>
      <right/>
      <top/>
      <bottom style="thin">
        <color rgb="00D9E2F3"/>
      </bottom>
      <diagonal/>
    </border>
    <border>
      <left/>
      <right style="thin">
        <color rgb="00D9E2F3"/>
      </right>
      <top/>
      <bottom style="thin">
        <color rgb="00D9E2F3"/>
      </bottom>
      <diagonal/>
    </border>
  </borders>
  <cellStyleXfs count="2">
    <xf numFmtId="0" fontId="0" fillId="0" borderId="0"/>
    <xf numFmtId="0" fontId="6" fillId="0" borderId="0"/>
  </cellStyleXfs>
  <cellXfs count="2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0" applyAlignment="1" pivotButton="0" quotePrefix="0" xfId="0">
      <alignment vertical="top" wrapText="1"/>
    </xf>
    <xf numFmtId="0" fontId="3" fillId="2" borderId="1" applyAlignment="1" pivotButton="0" quotePrefix="0" xfId="0">
      <alignment vertical="top" wrapText="1"/>
    </xf>
    <xf numFmtId="0" fontId="2" fillId="3"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0" applyAlignment="1" pivotButton="0" quotePrefix="0" xfId="0">
      <alignment horizontal="center" vertical="center" wrapText="1"/>
    </xf>
    <xf numFmtId="0" fontId="6" fillId="0" borderId="0" applyAlignment="1" pivotButton="0" quotePrefix="0" xfId="1">
      <alignment vertical="top" wrapText="1"/>
    </xf>
    <xf numFmtId="0" fontId="7" fillId="0" borderId="0" applyAlignment="1" pivotButton="0" quotePrefix="0" xfId="1">
      <alignment horizontal="right" vertical="center"/>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Q01'!A1" TargetMode="External" Id="rId1"/><Relationship Type="http://schemas.openxmlformats.org/officeDocument/2006/relationships/hyperlink" Target="#'Q02'!A1" TargetMode="External" Id="rId2"/><Relationship Type="http://schemas.openxmlformats.org/officeDocument/2006/relationships/hyperlink" Target="#'Q03'!A1" TargetMode="External" Id="rId3"/><Relationship Type="http://schemas.openxmlformats.org/officeDocument/2006/relationships/hyperlink" Target="#'Q04'!A1" TargetMode="External" Id="rId4"/><Relationship Type="http://schemas.openxmlformats.org/officeDocument/2006/relationships/hyperlink" Target="#'Q05'!A1" TargetMode="External" Id="rId5"/><Relationship Type="http://schemas.openxmlformats.org/officeDocument/2006/relationships/hyperlink" Target="#'Q06'!A1" TargetMode="External" Id="rId6"/><Relationship Type="http://schemas.openxmlformats.org/officeDocument/2006/relationships/hyperlink" Target="#'Q07'!A1" TargetMode="External" Id="rId7"/><Relationship Type="http://schemas.openxmlformats.org/officeDocument/2006/relationships/hyperlink" Target="#'Q08'!A1" TargetMode="External" Id="rId8"/><Relationship Type="http://schemas.openxmlformats.org/officeDocument/2006/relationships/hyperlink" Target="#'Q09'!A1" TargetMode="External" Id="rId9"/><Relationship Type="http://schemas.openxmlformats.org/officeDocument/2006/relationships/hyperlink" Target="#'Q10'!A1" TargetMode="External" Id="rId10"/><Relationship Type="http://schemas.openxmlformats.org/officeDocument/2006/relationships/hyperlink" Target="#'Q11'!A1" TargetMode="External" Id="rId11"/><Relationship Type="http://schemas.openxmlformats.org/officeDocument/2006/relationships/hyperlink" Target="#'Q12'!A1" TargetMode="External" Id="rId12"/><Relationship Type="http://schemas.openxmlformats.org/officeDocument/2006/relationships/hyperlink" Target="#'Q13'!A1" TargetMode="External" Id="rId13"/><Relationship Type="http://schemas.openxmlformats.org/officeDocument/2006/relationships/hyperlink" Target="#'Q14'!A1" TargetMode="External" Id="rId14"/><Relationship Type="http://schemas.openxmlformats.org/officeDocument/2006/relationships/hyperlink" Target="#'Q15'!A1" TargetMode="External" Id="rId15"/><Relationship Type="http://schemas.openxmlformats.org/officeDocument/2006/relationships/hyperlink" Target="#'Q16'!A1" TargetMode="External" Id="rId16"/><Relationship Type="http://schemas.openxmlformats.org/officeDocument/2006/relationships/hyperlink" Target="#'Q17'!A1" TargetMode="External" Id="rId17"/><Relationship Type="http://schemas.openxmlformats.org/officeDocument/2006/relationships/hyperlink" Target="#'Q18'!A1" TargetMode="External" Id="rId18"/><Relationship Type="http://schemas.openxmlformats.org/officeDocument/2006/relationships/hyperlink" Target="#'Q22'!A1" TargetMode="External" Id="rId19"/><Relationship Type="http://schemas.openxmlformats.org/officeDocument/2006/relationships/hyperlink" Target="#'Q23'!A1" TargetMode="External" Id="rId20"/><Relationship Type="http://schemas.openxmlformats.org/officeDocument/2006/relationships/hyperlink" Target="#'Q24'!A1" TargetMode="External" Id="rId21"/><Relationship Type="http://schemas.openxmlformats.org/officeDocument/2006/relationships/hyperlink" Target="#'Q25'!A1" TargetMode="External" Id="rId22"/><Relationship Type="http://schemas.openxmlformats.org/officeDocument/2006/relationships/hyperlink" Target="#'Q26'!A1" TargetMode="External" Id="rId23"/><Relationship Type="http://schemas.openxmlformats.org/officeDocument/2006/relationships/hyperlink" Target="#'Q27'!A1" TargetMode="External" Id="rId24"/><Relationship Type="http://schemas.openxmlformats.org/officeDocument/2006/relationships/hyperlink" Target="#'Q28'!A1" TargetMode="External" Id="rId25"/><Relationship Type="http://schemas.openxmlformats.org/officeDocument/2006/relationships/hyperlink" Target="#'Q29'!A1" TargetMode="External" Id="rId26"/><Relationship Type="http://schemas.openxmlformats.org/officeDocument/2006/relationships/hyperlink" Target="#'Q30'!A1" TargetMode="External" Id="rId27"/><Relationship Type="http://schemas.openxmlformats.org/officeDocument/2006/relationships/hyperlink" Target="#'Q34'!A1" TargetMode="External" Id="rId28"/><Relationship Type="http://schemas.openxmlformats.org/officeDocument/2006/relationships/hyperlink" Target="#'Q35'!A1" TargetMode="External" Id="rId29"/><Relationship Type="http://schemas.openxmlformats.org/officeDocument/2006/relationships/hyperlink" Target="#'Q36'!A1" TargetMode="External" Id="rId30"/><Relationship Type="http://schemas.openxmlformats.org/officeDocument/2006/relationships/hyperlink" Target="#'Q38'!A1" TargetMode="External" Id="rId31"/><Relationship Type="http://schemas.openxmlformats.org/officeDocument/2006/relationships/hyperlink" Target="#'Q39'!A1" TargetMode="External" Id="rId32"/><Relationship Type="http://schemas.openxmlformats.org/officeDocument/2006/relationships/hyperlink" Target="#'Q41'!A1" TargetMode="External" Id="rId33"/><Relationship Type="http://schemas.openxmlformats.org/officeDocument/2006/relationships/hyperlink" Target="#'Q42'!A1" TargetMode="External" Id="rId34"/><Relationship Type="http://schemas.openxmlformats.org/officeDocument/2006/relationships/hyperlink" Target="#'Q43'!A1" TargetMode="External" Id="rId35"/><Relationship Type="http://schemas.openxmlformats.org/officeDocument/2006/relationships/hyperlink" Target="#'Q45'!A1" TargetMode="External" Id="rId36"/><Relationship Type="http://schemas.openxmlformats.org/officeDocument/2006/relationships/hyperlink" Target="#'Q46'!A1" TargetMode="External" Id="rId37"/><Relationship Type="http://schemas.openxmlformats.org/officeDocument/2006/relationships/hyperlink" Target="#'Q47'!A1" TargetMode="External" Id="rId38"/><Relationship Type="http://schemas.openxmlformats.org/officeDocument/2006/relationships/hyperlink" Target="#'Q48'!A1" TargetMode="External" Id="rId39"/><Relationship Type="http://schemas.openxmlformats.org/officeDocument/2006/relationships/hyperlink" Target="#'Q49'!A1" TargetMode="External" Id="rId40"/><Relationship Type="http://schemas.openxmlformats.org/officeDocument/2006/relationships/hyperlink" Target="#'Q51'!A1" TargetMode="External" Id="rId41"/><Relationship Type="http://schemas.openxmlformats.org/officeDocument/2006/relationships/hyperlink" Target="#'Q52'!A1" TargetMode="External" Id="rId42"/><Relationship Type="http://schemas.openxmlformats.org/officeDocument/2006/relationships/hyperlink" Target="#'Q53'!A1" TargetMode="External" Id="rId43"/><Relationship Type="http://schemas.openxmlformats.org/officeDocument/2006/relationships/hyperlink" Target="#'Q54'!A1" TargetMode="External" Id="rId44"/></Relationships>
</file>

<file path=xl/worksheets/_rels/sheet5.xml.rels><Relationships xmlns="http://schemas.openxmlformats.org/package/2006/relationships"><Relationship Type="http://schemas.openxmlformats.org/officeDocument/2006/relationships/hyperlink" Target="#'Review Status'!A1" TargetMode="External" Id="rId1"/></Relationships>
</file>

<file path=xl/worksheets/_rels/sheet6.xml.rels><Relationships xmlns="http://schemas.openxmlformats.org/package/2006/relationships"><Relationship Type="http://schemas.openxmlformats.org/officeDocument/2006/relationships/hyperlink" Target="#'Review Status'!A1" TargetMode="External" Id="rId1"/></Relationships>
</file>

<file path=xl/worksheets/_rels/sheet7.xml.rels><Relationships xmlns="http://schemas.openxmlformats.org/package/2006/relationships"><Relationship Type="http://schemas.openxmlformats.org/officeDocument/2006/relationships/hyperlink" Target="#'Review Status'!A1" TargetMode="External" Id="rId1"/></Relationships>
</file>

<file path=xl/worksheets/_rels/sheet8.xml.rels><Relationships xmlns="http://schemas.openxmlformats.org/package/2006/relationships"><Relationship Type="http://schemas.openxmlformats.org/officeDocument/2006/relationships/hyperlink" Target="#'Review Status'!A1" TargetMode="External" Id="rId1"/></Relationships>
</file>

<file path=xl/worksheets/_rels/sheet9.xml.rels><Relationships xmlns="http://schemas.openxmlformats.org/package/2006/relationships"><Relationship Type="http://schemas.openxmlformats.org/officeDocument/2006/relationships/hyperlink" Target="#'Review Status'!A1" TargetMode="External" Id="rId1"/></Relationships>
</file>

<file path=xl/worksheets/_rels/sheet10.xml.rels><Relationships xmlns="http://schemas.openxmlformats.org/package/2006/relationships"><Relationship Type="http://schemas.openxmlformats.org/officeDocument/2006/relationships/hyperlink" Target="#'Review Status'!A1" TargetMode="External" Id="rId1"/></Relationships>
</file>

<file path=xl/worksheets/_rels/sheet11.xml.rels><Relationships xmlns="http://schemas.openxmlformats.org/package/2006/relationships"><Relationship Type="http://schemas.openxmlformats.org/officeDocument/2006/relationships/hyperlink" Target="#'Review Status'!A1" TargetMode="External" Id="rId1"/></Relationships>
</file>

<file path=xl/worksheets/_rels/sheet12.xml.rels><Relationships xmlns="http://schemas.openxmlformats.org/package/2006/relationships"><Relationship Type="http://schemas.openxmlformats.org/officeDocument/2006/relationships/hyperlink" Target="#'Review Status'!A1" TargetMode="External" Id="rId1"/></Relationships>
</file>

<file path=xl/worksheets/_rels/sheet13.xml.rels><Relationships xmlns="http://schemas.openxmlformats.org/package/2006/relationships"><Relationship Type="http://schemas.openxmlformats.org/officeDocument/2006/relationships/hyperlink" Target="#'Review Status'!A1" TargetMode="External" Id="rId1"/></Relationships>
</file>

<file path=xl/worksheets/_rels/sheet14.xml.rels><Relationships xmlns="http://schemas.openxmlformats.org/package/2006/relationships"><Relationship Type="http://schemas.openxmlformats.org/officeDocument/2006/relationships/hyperlink" Target="#'Review Status'!A1" TargetMode="External" Id="rId1"/></Relationships>
</file>

<file path=xl/worksheets/_rels/sheet15.xml.rels><Relationships xmlns="http://schemas.openxmlformats.org/package/2006/relationships"><Relationship Type="http://schemas.openxmlformats.org/officeDocument/2006/relationships/hyperlink" Target="#'Review Status'!A1" TargetMode="External" Id="rId1"/></Relationships>
</file>

<file path=xl/worksheets/_rels/sheet16.xml.rels><Relationships xmlns="http://schemas.openxmlformats.org/package/2006/relationships"><Relationship Type="http://schemas.openxmlformats.org/officeDocument/2006/relationships/hyperlink" Target="#'Review Status'!A1" TargetMode="External" Id="rId1"/></Relationships>
</file>

<file path=xl/worksheets/_rels/sheet17.xml.rels><Relationships xmlns="http://schemas.openxmlformats.org/package/2006/relationships"><Relationship Type="http://schemas.openxmlformats.org/officeDocument/2006/relationships/hyperlink" Target="#'Review Status'!A1" TargetMode="External" Id="rId1"/></Relationships>
</file>

<file path=xl/worksheets/_rels/sheet18.xml.rels><Relationships xmlns="http://schemas.openxmlformats.org/package/2006/relationships"><Relationship Type="http://schemas.openxmlformats.org/officeDocument/2006/relationships/hyperlink" Target="#'Review Status'!A1" TargetMode="External" Id="rId1"/></Relationships>
</file>

<file path=xl/worksheets/_rels/sheet19.xml.rels><Relationships xmlns="http://schemas.openxmlformats.org/package/2006/relationships"><Relationship Type="http://schemas.openxmlformats.org/officeDocument/2006/relationships/hyperlink" Target="#'Review Status'!A1" TargetMode="External" Id="rId1"/></Relationships>
</file>

<file path=xl/worksheets/_rels/sheet20.xml.rels><Relationships xmlns="http://schemas.openxmlformats.org/package/2006/relationships"><Relationship Type="http://schemas.openxmlformats.org/officeDocument/2006/relationships/hyperlink" Target="#'Review Status'!A1" TargetMode="External" Id="rId1"/></Relationships>
</file>

<file path=xl/worksheets/_rels/sheet21.xml.rels><Relationships xmlns="http://schemas.openxmlformats.org/package/2006/relationships"><Relationship Type="http://schemas.openxmlformats.org/officeDocument/2006/relationships/hyperlink" Target="#'Review Status'!A1" TargetMode="External" Id="rId1"/></Relationships>
</file>

<file path=xl/worksheets/_rels/sheet22.xml.rels><Relationships xmlns="http://schemas.openxmlformats.org/package/2006/relationships"><Relationship Type="http://schemas.openxmlformats.org/officeDocument/2006/relationships/hyperlink" Target="#'Review Status'!A1" TargetMode="External" Id="rId1"/></Relationships>
</file>

<file path=xl/worksheets/_rels/sheet23.xml.rels><Relationships xmlns="http://schemas.openxmlformats.org/package/2006/relationships"><Relationship Type="http://schemas.openxmlformats.org/officeDocument/2006/relationships/hyperlink" Target="#'Review Status'!A1" TargetMode="External" Id="rId1"/></Relationships>
</file>

<file path=xl/worksheets/_rels/sheet24.xml.rels><Relationships xmlns="http://schemas.openxmlformats.org/package/2006/relationships"><Relationship Type="http://schemas.openxmlformats.org/officeDocument/2006/relationships/hyperlink" Target="#'Review Status'!A1" TargetMode="External" Id="rId1"/></Relationships>
</file>

<file path=xl/worksheets/_rels/sheet25.xml.rels><Relationships xmlns="http://schemas.openxmlformats.org/package/2006/relationships"><Relationship Type="http://schemas.openxmlformats.org/officeDocument/2006/relationships/hyperlink" Target="#'Review Status'!A1" TargetMode="External" Id="rId1"/></Relationships>
</file>

<file path=xl/worksheets/_rels/sheet26.xml.rels><Relationships xmlns="http://schemas.openxmlformats.org/package/2006/relationships"><Relationship Type="http://schemas.openxmlformats.org/officeDocument/2006/relationships/hyperlink" Target="#'Review Status'!A1" TargetMode="External" Id="rId1"/></Relationships>
</file>

<file path=xl/worksheets/_rels/sheet27.xml.rels><Relationships xmlns="http://schemas.openxmlformats.org/package/2006/relationships"><Relationship Type="http://schemas.openxmlformats.org/officeDocument/2006/relationships/hyperlink" Target="#'Review Status'!A1" TargetMode="External" Id="rId1"/></Relationships>
</file>

<file path=xl/worksheets/_rels/sheet28.xml.rels><Relationships xmlns="http://schemas.openxmlformats.org/package/2006/relationships"><Relationship Type="http://schemas.openxmlformats.org/officeDocument/2006/relationships/hyperlink" Target="#'Review Status'!A1" TargetMode="External" Id="rId1"/></Relationships>
</file>

<file path=xl/worksheets/_rels/sheet29.xml.rels><Relationships xmlns="http://schemas.openxmlformats.org/package/2006/relationships"><Relationship Type="http://schemas.openxmlformats.org/officeDocument/2006/relationships/hyperlink" Target="#'Review Status'!A1" TargetMode="External" Id="rId1"/></Relationships>
</file>

<file path=xl/worksheets/_rels/sheet30.xml.rels><Relationships xmlns="http://schemas.openxmlformats.org/package/2006/relationships"><Relationship Type="http://schemas.openxmlformats.org/officeDocument/2006/relationships/hyperlink" Target="#'Review Status'!A1" TargetMode="External" Id="rId1"/></Relationships>
</file>

<file path=xl/worksheets/_rels/sheet31.xml.rels><Relationships xmlns="http://schemas.openxmlformats.org/package/2006/relationships"><Relationship Type="http://schemas.openxmlformats.org/officeDocument/2006/relationships/hyperlink" Target="#'Review Status'!A1" TargetMode="External" Id="rId1"/></Relationships>
</file>

<file path=xl/worksheets/_rels/sheet32.xml.rels><Relationships xmlns="http://schemas.openxmlformats.org/package/2006/relationships"><Relationship Type="http://schemas.openxmlformats.org/officeDocument/2006/relationships/hyperlink" Target="#'Review Status'!A1" TargetMode="External" Id="rId1"/></Relationships>
</file>

<file path=xl/worksheets/_rels/sheet33.xml.rels><Relationships xmlns="http://schemas.openxmlformats.org/package/2006/relationships"><Relationship Type="http://schemas.openxmlformats.org/officeDocument/2006/relationships/hyperlink" Target="#'Review Status'!A1" TargetMode="External" Id="rId1"/></Relationships>
</file>

<file path=xl/worksheets/_rels/sheet34.xml.rels><Relationships xmlns="http://schemas.openxmlformats.org/package/2006/relationships"><Relationship Type="http://schemas.openxmlformats.org/officeDocument/2006/relationships/hyperlink" Target="#'Review Status'!A1" TargetMode="External" Id="rId1"/></Relationships>
</file>

<file path=xl/worksheets/_rels/sheet35.xml.rels><Relationships xmlns="http://schemas.openxmlformats.org/package/2006/relationships"><Relationship Type="http://schemas.openxmlformats.org/officeDocument/2006/relationships/hyperlink" Target="#'Review Status'!A1" TargetMode="External" Id="rId1"/></Relationships>
</file>

<file path=xl/worksheets/_rels/sheet36.xml.rels><Relationships xmlns="http://schemas.openxmlformats.org/package/2006/relationships"><Relationship Type="http://schemas.openxmlformats.org/officeDocument/2006/relationships/hyperlink" Target="#'Review Status'!A1" TargetMode="External" Id="rId1"/></Relationships>
</file>

<file path=xl/worksheets/_rels/sheet37.xml.rels><Relationships xmlns="http://schemas.openxmlformats.org/package/2006/relationships"><Relationship Type="http://schemas.openxmlformats.org/officeDocument/2006/relationships/hyperlink" Target="#'Review Status'!A1" TargetMode="External" Id="rId1"/></Relationships>
</file>

<file path=xl/worksheets/_rels/sheet38.xml.rels><Relationships xmlns="http://schemas.openxmlformats.org/package/2006/relationships"><Relationship Type="http://schemas.openxmlformats.org/officeDocument/2006/relationships/hyperlink" Target="#'Review Status'!A1" TargetMode="External" Id="rId1"/></Relationships>
</file>

<file path=xl/worksheets/_rels/sheet39.xml.rels><Relationships xmlns="http://schemas.openxmlformats.org/package/2006/relationships"><Relationship Type="http://schemas.openxmlformats.org/officeDocument/2006/relationships/hyperlink" Target="#'Review Status'!A1" TargetMode="External" Id="rId1"/></Relationships>
</file>

<file path=xl/worksheets/_rels/sheet40.xml.rels><Relationships xmlns="http://schemas.openxmlformats.org/package/2006/relationships"><Relationship Type="http://schemas.openxmlformats.org/officeDocument/2006/relationships/hyperlink" Target="#'Review Status'!A1" TargetMode="External" Id="rId1"/></Relationships>
</file>

<file path=xl/worksheets/_rels/sheet41.xml.rels><Relationships xmlns="http://schemas.openxmlformats.org/package/2006/relationships"><Relationship Type="http://schemas.openxmlformats.org/officeDocument/2006/relationships/hyperlink" Target="#'Review Status'!A1" TargetMode="External" Id="rId1"/></Relationships>
</file>

<file path=xl/worksheets/_rels/sheet42.xml.rels><Relationships xmlns="http://schemas.openxmlformats.org/package/2006/relationships"><Relationship Type="http://schemas.openxmlformats.org/officeDocument/2006/relationships/hyperlink" Target="#'Review Status'!A1" TargetMode="External" Id="rId1"/></Relationships>
</file>

<file path=xl/worksheets/_rels/sheet43.xml.rels><Relationships xmlns="http://schemas.openxmlformats.org/package/2006/relationships"><Relationship Type="http://schemas.openxmlformats.org/officeDocument/2006/relationships/hyperlink" Target="#'Review Status'!A1" TargetMode="External" Id="rId1"/></Relationships>
</file>

<file path=xl/worksheets/_rels/sheet44.xml.rels><Relationships xmlns="http://schemas.openxmlformats.org/package/2006/relationships"><Relationship Type="http://schemas.openxmlformats.org/officeDocument/2006/relationships/hyperlink" Target="#'Review Status'!A1" TargetMode="External" Id="rId1"/></Relationships>
</file>

<file path=xl/worksheets/_rels/sheet45.xml.rels><Relationships xmlns="http://schemas.openxmlformats.org/package/2006/relationships"><Relationship Type="http://schemas.openxmlformats.org/officeDocument/2006/relationships/hyperlink" Target="#'Review Status'!A1" TargetMode="External" Id="rId1"/></Relationships>
</file>

<file path=xl/worksheets/_rels/sheet46.xml.rels><Relationships xmlns="http://schemas.openxmlformats.org/package/2006/relationships"><Relationship Type="http://schemas.openxmlformats.org/officeDocument/2006/relationships/hyperlink" Target="#'Review Status'!A1" TargetMode="External" Id="rId1"/></Relationships>
</file>

<file path=xl/worksheets/_rels/sheet47.xml.rels><Relationships xmlns="http://schemas.openxmlformats.org/package/2006/relationships"><Relationship Type="http://schemas.openxmlformats.org/officeDocument/2006/relationships/hyperlink" Target="#'Review Status'!A1" TargetMode="External" Id="rId1"/></Relationships>
</file>

<file path=xl/worksheets/_rels/sheet48.xml.rels><Relationships xmlns="http://schemas.openxmlformats.org/package/2006/relationships"><Relationship Type="http://schemas.openxmlformats.org/officeDocument/2006/relationships/hyperlink" Target="#'Review Status'!A1" TargetMode="External" Id="rId1"/></Relationships>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Concurrences Gate 2 Expert Review Template</t>
        </is>
      </c>
    </row>
    <row r="3">
      <c r="A3" s="2" t="inlineStr">
        <is>
          <t>Purpose</t>
        </is>
      </c>
      <c r="B3" t="inlineStr">
        <is>
          <t>This workbook is for reviewing generated answers and retrieved sources for Approved benchmark questions only.</t>
        </is>
      </c>
    </row>
    <row r="5">
      <c r="A5" s="2" t="inlineStr">
        <is>
          <t>How experts should use this file</t>
        </is>
      </c>
    </row>
    <row r="6">
      <c r="A6" s="3" t="inlineStr">
        <is>
          <t>1. Open the tab for your question, for example Q01.</t>
        </is>
      </c>
    </row>
    <row r="7">
      <c r="A7" s="3" t="inlineStr">
        <is>
          <t>2. Review the generated answer and the sources retrieved by the system.</t>
        </is>
      </c>
    </row>
    <row r="8">
      <c r="A8" s="3" t="inlineStr">
        <is>
          <t>3. For each legal claim, mark whether the cited source supports it.</t>
        </is>
      </c>
    </row>
    <row r="9">
      <c r="A9" s="3" t="inlineStr">
        <is>
          <t>4. Add a short comment only where something must be fixed or clarified.</t>
        </is>
      </c>
    </row>
    <row r="10">
      <c r="A10" s="3" t="inlineStr">
        <is>
          <t>5. Mark the final expert verdict at the bottom of each question tab.</t>
        </is>
      </c>
    </row>
    <row r="11">
      <c r="A11" s="3" t="inlineStr">
        <is>
          <t>6. The team will use Review Status and Scoring Summary to track progress and calculate metrics.</t>
        </is>
      </c>
    </row>
    <row r="14">
      <c r="A14" s="2" t="inlineStr">
        <is>
          <t>Key dates</t>
        </is>
      </c>
    </row>
    <row r="15">
      <c r="A15" s="4" t="inlineStr">
        <is>
          <t>Answers and retrieval sets generated by</t>
        </is>
      </c>
      <c r="B15" s="5" t="inlineStr">
        <is>
          <t>2026-08-14</t>
        </is>
      </c>
    </row>
    <row r="16">
      <c r="A16" s="4" t="inlineStr">
        <is>
          <t>Expert claim-by-claim review completed by</t>
        </is>
      </c>
      <c r="B16" s="5" t="inlineStr">
        <is>
          <t>2026-08-21</t>
        </is>
      </c>
    </row>
  </sheetData>
  <mergeCells count="8">
    <mergeCell ref="A9:H9"/>
    <mergeCell ref="A7:H7"/>
    <mergeCell ref="A10:H10"/>
    <mergeCell ref="A11:H11"/>
    <mergeCell ref="A1:H1"/>
    <mergeCell ref="B3:H3"/>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row>
    <row r="2">
      <c r="A2" t="inlineStr">
        <is>
          <t>Yes</t>
        </is>
      </c>
      <c r="B2" t="inlineStr">
        <is>
          <t>Not started</t>
        </is>
      </c>
      <c r="C2" t="inlineStr">
        <is>
          <t>Acceptable</t>
        </is>
      </c>
      <c r="D2" t="inlineStr">
        <is>
          <t>Supported</t>
        </is>
      </c>
      <c r="E2" t="inlineStr">
        <is>
          <t>None</t>
        </is>
      </c>
      <c r="F2" t="inlineStr">
        <is>
          <t>Primary law</t>
        </is>
      </c>
      <c r="G2" t="inlineStr">
        <is>
          <t>Yes</t>
        </is>
      </c>
      <c r="H2" t="inlineStr">
        <is>
          <t>Relevant</t>
        </is>
      </c>
    </row>
    <row r="3">
      <c r="A3" t="inlineStr">
        <is>
          <t>No</t>
        </is>
      </c>
      <c r="B3" t="inlineStr">
        <is>
          <t>In review</t>
        </is>
      </c>
      <c r="C3" t="inlineStr">
        <is>
          <t>Partly acceptable</t>
        </is>
      </c>
      <c r="D3" t="inlineStr">
        <is>
          <t>Partly supported</t>
        </is>
      </c>
      <c r="E3" t="inlineStr">
        <is>
          <t>Missing source</t>
        </is>
      </c>
      <c r="F3" t="inlineStr">
        <is>
          <t>Concurrences commentary</t>
        </is>
      </c>
      <c r="G3" t="inlineStr">
        <is>
          <t>No</t>
        </is>
      </c>
      <c r="H3" t="inlineStr">
        <is>
          <t>Not relevant</t>
        </is>
      </c>
    </row>
    <row r="4">
      <c r="B4" t="inlineStr">
        <is>
          <t>Completed</t>
        </is>
      </c>
      <c r="C4" t="inlineStr">
        <is>
          <t>Not acceptable</t>
        </is>
      </c>
      <c r="D4" t="inlineStr">
        <is>
          <t>Not supported</t>
        </is>
      </c>
      <c r="E4" t="inlineStr">
        <is>
          <t>Wrong citation</t>
        </is>
      </c>
      <c r="F4" t="inlineStr">
        <is>
          <t>Other commentary</t>
        </is>
      </c>
      <c r="G4" t="inlineStr">
        <is>
          <t>Unsure</t>
        </is>
      </c>
      <c r="H4" t="inlineStr">
        <is>
          <t>Duplicate</t>
        </is>
      </c>
    </row>
    <row r="5">
      <c r="B5" t="inlineStr">
        <is>
          <t>Needs follow-up</t>
        </is>
      </c>
      <c r="D5" t="inlineStr">
        <is>
          <t>Wrong source</t>
        </is>
      </c>
      <c r="E5" t="inlineStr">
        <is>
          <t>Overclaim</t>
        </is>
      </c>
      <c r="F5" t="inlineStr">
        <is>
          <t>Other</t>
        </is>
      </c>
      <c r="H5" t="inlineStr">
        <is>
          <t>Trap</t>
        </is>
      </c>
    </row>
    <row r="6">
      <c r="D6" t="inlineStr">
        <is>
          <t>Missing citation</t>
        </is>
      </c>
      <c r="E6" t="inlineStr">
        <is>
          <t>Unsupported claim</t>
        </is>
      </c>
      <c r="H6" t="inlineStr">
        <is>
          <t>Missing important source</t>
        </is>
      </c>
    </row>
    <row r="7">
      <c r="D7" t="inlineStr">
        <is>
          <t>Not a legal claim</t>
        </is>
      </c>
      <c r="E7" t="inlineStr">
        <is>
          <t>Ambiguous wording</t>
        </is>
      </c>
    </row>
    <row r="8">
      <c r="E8"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14" customWidth="1" min="3" max="3"/>
    <col width="70" customWidth="1" min="4" max="4"/>
    <col width="16" customWidth="1" min="5" max="5"/>
    <col width="18" customWidth="1" min="6" max="6"/>
    <col width="18" customWidth="1" min="7" max="7"/>
    <col width="18" customWidth="1" min="8" max="8"/>
    <col width="16" customWidth="1" min="9" max="9"/>
    <col width="20" customWidth="1" min="10" max="10"/>
    <col width="36" customWidth="1" min="11" max="11"/>
    <col width="14" customWidth="1" min="12" max="12"/>
    <col width="14" customWidth="1" min="13" max="13"/>
  </cols>
  <sheetData>
    <row r="1" ht="28" customHeight="1">
      <c r="A1" s="6" t="inlineStr">
        <is>
          <t>Review Status</t>
        </is>
      </c>
    </row>
    <row r="2">
      <c r="A2" s="3" t="n"/>
      <c r="B2" s="3" t="n"/>
      <c r="C2" s="3" t="n"/>
      <c r="D2" s="3" t="n"/>
      <c r="E2" s="3" t="n"/>
      <c r="F2" s="3" t="n"/>
      <c r="G2" s="3" t="n"/>
      <c r="H2" s="3" t="n"/>
      <c r="I2" s="3" t="n"/>
      <c r="J2" s="3" t="n"/>
      <c r="K2" s="3" t="n"/>
      <c r="L2" s="3" t="n"/>
    </row>
    <row r="3">
      <c r="A3" s="11" t="inlineStr">
        <is>
          <t>Question ID</t>
        </is>
      </c>
      <c r="B3" s="11" t="inlineStr">
        <is>
          <t>Topic</t>
        </is>
      </c>
      <c r="C3" s="11" t="inlineStr">
        <is>
          <t>Scope</t>
        </is>
      </c>
      <c r="D3" s="11" t="inlineStr">
        <is>
          <t>Question</t>
        </is>
      </c>
      <c r="E3" s="11" t="inlineStr">
        <is>
          <t>Answer generated?</t>
        </is>
      </c>
      <c r="F3" s="11" t="inlineStr">
        <is>
          <t>Retrieval set generated?</t>
        </is>
      </c>
      <c r="G3" s="11" t="inlineStr">
        <is>
          <t>Expert review status</t>
        </is>
      </c>
      <c r="H3" s="11" t="inlineStr">
        <is>
          <t>Reviewer</t>
        </is>
      </c>
      <c r="I3" s="11" t="inlineStr">
        <is>
          <t>Completed date</t>
        </is>
      </c>
      <c r="J3" s="11" t="inlineStr">
        <is>
          <t>Final verdict</t>
        </is>
      </c>
      <c r="K3" s="11" t="inlineStr">
        <is>
          <t>Main issue / follow-up</t>
        </is>
      </c>
      <c r="L3" s="11" t="inlineStr">
        <is>
          <t>Question tab</t>
        </is>
      </c>
      <c r="M3" s="13" t="inlineStr">
        <is>
          <t>Open tab</t>
        </is>
      </c>
    </row>
    <row r="4" ht="54" customHeight="1">
      <c r="A4" s="4" t="n">
        <v>1</v>
      </c>
      <c r="B4" s="4" t="inlineStr">
        <is>
          <t>Food delivery — market definition</t>
        </is>
      </c>
      <c r="C4" s="4" t="inlineStr">
        <is>
          <t>EU + UK + ES</t>
        </is>
      </c>
      <c r="D4" s="4" t="inlineStr">
        <is>
          <t>The relevant market in a food-delivery acquisition — how have the Commission and national authorities defined the relevant product and geographic markets, and on what rationales?</t>
        </is>
      </c>
      <c r="E4" s="4">
        <f>IF(LEN('Q01'!A16)&gt;0,"Yes","No")</f>
        <v/>
      </c>
      <c r="F4" s="4">
        <f>IF(COUNTA('Q01'!B21:B35)&gt;0,"Yes","No")</f>
        <v/>
      </c>
      <c r="G4" s="4">
        <f>IF('Q01'!B66="Yes","Completed",IF(COUNTA('Q01'!D39:D58)&gt;0,"In review","Not started"))</f>
        <v/>
      </c>
      <c r="H4" s="4">
        <f>'Q01'!B67</f>
        <v/>
      </c>
      <c r="I4" s="4">
        <f>'Q01'!D67</f>
        <v/>
      </c>
      <c r="J4" s="4">
        <f>'Q01'!B61</f>
        <v/>
      </c>
      <c r="K4" s="4">
        <f>'Q01'!B62</f>
        <v/>
      </c>
      <c r="L4" s="4" t="inlineStr">
        <is>
          <t>Q01</t>
        </is>
      </c>
      <c r="M4" s="14" t="inlineStr">
        <is>
          <t>Open tab</t>
        </is>
      </c>
    </row>
    <row r="5" ht="54" customHeight="1">
      <c r="A5" s="4" t="n">
        <v>2</v>
      </c>
      <c r="B5" s="4" t="inlineStr">
        <is>
          <t>Food delivery — multi-sided platforms</t>
        </is>
      </c>
      <c r="C5" s="4" t="inlineStr">
        <is>
          <t>EU + UK + ES</t>
        </is>
      </c>
      <c r="D5" s="4" t="inlineStr">
        <is>
          <t>Food delivery as a multi-sided platform — have authorities analysed these platforms as two- or multi-sided markets, and which sides actually entered the analysis?</t>
        </is>
      </c>
      <c r="E5" s="4">
        <f>IF(LEN('Q02'!A16)&gt;0,"Yes","No")</f>
        <v/>
      </c>
      <c r="F5" s="4">
        <f>IF(COUNTA('Q02'!B21:B35)&gt;0,"Yes","No")</f>
        <v/>
      </c>
      <c r="G5" s="4">
        <f>IF('Q02'!B66="Yes","Completed",IF(COUNTA('Q02'!D39:D58)&gt;0,"In review","Not started"))</f>
        <v/>
      </c>
      <c r="H5" s="4">
        <f>'Q02'!B67</f>
        <v/>
      </c>
      <c r="I5" s="4">
        <f>'Q02'!D67</f>
        <v/>
      </c>
      <c r="J5" s="4">
        <f>'Q02'!B61</f>
        <v/>
      </c>
      <c r="K5" s="4">
        <f>'Q02'!B62</f>
        <v/>
      </c>
      <c r="L5" s="4" t="inlineStr">
        <is>
          <t>Q02</t>
        </is>
      </c>
      <c r="M5" s="14" t="inlineStr">
        <is>
          <t>Open tab</t>
        </is>
      </c>
    </row>
    <row r="6" ht="54" customHeight="1">
      <c r="A6" s="4" t="n">
        <v>3</v>
      </c>
      <c r="B6" s="4" t="inlineStr">
        <is>
          <t>Food delivery — market boundary</t>
        </is>
      </c>
      <c r="C6" s="4" t="inlineStr">
        <is>
          <t>UK (ES colour)</t>
        </is>
      </c>
      <c r="D6" s="4" t="inlineStr">
        <is>
          <t>Grocery, quick commerce, and the market boundary — separate markets from restaurant meal delivery, or one broad on-demand delivery market?</t>
        </is>
      </c>
      <c r="E6" s="4">
        <f>IF(LEN('Q03'!A16)&gt;0,"Yes","No")</f>
        <v/>
      </c>
      <c r="F6" s="4">
        <f>IF(COUNTA('Q03'!B21:B35)&gt;0,"Yes","No")</f>
        <v/>
      </c>
      <c r="G6" s="4">
        <f>IF('Q03'!B66="Yes","Completed",IF(COUNTA('Q03'!D39:D58)&gt;0,"In review","Not started"))</f>
        <v/>
      </c>
      <c r="H6" s="4">
        <f>'Q03'!B67</f>
        <v/>
      </c>
      <c r="I6" s="4">
        <f>'Q03'!D67</f>
        <v/>
      </c>
      <c r="J6" s="4">
        <f>'Q03'!B61</f>
        <v/>
      </c>
      <c r="K6" s="4">
        <f>'Q03'!B62</f>
        <v/>
      </c>
      <c r="L6" s="4" t="inlineStr">
        <is>
          <t>Q03</t>
        </is>
      </c>
      <c r="M6" s="14" t="inlineStr">
        <is>
          <t>Open tab</t>
        </is>
      </c>
    </row>
    <row r="7" ht="54" customHeight="1">
      <c r="A7" s="4" t="n">
        <v>4</v>
      </c>
      <c r="B7" s="4" t="inlineStr">
        <is>
          <t>Food delivery — failing-firm defence</t>
        </is>
      </c>
      <c r="C7" s="4" t="inlineStr">
        <is>
          <t>UK</t>
        </is>
      </c>
      <c r="D7" s="4" t="inlineStr">
        <is>
          <t>The failing-firm defence in food delivery — has an exiting-firm counterfactual ever been accepted, did it survive to the final decision, and on what evidence?</t>
        </is>
      </c>
      <c r="E7" s="4">
        <f>IF(LEN('Q04'!A16)&gt;0,"Yes","No")</f>
        <v/>
      </c>
      <c r="F7" s="4">
        <f>IF(COUNTA('Q04'!B21:B35)&gt;0,"Yes","No")</f>
        <v/>
      </c>
      <c r="G7" s="4">
        <f>IF('Q04'!B66="Yes","Completed",IF(COUNTA('Q04'!D39:D58)&gt;0,"In review","Not started"))</f>
        <v/>
      </c>
      <c r="H7" s="4">
        <f>'Q04'!B67</f>
        <v/>
      </c>
      <c r="I7" s="4">
        <f>'Q04'!D67</f>
        <v/>
      </c>
      <c r="J7" s="4">
        <f>'Q04'!B61</f>
        <v/>
      </c>
      <c r="K7" s="4">
        <f>'Q04'!B62</f>
        <v/>
      </c>
      <c r="L7" s="4" t="inlineStr">
        <is>
          <t>Q04</t>
        </is>
      </c>
      <c r="M7" s="14" t="inlineStr">
        <is>
          <t>Open tab</t>
        </is>
      </c>
    </row>
    <row r="8" ht="54" customHeight="1">
      <c r="A8" s="4" t="n">
        <v>5</v>
      </c>
      <c r="B8" s="4" t="inlineStr">
        <is>
          <t>Food delivery — COVID-19</t>
        </is>
      </c>
      <c r="C8" s="4" t="inlineStr">
        <is>
          <t>UK</t>
        </is>
      </c>
      <c r="D8" s="4" t="inlineStr">
        <is>
          <t>COVID-19 in the competitive assessment — how did the pandemic actually enter the analysis: counterfactual, market definition, or not at all?</t>
        </is>
      </c>
      <c r="E8" s="4">
        <f>IF(LEN('Q05'!A16)&gt;0,"Yes","No")</f>
        <v/>
      </c>
      <c r="F8" s="4">
        <f>IF(COUNTA('Q05'!B21:B35)&gt;0,"Yes","No")</f>
        <v/>
      </c>
      <c r="G8" s="4">
        <f>IF('Q05'!B66="Yes","Completed",IF(COUNTA('Q05'!D39:D58)&gt;0,"In review","Not started"))</f>
        <v/>
      </c>
      <c r="H8" s="4">
        <f>'Q05'!B67</f>
        <v/>
      </c>
      <c r="I8" s="4">
        <f>'Q05'!D67</f>
        <v/>
      </c>
      <c r="J8" s="4">
        <f>'Q05'!B61</f>
        <v/>
      </c>
      <c r="K8" s="4">
        <f>'Q05'!B62</f>
        <v/>
      </c>
      <c r="L8" s="4" t="inlineStr">
        <is>
          <t>Q05</t>
        </is>
      </c>
      <c r="M8" s="14" t="inlineStr">
        <is>
          <t>Open tab</t>
        </is>
      </c>
    </row>
    <row r="9" ht="54" customHeight="1">
      <c r="A9" s="4" t="n">
        <v>6</v>
      </c>
      <c r="B9" s="4" t="inlineStr">
        <is>
          <t>Food delivery — potential competition</t>
        </is>
      </c>
      <c r="C9" s="4" t="inlineStr">
        <is>
          <t>UK</t>
        </is>
      </c>
      <c r="D9" s="4" t="inlineStr">
        <is>
          <t>Potential competition and re-entry — where the acquirer is not active in the UK, how has the CMA treated entry or re-entry absent the merger?</t>
        </is>
      </c>
      <c r="E9" s="4">
        <f>IF(LEN('Q06'!A16)&gt;0,"Yes","No")</f>
        <v/>
      </c>
      <c r="F9" s="4">
        <f>IF(COUNTA('Q06'!B21:B35)&gt;0,"Yes","No")</f>
        <v/>
      </c>
      <c r="G9" s="4">
        <f>IF('Q06'!B66="Yes","Completed",IF(COUNTA('Q06'!D39:D58)&gt;0,"In review","Not started"))</f>
        <v/>
      </c>
      <c r="H9" s="4">
        <f>'Q06'!B67</f>
        <v/>
      </c>
      <c r="I9" s="4">
        <f>'Q06'!D67</f>
        <v/>
      </c>
      <c r="J9" s="4">
        <f>'Q06'!B61</f>
        <v/>
      </c>
      <c r="K9" s="4">
        <f>'Q06'!B62</f>
        <v/>
      </c>
      <c r="L9" s="4" t="inlineStr">
        <is>
          <t>Q06</t>
        </is>
      </c>
      <c r="M9" s="14" t="inlineStr">
        <is>
          <t>Open tab</t>
        </is>
      </c>
    </row>
    <row r="10" ht="54" customHeight="1">
      <c r="A10" s="4" t="n">
        <v>7</v>
      </c>
      <c r="B10" s="4" t="inlineStr">
        <is>
          <t>Food delivery — no-poach agreements</t>
        </is>
      </c>
      <c r="C10" s="4" t="inlineStr">
        <is>
          <t>EU</t>
        </is>
      </c>
      <c r="D10" s="4" t="inlineStr">
        <is>
          <t>No-poach agreements under Article 101 — can a reciprocal agreement not to hire each other's staff infringe Article 101, and what is the leading precedent and fine?</t>
        </is>
      </c>
      <c r="E10" s="4">
        <f>IF(LEN('Q07'!A16)&gt;0,"Yes","No")</f>
        <v/>
      </c>
      <c r="F10" s="4">
        <f>IF(COUNTA('Q07'!B21:B35)&gt;0,"Yes","No")</f>
        <v/>
      </c>
      <c r="G10" s="4">
        <f>IF('Q07'!B66="Yes","Completed",IF(COUNTA('Q07'!D39:D58)&gt;0,"In review","Not started"))</f>
        <v/>
      </c>
      <c r="H10" s="4">
        <f>'Q07'!B67</f>
        <v/>
      </c>
      <c r="I10" s="4">
        <f>'Q07'!D67</f>
        <v/>
      </c>
      <c r="J10" s="4">
        <f>'Q07'!B61</f>
        <v/>
      </c>
      <c r="K10" s="4">
        <f>'Q07'!B62</f>
        <v/>
      </c>
      <c r="L10" s="4" t="inlineStr">
        <is>
          <t>Q07</t>
        </is>
      </c>
      <c r="M10" s="14" t="inlineStr">
        <is>
          <t>Open tab</t>
        </is>
      </c>
    </row>
    <row r="11" ht="54" customHeight="1">
      <c r="A11" s="4" t="n">
        <v>8</v>
      </c>
      <c r="B11" s="4" t="inlineStr">
        <is>
          <t>Food delivery — remedies</t>
        </is>
      </c>
      <c r="C11" s="4" t="inlineStr">
        <is>
          <t>EU + UK + ES</t>
        </is>
      </c>
      <c r="D11" s="4" t="inlineStr">
        <is>
          <t>Remedies in food-delivery mergers — which European reviews ended in remedies or commitments, and what did they look like?</t>
        </is>
      </c>
      <c r="E11" s="4">
        <f>IF(LEN('Q08'!A16)&gt;0,"Yes","No")</f>
        <v/>
      </c>
      <c r="F11" s="4">
        <f>IF(COUNTA('Q08'!B21:B35)&gt;0,"Yes","No")</f>
        <v/>
      </c>
      <c r="G11" s="4">
        <f>IF('Q08'!B66="Yes","Completed",IF(COUNTA('Q08'!D39:D58)&gt;0,"In review","Not started"))</f>
        <v/>
      </c>
      <c r="H11" s="4">
        <f>'Q08'!B67</f>
        <v/>
      </c>
      <c r="I11" s="4">
        <f>'Q08'!D67</f>
        <v/>
      </c>
      <c r="J11" s="4">
        <f>'Q08'!B61</f>
        <v/>
      </c>
      <c r="K11" s="4">
        <f>'Q08'!B62</f>
        <v/>
      </c>
      <c r="L11" s="4" t="inlineStr">
        <is>
          <t>Q08</t>
        </is>
      </c>
      <c r="M11" s="14" t="inlineStr">
        <is>
          <t>Open tab</t>
        </is>
      </c>
    </row>
    <row r="12" ht="54" customHeight="1">
      <c r="A12" s="4" t="n">
        <v>9</v>
      </c>
      <c r="B12" s="4" t="inlineStr">
        <is>
          <t>Food delivery — Spanish practice</t>
        </is>
      </c>
      <c r="C12" s="4" t="inlineStr">
        <is>
          <t>ES</t>
        </is>
      </c>
      <c r="D12" s="4" t="inlineStr">
        <is>
          <t>The Spanish (CNMC) food-delivery reviews — what is the CNMC's decisional practice, how many cases, and how were they resolved?</t>
        </is>
      </c>
      <c r="E12" s="4">
        <f>IF(LEN('Q09'!A16)&gt;0,"Yes","No")</f>
        <v/>
      </c>
      <c r="F12" s="4">
        <f>IF(COUNTA('Q09'!B21:B35)&gt;0,"Yes","No")</f>
        <v/>
      </c>
      <c r="G12" s="4">
        <f>IF('Q09'!B66="Yes","Completed",IF(COUNTA('Q09'!D39:D58)&gt;0,"In review","Not started"))</f>
        <v/>
      </c>
      <c r="H12" s="4">
        <f>'Q09'!B67</f>
        <v/>
      </c>
      <c r="I12" s="4">
        <f>'Q09'!D67</f>
        <v/>
      </c>
      <c r="J12" s="4">
        <f>'Q09'!B61</f>
        <v/>
      </c>
      <c r="K12" s="4">
        <f>'Q09'!B62</f>
        <v/>
      </c>
      <c r="L12" s="4" t="inlineStr">
        <is>
          <t>Q09</t>
        </is>
      </c>
      <c r="M12" s="14" t="inlineStr">
        <is>
          <t>Open tab</t>
        </is>
      </c>
    </row>
    <row r="13" ht="54" customHeight="1">
      <c r="A13" s="4" t="n">
        <v>10</v>
      </c>
      <c r="B13" s="4" t="inlineStr">
        <is>
          <t>Food delivery — minority shareholdings</t>
        </is>
      </c>
      <c r="C13" s="4" t="inlineStr">
        <is>
          <t>EU + UK</t>
        </is>
      </c>
      <c r="D13" s="4" t="inlineStr">
        <is>
          <t>Material influence and minority shareholdings — on what basis did the CMA take jurisdiction over a c.16% stake, and how else have authorities treated minority shareholdings in merger control?</t>
        </is>
      </c>
      <c r="E13" s="4">
        <f>IF(LEN('Q10'!A16)&gt;0,"Yes","No")</f>
        <v/>
      </c>
      <c r="F13" s="4">
        <f>IF(COUNTA('Q10'!B21:B35)&gt;0,"Yes","No")</f>
        <v/>
      </c>
      <c r="G13" s="4">
        <f>IF('Q10'!B66="Yes","Completed",IF(COUNTA('Q10'!D39:D58)&gt;0,"In review","Not started"))</f>
        <v/>
      </c>
      <c r="H13" s="4">
        <f>'Q10'!B67</f>
        <v/>
      </c>
      <c r="I13" s="4">
        <f>'Q10'!D67</f>
        <v/>
      </c>
      <c r="J13" s="4">
        <f>'Q10'!B61</f>
        <v/>
      </c>
      <c r="K13" s="4">
        <f>'Q10'!B62</f>
        <v/>
      </c>
      <c r="L13" s="4" t="inlineStr">
        <is>
          <t>Q10</t>
        </is>
      </c>
      <c r="M13" s="14" t="inlineStr">
        <is>
          <t>Open tab</t>
        </is>
      </c>
    </row>
    <row r="14" ht="54" customHeight="1">
      <c r="A14" s="4" t="n">
        <v>11</v>
      </c>
      <c r="B14" s="4" t="inlineStr">
        <is>
          <t>Food delivery — evolution of practice</t>
        </is>
      </c>
      <c r="C14" s="4" t="inlineStr">
        <is>
          <t>EU + UK + ES</t>
        </is>
      </c>
      <c r="D14" s="4" t="inlineStr">
        <is>
          <t>The evolution of European food-delivery merger control, 2017–2025 — how has practice evolved from the first national marketplace consolidations to the recent Commission decisions?</t>
        </is>
      </c>
      <c r="E14" s="4">
        <f>IF(LEN('Q11'!A16)&gt;0,"Yes","No")</f>
        <v/>
      </c>
      <c r="F14" s="4">
        <f>IF(COUNTA('Q11'!B21:B35)&gt;0,"Yes","No")</f>
        <v/>
      </c>
      <c r="G14" s="4">
        <f>IF('Q11'!B66="Yes","Completed",IF(COUNTA('Q11'!D39:D58)&gt;0,"In review","Not started"))</f>
        <v/>
      </c>
      <c r="H14" s="4">
        <f>'Q11'!B67</f>
        <v/>
      </c>
      <c r="I14" s="4">
        <f>'Q11'!D67</f>
        <v/>
      </c>
      <c r="J14" s="4">
        <f>'Q11'!B61</f>
        <v/>
      </c>
      <c r="K14" s="4">
        <f>'Q11'!B62</f>
        <v/>
      </c>
      <c r="L14" s="4" t="inlineStr">
        <is>
          <t>Q11</t>
        </is>
      </c>
      <c r="M14" s="14" t="inlineStr">
        <is>
          <t>Open tab</t>
        </is>
      </c>
    </row>
    <row r="15" ht="54" customHeight="1">
      <c r="A15" s="4" t="n">
        <v>12</v>
      </c>
      <c r="B15" s="4" t="inlineStr">
        <is>
          <t>Dawn raids — legal professional privilege</t>
        </is>
      </c>
      <c r="C15" s="4" t="inlineStr">
        <is>
          <t>France</t>
        </is>
      </c>
      <c r="D15" s="4" t="inlineStr">
        <is>
          <t>At what stage is attorney-client privilege breached during a dawn raid — when the inspector reads the document, or only when it is later used?</t>
        </is>
      </c>
      <c r="E15" s="4">
        <f>IF(LEN('Q12'!A16)&gt;0,"Yes","No")</f>
        <v/>
      </c>
      <c r="F15" s="4">
        <f>IF(COUNTA('Q12'!B21:B35)&gt;0,"Yes","No")</f>
        <v/>
      </c>
      <c r="G15" s="4">
        <f>IF('Q12'!B66="Yes","Completed",IF(COUNTA('Q12'!D39:D58)&gt;0,"In review","Not started"))</f>
        <v/>
      </c>
      <c r="H15" s="4">
        <f>'Q12'!B67</f>
        <v/>
      </c>
      <c r="I15" s="4">
        <f>'Q12'!D67</f>
        <v/>
      </c>
      <c r="J15" s="4">
        <f>'Q12'!B61</f>
        <v/>
      </c>
      <c r="K15" s="4">
        <f>'Q12'!B62</f>
        <v/>
      </c>
      <c r="L15" s="4" t="inlineStr">
        <is>
          <t>Q12</t>
        </is>
      </c>
      <c r="M15" s="14" t="inlineStr">
        <is>
          <t>Open tab</t>
        </is>
      </c>
    </row>
    <row r="16" ht="54" customHeight="1">
      <c r="A16" s="4" t="n">
        <v>13</v>
      </c>
      <c r="B16" s="4" t="inlineStr">
        <is>
          <t>Dawn raids — personal data</t>
        </is>
      </c>
      <c r="C16" s="4" t="inlineStr">
        <is>
          <t>France</t>
        </is>
      </c>
      <c r="D16" s="4" t="inlineStr">
        <is>
          <t>Under what conditions must the Competition Authority protect personal data during a dawn raid? Does the GDPR apply? Must documents be sealed on request?</t>
        </is>
      </c>
      <c r="E16" s="4">
        <f>IF(LEN('Q13'!A16)&gt;0,"Yes","No")</f>
        <v/>
      </c>
      <c r="F16" s="4">
        <f>IF(COUNTA('Q13'!B21:B35)&gt;0,"Yes","No")</f>
        <v/>
      </c>
      <c r="G16" s="4">
        <f>IF('Q13'!B66="Yes","Completed",IF(COUNTA('Q13'!D39:D58)&gt;0,"In review","Not started"))</f>
        <v/>
      </c>
      <c r="H16" s="4">
        <f>'Q13'!B67</f>
        <v/>
      </c>
      <c r="I16" s="4">
        <f>'Q13'!D67</f>
        <v/>
      </c>
      <c r="J16" s="4">
        <f>'Q13'!B61</f>
        <v/>
      </c>
      <c r="K16" s="4">
        <f>'Q13'!B62</f>
        <v/>
      </c>
      <c r="L16" s="4" t="inlineStr">
        <is>
          <t>Q13</t>
        </is>
      </c>
      <c r="M16" s="14" t="inlineStr">
        <is>
          <t>Open tab</t>
        </is>
      </c>
    </row>
    <row r="17" ht="54" customHeight="1">
      <c r="A17" s="4" t="n">
        <v>14</v>
      </c>
      <c r="B17" s="4" t="inlineStr">
        <is>
          <t>Dawn raids — challenging a seizure</t>
        </is>
      </c>
      <c r="C17" s="4" t="inlineStr">
        <is>
          <t>France</t>
        </is>
      </c>
      <c r="D17" s="4" t="inlineStr">
        <is>
          <t>After a dawn raid, can the President of the Court of Appeal be seized in interim proceedings to urgently resolve attorney-client privilege disputes? On what legal basis and under what conditions?</t>
        </is>
      </c>
      <c r="E17" s="4">
        <f>IF(LEN('Q14'!A16)&gt;0,"Yes","No")</f>
        <v/>
      </c>
      <c r="F17" s="4">
        <f>IF(COUNTA('Q14'!B21:B35)&gt;0,"Yes","No")</f>
        <v/>
      </c>
      <c r="G17" s="4">
        <f>IF('Q14'!B66="Yes","Completed",IF(COUNTA('Q14'!D39:D58)&gt;0,"In review","Not started"))</f>
        <v/>
      </c>
      <c r="H17" s="4">
        <f>'Q14'!B67</f>
        <v/>
      </c>
      <c r="I17" s="4">
        <f>'Q14'!D67</f>
        <v/>
      </c>
      <c r="J17" s="4">
        <f>'Q14'!B61</f>
        <v/>
      </c>
      <c r="K17" s="4">
        <f>'Q14'!B62</f>
        <v/>
      </c>
      <c r="L17" s="4" t="inlineStr">
        <is>
          <t>Q14</t>
        </is>
      </c>
      <c r="M17" s="14" t="inlineStr">
        <is>
          <t>Open tab</t>
        </is>
      </c>
    </row>
    <row r="18" ht="54" customHeight="1">
      <c r="A18" s="4" t="n">
        <v>15</v>
      </c>
      <c r="B18" s="4" t="inlineStr">
        <is>
          <t>Dawn raids — legal professional privilege</t>
        </is>
      </c>
      <c r="C18" s="4" t="inlineStr">
        <is>
          <t>EU</t>
        </is>
      </c>
      <c r="D18" s="4" t="inlineStr">
        <is>
          <t>At what stage is attorney-client privilege breached during a European Commission inspection under Article 20 of Regulation 1/2003 — when the inspector reads the document, or only when the Commission later uses it?</t>
        </is>
      </c>
      <c r="E18" s="4">
        <f>IF(LEN('Q15'!A16)&gt;0,"Yes","No")</f>
        <v/>
      </c>
      <c r="F18" s="4">
        <f>IF(COUNTA('Q15'!B21:B35)&gt;0,"Yes","No")</f>
        <v/>
      </c>
      <c r="G18" s="4">
        <f>IF('Q15'!B66="Yes","Completed",IF(COUNTA('Q15'!D39:D58)&gt;0,"In review","Not started"))</f>
        <v/>
      </c>
      <c r="H18" s="4">
        <f>'Q15'!B67</f>
        <v/>
      </c>
      <c r="I18" s="4">
        <f>'Q15'!D67</f>
        <v/>
      </c>
      <c r="J18" s="4">
        <f>'Q15'!B61</f>
        <v/>
      </c>
      <c r="K18" s="4">
        <f>'Q15'!B62</f>
        <v/>
      </c>
      <c r="L18" s="4" t="inlineStr">
        <is>
          <t>Q15</t>
        </is>
      </c>
      <c r="M18" s="14" t="inlineStr">
        <is>
          <t>Open tab</t>
        </is>
      </c>
    </row>
    <row r="19" ht="54" customHeight="1">
      <c r="A19" s="4" t="n">
        <v>16</v>
      </c>
      <c r="B19" s="4" t="inlineStr">
        <is>
          <t>Dawn raids — personal data</t>
        </is>
      </c>
      <c r="C19" s="4" t="inlineStr">
        <is>
          <t>EU</t>
        </is>
      </c>
      <c r="D19" s="4" t="inlineStr">
        <is>
          <t>Under what conditions must the European Commission protect personal data during an inspection? Does the GDPR apply? Must documents be sealed on request?</t>
        </is>
      </c>
      <c r="E19" s="4">
        <f>IF(LEN('Q16'!A16)&gt;0,"Yes","No")</f>
        <v/>
      </c>
      <c r="F19" s="4">
        <f>IF(COUNTA('Q16'!B21:B35)&gt;0,"Yes","No")</f>
        <v/>
      </c>
      <c r="G19" s="4">
        <f>IF('Q16'!B66="Yes","Completed",IF(COUNTA('Q16'!D39:D58)&gt;0,"In review","Not started"))</f>
        <v/>
      </c>
      <c r="H19" s="4">
        <f>'Q16'!B67</f>
        <v/>
      </c>
      <c r="I19" s="4">
        <f>'Q16'!D67</f>
        <v/>
      </c>
      <c r="J19" s="4">
        <f>'Q16'!B61</f>
        <v/>
      </c>
      <c r="K19" s="4">
        <f>'Q16'!B62</f>
        <v/>
      </c>
      <c r="L19" s="4" t="inlineStr">
        <is>
          <t>Q16</t>
        </is>
      </c>
      <c r="M19" s="14" t="inlineStr">
        <is>
          <t>Open tab</t>
        </is>
      </c>
    </row>
    <row r="20" ht="54" customHeight="1">
      <c r="A20" s="4" t="n">
        <v>17</v>
      </c>
      <c r="B20" s="4" t="inlineStr">
        <is>
          <t>Dawn raids — challenging a seizure</t>
        </is>
      </c>
      <c r="C20" s="4" t="inlineStr">
        <is>
          <t>EU</t>
        </is>
      </c>
      <c r="D20" s="4" t="inlineStr">
        <is>
          <t>What procedural avenues exist to challenge seizure of privileged documents after a European Commission inspection?</t>
        </is>
      </c>
      <c r="E20" s="4">
        <f>IF(LEN('Q17'!A16)&gt;0,"Yes","No")</f>
        <v/>
      </c>
      <c r="F20" s="4">
        <f>IF(COUNTA('Q17'!B21:B35)&gt;0,"Yes","No")</f>
        <v/>
      </c>
      <c r="G20" s="4">
        <f>IF('Q17'!B66="Yes","Completed",IF(COUNTA('Q17'!D39:D58)&gt;0,"In review","Not started"))</f>
        <v/>
      </c>
      <c r="H20" s="4">
        <f>'Q17'!B67</f>
        <v/>
      </c>
      <c r="I20" s="4">
        <f>'Q17'!D67</f>
        <v/>
      </c>
      <c r="J20" s="4">
        <f>'Q17'!B61</f>
        <v/>
      </c>
      <c r="K20" s="4">
        <f>'Q17'!B62</f>
        <v/>
      </c>
      <c r="L20" s="4" t="inlineStr">
        <is>
          <t>Q17</t>
        </is>
      </c>
      <c r="M20" s="14" t="inlineStr">
        <is>
          <t>Open tab</t>
        </is>
      </c>
    </row>
    <row r="21" ht="54" customHeight="1">
      <c r="A21" s="4" t="n">
        <v>18</v>
      </c>
      <c r="B21" s="4" t="inlineStr">
        <is>
          <t>Dawn raids — legal professional privilege</t>
        </is>
      </c>
      <c r="C21" s="4" t="inlineStr">
        <is>
          <t>US</t>
        </is>
      </c>
      <c r="D21" s="4" t="inlineStr">
        <is>
          <t>At what stage is attorney-client privilege breached when US antitrust authorities gather documents — when the investigator reads the document, or only when it is later used?</t>
        </is>
      </c>
      <c r="E21" s="4">
        <f>IF(LEN('Q18'!A16)&gt;0,"Yes","No")</f>
        <v/>
      </c>
      <c r="F21" s="4">
        <f>IF(COUNTA('Q18'!B21:B35)&gt;0,"Yes","No")</f>
        <v/>
      </c>
      <c r="G21" s="4">
        <f>IF('Q18'!B66="Yes","Completed",IF(COUNTA('Q18'!D39:D58)&gt;0,"In review","Not started"))</f>
        <v/>
      </c>
      <c r="H21" s="4">
        <f>'Q18'!B67</f>
        <v/>
      </c>
      <c r="I21" s="4">
        <f>'Q18'!D67</f>
        <v/>
      </c>
      <c r="J21" s="4">
        <f>'Q18'!B61</f>
        <v/>
      </c>
      <c r="K21" s="4">
        <f>'Q18'!B62</f>
        <v/>
      </c>
      <c r="L21" s="4" t="inlineStr">
        <is>
          <t>Q18</t>
        </is>
      </c>
      <c r="M21" s="14" t="inlineStr">
        <is>
          <t>Open tab</t>
        </is>
      </c>
    </row>
    <row r="22" ht="54" customHeight="1">
      <c r="A22" s="4" t="n">
        <v>22</v>
      </c>
      <c r="B22" s="4" t="inlineStr">
        <is>
          <t>Food delivery — data access</t>
        </is>
      </c>
      <c r="C22" s="4" t="inlineStr">
        <is>
          <t>EU + UK</t>
        </is>
      </c>
      <c r="D22" s="4"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E22" s="4">
        <f>IF(LEN('Q22'!A16)&gt;0,"Yes","No")</f>
        <v/>
      </c>
      <c r="F22" s="4">
        <f>IF(COUNTA('Q22'!B21:B35)&gt;0,"Yes","No")</f>
        <v/>
      </c>
      <c r="G22" s="4">
        <f>IF('Q22'!B66="Yes","Completed",IF(COUNTA('Q22'!D39:D58)&gt;0,"In review","Not started"))</f>
        <v/>
      </c>
      <c r="H22" s="4">
        <f>'Q22'!B67</f>
        <v/>
      </c>
      <c r="I22" s="4">
        <f>'Q22'!D67</f>
        <v/>
      </c>
      <c r="J22" s="4">
        <f>'Q22'!B61</f>
        <v/>
      </c>
      <c r="K22" s="4">
        <f>'Q22'!B62</f>
        <v/>
      </c>
      <c r="L22" s="4" t="inlineStr">
        <is>
          <t>Q22</t>
        </is>
      </c>
      <c r="M22" s="14" t="inlineStr">
        <is>
          <t>Open tab</t>
        </is>
      </c>
    </row>
    <row r="23" ht="54" customHeight="1">
      <c r="A23" s="4" t="n">
        <v>23</v>
      </c>
      <c r="B23" s="4" t="inlineStr">
        <is>
          <t>Food delivery — own fleet vs marketplace</t>
        </is>
      </c>
      <c r="C23" s="4" t="inlineStr">
        <is>
          <t>EU + UK + ES</t>
        </is>
      </c>
      <c r="D23" s="4"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c r="E23" s="4">
        <f>IF(LEN('Q23'!A16)&gt;0,"Yes","No")</f>
        <v/>
      </c>
      <c r="F23" s="4">
        <f>IF(COUNTA('Q23'!B21:B35)&gt;0,"Yes","No")</f>
        <v/>
      </c>
      <c r="G23" s="4">
        <f>IF('Q23'!B66="Yes","Completed",IF(COUNTA('Q23'!D39:D58)&gt;0,"In review","Not started"))</f>
        <v/>
      </c>
      <c r="H23" s="4">
        <f>'Q23'!B67</f>
        <v/>
      </c>
      <c r="I23" s="4">
        <f>'Q23'!D67</f>
        <v/>
      </c>
      <c r="J23" s="4">
        <f>'Q23'!B61</f>
        <v/>
      </c>
      <c r="K23" s="4">
        <f>'Q23'!B62</f>
        <v/>
      </c>
      <c r="L23" s="4" t="inlineStr">
        <is>
          <t>Q23</t>
        </is>
      </c>
      <c r="M23" s="14" t="inlineStr">
        <is>
          <t>Open tab</t>
        </is>
      </c>
    </row>
    <row r="24" ht="54" customHeight="1">
      <c r="A24" s="4" t="n">
        <v>24</v>
      </c>
      <c r="B24" s="4" t="inlineStr">
        <is>
          <t>Food delivery — which authority reviews</t>
        </is>
      </c>
      <c r="C24" s="4" t="inlineStr">
        <is>
          <t>EU + UK + ES</t>
        </is>
      </c>
      <c r="D24" s="4"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E24" s="4">
        <f>IF(LEN('Q24'!A16)&gt;0,"Yes","No")</f>
        <v/>
      </c>
      <c r="F24" s="4">
        <f>IF(COUNTA('Q24'!B21:B35)&gt;0,"Yes","No")</f>
        <v/>
      </c>
      <c r="G24" s="4">
        <f>IF('Q24'!B66="Yes","Completed",IF(COUNTA('Q24'!D39:D58)&gt;0,"In review","Not started"))</f>
        <v/>
      </c>
      <c r="H24" s="4">
        <f>'Q24'!B67</f>
        <v/>
      </c>
      <c r="I24" s="4">
        <f>'Q24'!D67</f>
        <v/>
      </c>
      <c r="J24" s="4">
        <f>'Q24'!B61</f>
        <v/>
      </c>
      <c r="K24" s="4">
        <f>'Q24'!B62</f>
        <v/>
      </c>
      <c r="L24" s="4" t="inlineStr">
        <is>
          <t>Q24</t>
        </is>
      </c>
      <c r="M24" s="14" t="inlineStr">
        <is>
          <t>Open tab</t>
        </is>
      </c>
    </row>
    <row r="25" ht="54" customHeight="1">
      <c r="A25" s="4" t="n">
        <v>25</v>
      </c>
      <c r="B25" s="4" t="inlineStr">
        <is>
          <t>Dawn raids — legal professional privilege</t>
        </is>
      </c>
      <c r="C25" s="4" t="inlineStr">
        <is>
          <t>EU</t>
        </is>
      </c>
      <c r="D25" s="4" t="inlineStr">
        <is>
          <t>Does legal professional privilege in EU competition law cover advice from a company's own in-house lawyers? How have the courts justified where the line falls, and what does that mean in practice during an inspection?</t>
        </is>
      </c>
      <c r="E25" s="4">
        <f>IF(LEN('Q25'!A16)&gt;0,"Yes","No")</f>
        <v/>
      </c>
      <c r="F25" s="4">
        <f>IF(COUNTA('Q25'!B21:B35)&gt;0,"Yes","No")</f>
        <v/>
      </c>
      <c r="G25" s="4">
        <f>IF('Q25'!B66="Yes","Completed",IF(COUNTA('Q25'!D39:D58)&gt;0,"In review","Not started"))</f>
        <v/>
      </c>
      <c r="H25" s="4">
        <f>'Q25'!B67</f>
        <v/>
      </c>
      <c r="I25" s="4">
        <f>'Q25'!D67</f>
        <v/>
      </c>
      <c r="J25" s="4">
        <f>'Q25'!B61</f>
        <v/>
      </c>
      <c r="K25" s="4">
        <f>'Q25'!B62</f>
        <v/>
      </c>
      <c r="L25" s="4" t="inlineStr">
        <is>
          <t>Q25</t>
        </is>
      </c>
      <c r="M25" s="14" t="inlineStr">
        <is>
          <t>Open tab</t>
        </is>
      </c>
    </row>
    <row r="26" ht="54" customHeight="1">
      <c r="A26" s="4" t="n">
        <v>26</v>
      </c>
      <c r="B26" s="4" t="inlineStr">
        <is>
          <t>Dawn raids — legal professional privilege</t>
        </is>
      </c>
      <c r="C26" s="4" t="inlineStr">
        <is>
          <t>France</t>
        </is>
      </c>
      <c r="D26" s="4" t="inlineStr">
        <is>
          <t>Where a French dawn raid seizes a mailbox or a set of files in bulk and privileged correspondence is found inside afterwards, what is the procedure for having it returned or destroyed, and who decides?</t>
        </is>
      </c>
      <c r="E26" s="4">
        <f>IF(LEN('Q26'!A16)&gt;0,"Yes","No")</f>
        <v/>
      </c>
      <c r="F26" s="4">
        <f>IF(COUNTA('Q26'!B21:B35)&gt;0,"Yes","No")</f>
        <v/>
      </c>
      <c r="G26" s="4">
        <f>IF('Q26'!B66="Yes","Completed",IF(COUNTA('Q26'!D39:D58)&gt;0,"In review","Not started"))</f>
        <v/>
      </c>
      <c r="H26" s="4">
        <f>'Q26'!B67</f>
        <v/>
      </c>
      <c r="I26" s="4">
        <f>'Q26'!D67</f>
        <v/>
      </c>
      <c r="J26" s="4">
        <f>'Q26'!B61</f>
        <v/>
      </c>
      <c r="K26" s="4">
        <f>'Q26'!B62</f>
        <v/>
      </c>
      <c r="L26" s="4" t="inlineStr">
        <is>
          <t>Q26</t>
        </is>
      </c>
      <c r="M26" s="14" t="inlineStr">
        <is>
          <t>Open tab</t>
        </is>
      </c>
    </row>
    <row r="27" ht="54" customHeight="1">
      <c r="A27" s="4" t="n">
        <v>27</v>
      </c>
      <c r="B27" s="4" t="inlineStr">
        <is>
          <t>Dawn raids — challenging a seizure</t>
        </is>
      </c>
      <c r="C27" s="4" t="inlineStr">
        <is>
          <t>France</t>
        </is>
      </c>
      <c r="D27" s="4" t="inlineStr">
        <is>
          <t>French law separates a challenge to the order authorising a dawn raid from a challenge to how the raid was carried out. What are the two routes, who hears each, what are the time limits, and what can each achieve?</t>
        </is>
      </c>
      <c r="E27" s="4">
        <f>IF(LEN('Q27'!A16)&gt;0,"Yes","No")</f>
        <v/>
      </c>
      <c r="F27" s="4">
        <f>IF(COUNTA('Q27'!B21:B35)&gt;0,"Yes","No")</f>
        <v/>
      </c>
      <c r="G27" s="4">
        <f>IF('Q27'!B66="Yes","Completed",IF(COUNTA('Q27'!D39:D58)&gt;0,"In review","Not started"))</f>
        <v/>
      </c>
      <c r="H27" s="4">
        <f>'Q27'!B67</f>
        <v/>
      </c>
      <c r="I27" s="4">
        <f>'Q27'!D67</f>
        <v/>
      </c>
      <c r="J27" s="4">
        <f>'Q27'!B61</f>
        <v/>
      </c>
      <c r="K27" s="4">
        <f>'Q27'!B62</f>
        <v/>
      </c>
      <c r="L27" s="4" t="inlineStr">
        <is>
          <t>Q27</t>
        </is>
      </c>
      <c r="M27" s="14" t="inlineStr">
        <is>
          <t>Open tab</t>
        </is>
      </c>
    </row>
    <row r="28" ht="54" customHeight="1">
      <c r="A28" s="4" t="n">
        <v>28</v>
      </c>
      <c r="B28" s="4" t="inlineStr">
        <is>
          <t>Dawn raids — the inspection decision</t>
        </is>
      </c>
      <c r="C28" s="4" t="inlineStr">
        <is>
          <t>EU</t>
        </is>
      </c>
      <c r="D28" s="4"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E28" s="4">
        <f>IF(LEN('Q28'!A16)&gt;0,"Yes","No")</f>
        <v/>
      </c>
      <c r="F28" s="4">
        <f>IF(COUNTA('Q28'!B21:B35)&gt;0,"Yes","No")</f>
        <v/>
      </c>
      <c r="G28" s="4">
        <f>IF('Q28'!B66="Yes","Completed",IF(COUNTA('Q28'!D39:D58)&gt;0,"In review","Not started"))</f>
        <v/>
      </c>
      <c r="H28" s="4">
        <f>'Q28'!B67</f>
        <v/>
      </c>
      <c r="I28" s="4">
        <f>'Q28'!D67</f>
        <v/>
      </c>
      <c r="J28" s="4">
        <f>'Q28'!B61</f>
        <v/>
      </c>
      <c r="K28" s="4">
        <f>'Q28'!B62</f>
        <v/>
      </c>
      <c r="L28" s="4" t="inlineStr">
        <is>
          <t>Q28</t>
        </is>
      </c>
      <c r="M28" s="14" t="inlineStr">
        <is>
          <t>Open tab</t>
        </is>
      </c>
    </row>
    <row r="29" ht="54" customHeight="1">
      <c r="A29" s="4" t="n">
        <v>29</v>
      </c>
      <c r="B29" s="4" t="inlineStr">
        <is>
          <t>Dawn raids — the inspection decision</t>
        </is>
      </c>
      <c r="C29" s="4" t="inlineStr">
        <is>
          <t>EU</t>
        </is>
      </c>
      <c r="D29" s="4" t="inlineStr">
        <is>
          <t>Can an inspection decision be annulled in part where the Commission's evidence supports only some of the suspected infringement period it covers, and what then happens to material already gathered?</t>
        </is>
      </c>
      <c r="E29" s="4">
        <f>IF(LEN('Q29'!A16)&gt;0,"Yes","No")</f>
        <v/>
      </c>
      <c r="F29" s="4">
        <f>IF(COUNTA('Q29'!B21:B35)&gt;0,"Yes","No")</f>
        <v/>
      </c>
      <c r="G29" s="4">
        <f>IF('Q29'!B66="Yes","Completed",IF(COUNTA('Q29'!D39:D58)&gt;0,"In review","Not started"))</f>
        <v/>
      </c>
      <c r="H29" s="4">
        <f>'Q29'!B67</f>
        <v/>
      </c>
      <c r="I29" s="4">
        <f>'Q29'!D67</f>
        <v/>
      </c>
      <c r="J29" s="4">
        <f>'Q29'!B61</f>
        <v/>
      </c>
      <c r="K29" s="4">
        <f>'Q29'!B62</f>
        <v/>
      </c>
      <c r="L29" s="4" t="inlineStr">
        <is>
          <t>Q29</t>
        </is>
      </c>
      <c r="M29" s="14" t="inlineStr">
        <is>
          <t>Open tab</t>
        </is>
      </c>
    </row>
    <row r="30" ht="54" customHeight="1">
      <c r="A30" s="4" t="n">
        <v>30</v>
      </c>
      <c r="B30" s="4" t="inlineStr">
        <is>
          <t>Dawn raids — the inspection decision</t>
        </is>
      </c>
      <c r="C30" s="4" t="inlineStr">
        <is>
          <t>France</t>
        </is>
      </c>
      <c r="D30" s="4" t="inlineStr">
        <is>
          <t>How specific must a French dawn-raid authorisation be about the premises to be visited, the practices suspected, and the period covered? What has been held insufficient?</t>
        </is>
      </c>
      <c r="E30" s="4">
        <f>IF(LEN('Q30'!A16)&gt;0,"Yes","No")</f>
        <v/>
      </c>
      <c r="F30" s="4">
        <f>IF(COUNTA('Q30'!B21:B35)&gt;0,"Yes","No")</f>
        <v/>
      </c>
      <c r="G30" s="4">
        <f>IF('Q30'!B66="Yes","Completed",IF(COUNTA('Q30'!D39:D58)&gt;0,"In review","Not started"))</f>
        <v/>
      </c>
      <c r="H30" s="4">
        <f>'Q30'!B67</f>
        <v/>
      </c>
      <c r="I30" s="4">
        <f>'Q30'!D67</f>
        <v/>
      </c>
      <c r="J30" s="4">
        <f>'Q30'!B61</f>
        <v/>
      </c>
      <c r="K30" s="4">
        <f>'Q30'!B62</f>
        <v/>
      </c>
      <c r="L30" s="4" t="inlineStr">
        <is>
          <t>Q30</t>
        </is>
      </c>
      <c r="M30" s="14" t="inlineStr">
        <is>
          <t>Open tab</t>
        </is>
      </c>
    </row>
    <row r="31" ht="54" customHeight="1">
      <c r="A31" s="4" t="n">
        <v>34</v>
      </c>
      <c r="B31" s="4" t="inlineStr">
        <is>
          <t>Dawn raids — obstruction and seals</t>
        </is>
      </c>
      <c r="C31" s="4" t="inlineStr">
        <is>
          <t>EU</t>
        </is>
      </c>
      <c r="D31" s="4"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E31" s="4">
        <f>IF(LEN('Q34'!A16)&gt;0,"Yes","No")</f>
        <v/>
      </c>
      <c r="F31" s="4">
        <f>IF(COUNTA('Q34'!B21:B35)&gt;0,"Yes","No")</f>
        <v/>
      </c>
      <c r="G31" s="4">
        <f>IF('Q34'!B66="Yes","Completed",IF(COUNTA('Q34'!D39:D58)&gt;0,"In review","Not started"))</f>
        <v/>
      </c>
      <c r="H31" s="4">
        <f>'Q34'!B67</f>
        <v/>
      </c>
      <c r="I31" s="4">
        <f>'Q34'!D67</f>
        <v/>
      </c>
      <c r="J31" s="4">
        <f>'Q34'!B61</f>
        <v/>
      </c>
      <c r="K31" s="4">
        <f>'Q34'!B62</f>
        <v/>
      </c>
      <c r="L31" s="4" t="inlineStr">
        <is>
          <t>Q34</t>
        </is>
      </c>
      <c r="M31" s="14" t="inlineStr">
        <is>
          <t>Open tab</t>
        </is>
      </c>
    </row>
    <row r="32" ht="54" customHeight="1">
      <c r="A32" s="4" t="n">
        <v>35</v>
      </c>
      <c r="B32" s="4" t="inlineStr">
        <is>
          <t>Dawn raids — obstruction and seals</t>
        </is>
      </c>
      <c r="C32" s="4" t="inlineStr">
        <is>
          <t>EU</t>
        </is>
      </c>
      <c r="D32" s="4" t="inlineStr">
        <is>
          <t>To what extent may an undertaking be fined for the breaking of a seal in the absence of any fault or intent, and how is that reconciled with the presumption of innocence?</t>
        </is>
      </c>
      <c r="E32" s="4">
        <f>IF(LEN('Q35'!A16)&gt;0,"Yes","No")</f>
        <v/>
      </c>
      <c r="F32" s="4">
        <f>IF(COUNTA('Q35'!B21:B35)&gt;0,"Yes","No")</f>
        <v/>
      </c>
      <c r="G32" s="4">
        <f>IF('Q35'!B66="Yes","Completed",IF(COUNTA('Q35'!D39:D58)&gt;0,"In review","Not started"))</f>
        <v/>
      </c>
      <c r="H32" s="4">
        <f>'Q35'!B67</f>
        <v/>
      </c>
      <c r="I32" s="4">
        <f>'Q35'!D67</f>
        <v/>
      </c>
      <c r="J32" s="4">
        <f>'Q35'!B61</f>
        <v/>
      </c>
      <c r="K32" s="4">
        <f>'Q35'!B62</f>
        <v/>
      </c>
      <c r="L32" s="4" t="inlineStr">
        <is>
          <t>Q35</t>
        </is>
      </c>
      <c r="M32" s="14" t="inlineStr">
        <is>
          <t>Open tab</t>
        </is>
      </c>
    </row>
    <row r="33" ht="54" customHeight="1">
      <c r="A33" s="4" t="n">
        <v>36</v>
      </c>
      <c r="B33" s="4" t="inlineStr">
        <is>
          <t>Dawn raids — obstruction and seals</t>
        </is>
      </c>
      <c r="C33" s="4" t="inlineStr">
        <is>
          <t>France</t>
        </is>
      </c>
      <c r="D33" s="4" t="inlineStr">
        <is>
          <t>What behavior during a French dawn raid (OVS) exposes a company to obstruction liability, and what training precautions follow from recent enforcement?</t>
        </is>
      </c>
      <c r="E33" s="4">
        <f>IF(LEN('Q36'!A16)&gt;0,"Yes","No")</f>
        <v/>
      </c>
      <c r="F33" s="4">
        <f>IF(COUNTA('Q36'!B21:B35)&gt;0,"Yes","No")</f>
        <v/>
      </c>
      <c r="G33" s="4">
        <f>IF('Q36'!B66="Yes","Completed",IF(COUNTA('Q36'!D39:D58)&gt;0,"In review","Not started"))</f>
        <v/>
      </c>
      <c r="H33" s="4">
        <f>'Q36'!B67</f>
        <v/>
      </c>
      <c r="I33" s="4">
        <f>'Q36'!D67</f>
        <v/>
      </c>
      <c r="J33" s="4">
        <f>'Q36'!B61</f>
        <v/>
      </c>
      <c r="K33" s="4">
        <f>'Q36'!B62</f>
        <v/>
      </c>
      <c r="L33" s="4" t="inlineStr">
        <is>
          <t>Q36</t>
        </is>
      </c>
      <c r="M33" s="14" t="inlineStr">
        <is>
          <t>Open tab</t>
        </is>
      </c>
    </row>
    <row r="34" ht="54" customHeight="1">
      <c r="A34" s="4" t="n">
        <v>38</v>
      </c>
      <c r="B34" s="4" t="inlineStr">
        <is>
          <t>Dawn raids — questioning staff</t>
        </is>
      </c>
      <c r="C34" s="4" t="inlineStr">
        <is>
          <t>EU</t>
        </is>
      </c>
      <c r="D34" s="4"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c r="E34" s="4">
        <f>IF(LEN('Q38'!A16)&gt;0,"Yes","No")</f>
        <v/>
      </c>
      <c r="F34" s="4">
        <f>IF(COUNTA('Q38'!B21:B35)&gt;0,"Yes","No")</f>
        <v/>
      </c>
      <c r="G34" s="4">
        <f>IF('Q38'!B66="Yes","Completed",IF(COUNTA('Q38'!D39:D58)&gt;0,"In review","Not started"))</f>
        <v/>
      </c>
      <c r="H34" s="4">
        <f>'Q38'!B67</f>
        <v/>
      </c>
      <c r="I34" s="4">
        <f>'Q38'!D67</f>
        <v/>
      </c>
      <c r="J34" s="4">
        <f>'Q38'!B61</f>
        <v/>
      </c>
      <c r="K34" s="4">
        <f>'Q38'!B62</f>
        <v/>
      </c>
      <c r="L34" s="4" t="inlineStr">
        <is>
          <t>Q38</t>
        </is>
      </c>
      <c r="M34" s="14" t="inlineStr">
        <is>
          <t>Open tab</t>
        </is>
      </c>
    </row>
    <row r="35" ht="54" customHeight="1">
      <c r="A35" s="4" t="n">
        <v>39</v>
      </c>
      <c r="B35" s="4" t="inlineStr">
        <is>
          <t>Dawn raids — questioning staff</t>
        </is>
      </c>
      <c r="C35" s="4" t="inlineStr">
        <is>
          <t>France</t>
        </is>
      </c>
      <c r="D35" s="4" t="inlineStr">
        <is>
          <t>Can employees be required to answer questions during a French dawn raid, and what protection against self-incrimination do they and the company have?</t>
        </is>
      </c>
      <c r="E35" s="4">
        <f>IF(LEN('Q39'!A16)&gt;0,"Yes","No")</f>
        <v/>
      </c>
      <c r="F35" s="4">
        <f>IF(COUNTA('Q39'!B21:B35)&gt;0,"Yes","No")</f>
        <v/>
      </c>
      <c r="G35" s="4">
        <f>IF('Q39'!B66="Yes","Completed",IF(COUNTA('Q39'!D39:D58)&gt;0,"In review","Not started"))</f>
        <v/>
      </c>
      <c r="H35" s="4">
        <f>'Q39'!B67</f>
        <v/>
      </c>
      <c r="I35" s="4">
        <f>'Q39'!D67</f>
        <v/>
      </c>
      <c r="J35" s="4">
        <f>'Q39'!B61</f>
        <v/>
      </c>
      <c r="K35" s="4">
        <f>'Q39'!B62</f>
        <v/>
      </c>
      <c r="L35" s="4" t="inlineStr">
        <is>
          <t>Q39</t>
        </is>
      </c>
      <c r="M35" s="14" t="inlineStr">
        <is>
          <t>Open tab</t>
        </is>
      </c>
    </row>
    <row r="36" ht="54" customHeight="1">
      <c r="A36" s="4" t="n">
        <v>41</v>
      </c>
      <c r="B36" s="4" t="inlineStr">
        <is>
          <t>Dawn raids — electronic data</t>
        </is>
      </c>
      <c r="C36" s="4" t="inlineStr">
        <is>
          <t>EU</t>
        </is>
      </c>
      <c r="D36" s="4" t="inlineStr">
        <is>
          <t>May the Commission take a forensic copy of a company's electronic data and carry on examining it at its own premises after the inspection has ended? What safeguards apply, and what rights does the company keep over that copy?</t>
        </is>
      </c>
      <c r="E36" s="4">
        <f>IF(LEN('Q41'!A16)&gt;0,"Yes","No")</f>
        <v/>
      </c>
      <c r="F36" s="4">
        <f>IF(COUNTA('Q41'!B21:B35)&gt;0,"Yes","No")</f>
        <v/>
      </c>
      <c r="G36" s="4">
        <f>IF('Q41'!B66="Yes","Completed",IF(COUNTA('Q41'!D39:D58)&gt;0,"In review","Not started"))</f>
        <v/>
      </c>
      <c r="H36" s="4">
        <f>'Q41'!B67</f>
        <v/>
      </c>
      <c r="I36" s="4">
        <f>'Q41'!D67</f>
        <v/>
      </c>
      <c r="J36" s="4">
        <f>'Q41'!B61</f>
        <v/>
      </c>
      <c r="K36" s="4">
        <f>'Q41'!B62</f>
        <v/>
      </c>
      <c r="L36" s="4" t="inlineStr">
        <is>
          <t>Q41</t>
        </is>
      </c>
      <c r="M36" s="14" t="inlineStr">
        <is>
          <t>Open tab</t>
        </is>
      </c>
    </row>
    <row r="37" ht="54" customHeight="1">
      <c r="A37" s="4" t="n">
        <v>42</v>
      </c>
      <c r="B37" s="4" t="inlineStr">
        <is>
          <t>Dawn raids — electronic data</t>
        </is>
      </c>
      <c r="C37" s="4" t="inlineStr">
        <is>
          <t>EU</t>
        </is>
      </c>
      <c r="D37" s="4"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E37" s="4">
        <f>IF(LEN('Q42'!A16)&gt;0,"Yes","No")</f>
        <v/>
      </c>
      <c r="F37" s="4">
        <f>IF(COUNTA('Q42'!B21:B35)&gt;0,"Yes","No")</f>
        <v/>
      </c>
      <c r="G37" s="4">
        <f>IF('Q42'!B66="Yes","Completed",IF(COUNTA('Q42'!D39:D58)&gt;0,"In review","Not started"))</f>
        <v/>
      </c>
      <c r="H37" s="4">
        <f>'Q42'!B67</f>
        <v/>
      </c>
      <c r="I37" s="4">
        <f>'Q42'!D67</f>
        <v/>
      </c>
      <c r="J37" s="4">
        <f>'Q42'!B61</f>
        <v/>
      </c>
      <c r="K37" s="4">
        <f>'Q42'!B62</f>
        <v/>
      </c>
      <c r="L37" s="4" t="inlineStr">
        <is>
          <t>Q42</t>
        </is>
      </c>
      <c r="M37" s="14" t="inlineStr">
        <is>
          <t>Open tab</t>
        </is>
      </c>
    </row>
    <row r="38" ht="54" customHeight="1">
      <c r="A38" s="4" t="n">
        <v>43</v>
      </c>
      <c r="B38" s="4" t="inlineStr">
        <is>
          <t>Dawn raids — electronic data</t>
        </is>
      </c>
      <c r="C38" s="4" t="inlineStr">
        <is>
          <t>France</t>
        </is>
      </c>
      <c r="D38" s="4" t="inlineStr">
        <is>
          <t>Under what conditions can French competition authorities seize entire mailboxes during a dawn raid rather than sorting them on-site, how is the in-scope material subsequently identified, and what happens to material found to be out of scope?</t>
        </is>
      </c>
      <c r="E38" s="4">
        <f>IF(LEN('Q43'!A16)&gt;0,"Yes","No")</f>
        <v/>
      </c>
      <c r="F38" s="4">
        <f>IF(COUNTA('Q43'!B21:B35)&gt;0,"Yes","No")</f>
        <v/>
      </c>
      <c r="G38" s="4">
        <f>IF('Q43'!B66="Yes","Completed",IF(COUNTA('Q43'!D39:D58)&gt;0,"In review","Not started"))</f>
        <v/>
      </c>
      <c r="H38" s="4">
        <f>'Q43'!B67</f>
        <v/>
      </c>
      <c r="I38" s="4">
        <f>'Q43'!D67</f>
        <v/>
      </c>
      <c r="J38" s="4">
        <f>'Q43'!B61</f>
        <v/>
      </c>
      <c r="K38" s="4">
        <f>'Q43'!B62</f>
        <v/>
      </c>
      <c r="L38" s="4" t="inlineStr">
        <is>
          <t>Q43</t>
        </is>
      </c>
      <c r="M38" s="14" t="inlineStr">
        <is>
          <t>Open tab</t>
        </is>
      </c>
    </row>
    <row r="39" ht="54" customHeight="1">
      <c r="A39" s="4" t="n">
        <v>45</v>
      </c>
      <c r="B39" s="4" t="inlineStr">
        <is>
          <t>Dawn raids — evidence found by accident</t>
        </is>
      </c>
      <c r="C39" s="4" t="inlineStr">
        <is>
          <t>EU</t>
        </is>
      </c>
      <c r="D39" s="4"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E39" s="4">
        <f>IF(LEN('Q45'!A16)&gt;0,"Yes","No")</f>
        <v/>
      </c>
      <c r="F39" s="4">
        <f>IF(COUNTA('Q45'!B21:B35)&gt;0,"Yes","No")</f>
        <v/>
      </c>
      <c r="G39" s="4">
        <f>IF('Q45'!B66="Yes","Completed",IF(COUNTA('Q45'!D39:D58)&gt;0,"In review","Not started"))</f>
        <v/>
      </c>
      <c r="H39" s="4">
        <f>'Q45'!B67</f>
        <v/>
      </c>
      <c r="I39" s="4">
        <f>'Q45'!D67</f>
        <v/>
      </c>
      <c r="J39" s="4">
        <f>'Q45'!B61</f>
        <v/>
      </c>
      <c r="K39" s="4">
        <f>'Q45'!B62</f>
        <v/>
      </c>
      <c r="L39" s="4" t="inlineStr">
        <is>
          <t>Q45</t>
        </is>
      </c>
      <c r="M39" s="14" t="inlineStr">
        <is>
          <t>Open tab</t>
        </is>
      </c>
    </row>
    <row r="40" ht="54" customHeight="1">
      <c r="A40" s="4" t="n">
        <v>46</v>
      </c>
      <c r="B40" s="4" t="inlineStr">
        <is>
          <t>Dawn raids — evidence found by accident</t>
        </is>
      </c>
      <c r="C40" s="4" t="inlineStr">
        <is>
          <t>EU</t>
        </is>
      </c>
      <c r="D40" s="4" t="inlineStr">
        <is>
          <t>Can the Commission inspect a company over conduct a national authority has already investigated? What limits apply, and how have the courts treated the overlap?</t>
        </is>
      </c>
      <c r="E40" s="4">
        <f>IF(LEN('Q46'!A16)&gt;0,"Yes","No")</f>
        <v/>
      </c>
      <c r="F40" s="4">
        <f>IF(COUNTA('Q46'!B21:B35)&gt;0,"Yes","No")</f>
        <v/>
      </c>
      <c r="G40" s="4">
        <f>IF('Q46'!B66="Yes","Completed",IF(COUNTA('Q46'!D39:D58)&gt;0,"In review","Not started"))</f>
        <v/>
      </c>
      <c r="H40" s="4">
        <f>'Q46'!B67</f>
        <v/>
      </c>
      <c r="I40" s="4">
        <f>'Q46'!D67</f>
        <v/>
      </c>
      <c r="J40" s="4">
        <f>'Q46'!B61</f>
        <v/>
      </c>
      <c r="K40" s="4">
        <f>'Q46'!B62</f>
        <v/>
      </c>
      <c r="L40" s="4" t="inlineStr">
        <is>
          <t>Q46</t>
        </is>
      </c>
      <c r="M40" s="14" t="inlineStr">
        <is>
          <t>Open tab</t>
        </is>
      </c>
    </row>
    <row r="41" ht="54" customHeight="1">
      <c r="A41" s="4" t="n">
        <v>47</v>
      </c>
      <c r="B41" s="4" t="inlineStr">
        <is>
          <t>Dawn raids — premises and the courts</t>
        </is>
      </c>
      <c r="C41" s="4" t="inlineStr">
        <is>
          <t>EU</t>
        </is>
      </c>
      <c r="D41" s="4"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E41" s="4">
        <f>IF(LEN('Q47'!A16)&gt;0,"Yes","No")</f>
        <v/>
      </c>
      <c r="F41" s="4">
        <f>IF(COUNTA('Q47'!B21:B35)&gt;0,"Yes","No")</f>
        <v/>
      </c>
      <c r="G41" s="4">
        <f>IF('Q47'!B66="Yes","Completed",IF(COUNTA('Q47'!D39:D58)&gt;0,"In review","Not started"))</f>
        <v/>
      </c>
      <c r="H41" s="4">
        <f>'Q47'!B67</f>
        <v/>
      </c>
      <c r="I41" s="4">
        <f>'Q47'!D67</f>
        <v/>
      </c>
      <c r="J41" s="4">
        <f>'Q47'!B61</f>
        <v/>
      </c>
      <c r="K41" s="4">
        <f>'Q47'!B62</f>
        <v/>
      </c>
      <c r="L41" s="4" t="inlineStr">
        <is>
          <t>Q47</t>
        </is>
      </c>
      <c r="M41" s="14" t="inlineStr">
        <is>
          <t>Open tab</t>
        </is>
      </c>
    </row>
    <row r="42" ht="54" customHeight="1">
      <c r="A42" s="4" t="n">
        <v>48</v>
      </c>
      <c r="B42" s="4" t="inlineStr">
        <is>
          <t>Dawn raids — premises and the courts</t>
        </is>
      </c>
      <c r="C42" s="4" t="inlineStr">
        <is>
          <t>EU</t>
        </is>
      </c>
      <c r="D42" s="4"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E42" s="4">
        <f>IF(LEN('Q48'!A16)&gt;0,"Yes","No")</f>
        <v/>
      </c>
      <c r="F42" s="4">
        <f>IF(COUNTA('Q48'!B21:B35)&gt;0,"Yes","No")</f>
        <v/>
      </c>
      <c r="G42" s="4">
        <f>IF('Q48'!B66="Yes","Completed",IF(COUNTA('Q48'!D39:D58)&gt;0,"In review","Not started"))</f>
        <v/>
      </c>
      <c r="H42" s="4">
        <f>'Q48'!B67</f>
        <v/>
      </c>
      <c r="I42" s="4">
        <f>'Q48'!D67</f>
        <v/>
      </c>
      <c r="J42" s="4">
        <f>'Q48'!B61</f>
        <v/>
      </c>
      <c r="K42" s="4">
        <f>'Q48'!B62</f>
        <v/>
      </c>
      <c r="L42" s="4" t="inlineStr">
        <is>
          <t>Q48</t>
        </is>
      </c>
      <c r="M42" s="14" t="inlineStr">
        <is>
          <t>Open tab</t>
        </is>
      </c>
    </row>
    <row r="43" ht="54" customHeight="1">
      <c r="A43" s="4" t="n">
        <v>49</v>
      </c>
      <c r="B43" s="4" t="inlineStr">
        <is>
          <t>Dawn raids — premises and the courts</t>
        </is>
      </c>
      <c r="C43" s="4" t="inlineStr">
        <is>
          <t>France</t>
        </is>
      </c>
      <c r="D43" s="4" t="inlineStr">
        <is>
          <t>When must a French dawn raid be authorised in advance by the juge des libertés et de la détention , and what does that judge control  before, during, and after the operation?</t>
        </is>
      </c>
      <c r="E43" s="4">
        <f>IF(LEN('Q49'!A16)&gt;0,"Yes","No")</f>
        <v/>
      </c>
      <c r="F43" s="4">
        <f>IF(COUNTA('Q49'!B21:B35)&gt;0,"Yes","No")</f>
        <v/>
      </c>
      <c r="G43" s="4">
        <f>IF('Q49'!B66="Yes","Completed",IF(COUNTA('Q49'!D39:D58)&gt;0,"In review","Not started"))</f>
        <v/>
      </c>
      <c r="H43" s="4">
        <f>'Q49'!B67</f>
        <v/>
      </c>
      <c r="I43" s="4">
        <f>'Q49'!D67</f>
        <v/>
      </c>
      <c r="J43" s="4">
        <f>'Q49'!B61</f>
        <v/>
      </c>
      <c r="K43" s="4">
        <f>'Q49'!B62</f>
        <v/>
      </c>
      <c r="L43" s="4" t="inlineStr">
        <is>
          <t>Q49</t>
        </is>
      </c>
      <c r="M43" s="14" t="inlineStr">
        <is>
          <t>Open tab</t>
        </is>
      </c>
    </row>
    <row r="44" ht="54" customHeight="1">
      <c r="A44" s="4" t="n">
        <v>51</v>
      </c>
      <c r="B44" s="4" t="inlineStr">
        <is>
          <t>Dawn raids — personal data</t>
        </is>
      </c>
      <c r="C44" s="4" t="inlineStr">
        <is>
          <t>EU</t>
        </is>
      </c>
      <c r="D44" s="4" t="inlineStr">
        <is>
          <t>To what extent may the Commission inspect private correspondence, personal devices and employees’ personal data during a dawn raid, and does the sealed-envelope procedure extend beyond legally privileged material?</t>
        </is>
      </c>
      <c r="E44" s="4">
        <f>IF(LEN('Q51'!A16)&gt;0,"Yes","No")</f>
        <v/>
      </c>
      <c r="F44" s="4">
        <f>IF(COUNTA('Q51'!B21:B35)&gt;0,"Yes","No")</f>
        <v/>
      </c>
      <c r="G44" s="4">
        <f>IF('Q51'!B66="Yes","Completed",IF(COUNTA('Q51'!D39:D58)&gt;0,"In review","Not started"))</f>
        <v/>
      </c>
      <c r="H44" s="4">
        <f>'Q51'!B67</f>
        <v/>
      </c>
      <c r="I44" s="4">
        <f>'Q51'!D67</f>
        <v/>
      </c>
      <c r="J44" s="4">
        <f>'Q51'!B61</f>
        <v/>
      </c>
      <c r="K44" s="4">
        <f>'Q51'!B62</f>
        <v/>
      </c>
      <c r="L44" s="4" t="inlineStr">
        <is>
          <t>Q51</t>
        </is>
      </c>
      <c r="M44" s="14" t="inlineStr">
        <is>
          <t>Open tab</t>
        </is>
      </c>
    </row>
    <row r="45" ht="54" customHeight="1">
      <c r="A45" s="4" t="n">
        <v>52</v>
      </c>
      <c r="B45" s="4" t="inlineStr">
        <is>
          <t>Dawn raids — legal professional privilege</t>
        </is>
      </c>
      <c r="C45" s="4" t="inlineStr">
        <is>
          <t>France</t>
        </is>
      </c>
      <c r="D45" s="4"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c r="E45" s="4">
        <f>IF(LEN('Q52'!A16)&gt;0,"Yes","No")</f>
        <v/>
      </c>
      <c r="F45" s="4">
        <f>IF(COUNTA('Q52'!B21:B35)&gt;0,"Yes","No")</f>
        <v/>
      </c>
      <c r="G45" s="4">
        <f>IF('Q52'!B66="Yes","Completed",IF(COUNTA('Q52'!D39:D58)&gt;0,"In review","Not started"))</f>
        <v/>
      </c>
      <c r="H45" s="4">
        <f>'Q52'!B67</f>
        <v/>
      </c>
      <c r="I45" s="4">
        <f>'Q52'!D67</f>
        <v/>
      </c>
      <c r="J45" s="4">
        <f>'Q52'!B61</f>
        <v/>
      </c>
      <c r="K45" s="4">
        <f>'Q52'!B62</f>
        <v/>
      </c>
      <c r="L45" s="4" t="inlineStr">
        <is>
          <t>Q52</t>
        </is>
      </c>
      <c r="M45" s="14" t="inlineStr">
        <is>
          <t>Open tab</t>
        </is>
      </c>
    </row>
    <row r="46" ht="54" customHeight="1">
      <c r="A46" s="4" t="n">
        <v>53</v>
      </c>
      <c r="B46" s="4" t="inlineStr">
        <is>
          <t>Dawn raids — grounds for an inspection</t>
        </is>
      </c>
      <c r="C46" s="4" t="inlineStr">
        <is>
          <t>EU</t>
        </is>
      </c>
      <c r="D46" s="4" t="inlineStr">
        <is>
          <t>What evidentiary threshold must the European Commission meet to justify a dawn raid, including the requirement for “sufficiently serious indicia”?</t>
        </is>
      </c>
      <c r="E46" s="4">
        <f>IF(LEN('Q53'!A16)&gt;0,"Yes","No")</f>
        <v/>
      </c>
      <c r="F46" s="4">
        <f>IF(COUNTA('Q53'!B21:B35)&gt;0,"Yes","No")</f>
        <v/>
      </c>
      <c r="G46" s="4">
        <f>IF('Q53'!B66="Yes","Completed",IF(COUNTA('Q53'!D39:D58)&gt;0,"In review","Not started"))</f>
        <v/>
      </c>
      <c r="H46" s="4">
        <f>'Q53'!B67</f>
        <v/>
      </c>
      <c r="I46" s="4">
        <f>'Q53'!D67</f>
        <v/>
      </c>
      <c r="J46" s="4">
        <f>'Q53'!B61</f>
        <v/>
      </c>
      <c r="K46" s="4">
        <f>'Q53'!B62</f>
        <v/>
      </c>
      <c r="L46" s="4" t="inlineStr">
        <is>
          <t>Q53</t>
        </is>
      </c>
      <c r="M46" s="14" t="inlineStr">
        <is>
          <t>Open tab</t>
        </is>
      </c>
    </row>
    <row r="47" ht="54" customHeight="1">
      <c r="A47" s="4" t="n">
        <v>54</v>
      </c>
      <c r="B47" s="4" t="inlineStr">
        <is>
          <t>Dawn raids — grounds for an inspection</t>
        </is>
      </c>
      <c r="C47" s="4" t="inlineStr">
        <is>
          <t>EU</t>
        </is>
      </c>
      <c r="D47" s="4" t="inlineStr">
        <is>
          <t>What is an undertaking entitled to know about the indicia underpinning an inspection decision, beyond its subject matter and purpose under Article 20(4) of Regulation 1/2003?</t>
        </is>
      </c>
      <c r="E47" s="4">
        <f>IF(LEN('Q54'!A16)&gt;0,"Yes","No")</f>
        <v/>
      </c>
      <c r="F47" s="4">
        <f>IF(COUNTA('Q54'!B21:B35)&gt;0,"Yes","No")</f>
        <v/>
      </c>
      <c r="G47" s="4">
        <f>IF('Q54'!B66="Yes","Completed",IF(COUNTA('Q54'!D39:D58)&gt;0,"In review","Not started"))</f>
        <v/>
      </c>
      <c r="H47" s="4">
        <f>'Q54'!B67</f>
        <v/>
      </c>
      <c r="I47" s="4">
        <f>'Q54'!D67</f>
        <v/>
      </c>
      <c r="J47" s="4">
        <f>'Q54'!B61</f>
        <v/>
      </c>
      <c r="K47" s="4">
        <f>'Q54'!B62</f>
        <v/>
      </c>
      <c r="L47" s="4" t="inlineStr">
        <is>
          <t>Q54</t>
        </is>
      </c>
      <c r="M47" s="14" t="inlineStr">
        <is>
          <t>Open tab</t>
        </is>
      </c>
    </row>
  </sheetData>
  <autoFilter ref="A3:M47"/>
  <mergeCells count="1">
    <mergeCell ref="A1:L1"/>
  </mergeCells>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0" r:id="rId27"/>
    <hyperlink xmlns:r="http://schemas.openxmlformats.org/officeDocument/2006/relationships" ref="M31" r:id="rId28"/>
    <hyperlink xmlns:r="http://schemas.openxmlformats.org/officeDocument/2006/relationships" ref="M32" r:id="rId29"/>
    <hyperlink xmlns:r="http://schemas.openxmlformats.org/officeDocument/2006/relationships" ref="M33" r:id="rId30"/>
    <hyperlink xmlns:r="http://schemas.openxmlformats.org/officeDocument/2006/relationships" ref="M34" r:id="rId31"/>
    <hyperlink xmlns:r="http://schemas.openxmlformats.org/officeDocument/2006/relationships" ref="M35" r:id="rId32"/>
    <hyperlink xmlns:r="http://schemas.openxmlformats.org/officeDocument/2006/relationships" ref="M36" r:id="rId33"/>
    <hyperlink xmlns:r="http://schemas.openxmlformats.org/officeDocument/2006/relationships" ref="M37" r:id="rId34"/>
    <hyperlink xmlns:r="http://schemas.openxmlformats.org/officeDocument/2006/relationships" ref="M38" r:id="rId35"/>
    <hyperlink xmlns:r="http://schemas.openxmlformats.org/officeDocument/2006/relationships" ref="M39" r:id="rId36"/>
    <hyperlink xmlns:r="http://schemas.openxmlformats.org/officeDocument/2006/relationships" ref="M40" r:id="rId37"/>
    <hyperlink xmlns:r="http://schemas.openxmlformats.org/officeDocument/2006/relationships" ref="M41" r:id="rId38"/>
    <hyperlink xmlns:r="http://schemas.openxmlformats.org/officeDocument/2006/relationships" ref="M42" r:id="rId39"/>
    <hyperlink xmlns:r="http://schemas.openxmlformats.org/officeDocument/2006/relationships" ref="M43" r:id="rId40"/>
    <hyperlink xmlns:r="http://schemas.openxmlformats.org/officeDocument/2006/relationships" ref="M44" r:id="rId41"/>
    <hyperlink xmlns:r="http://schemas.openxmlformats.org/officeDocument/2006/relationships" ref="M45" r:id="rId42"/>
    <hyperlink xmlns:r="http://schemas.openxmlformats.org/officeDocument/2006/relationships" ref="M46" r:id="rId43"/>
    <hyperlink xmlns:r="http://schemas.openxmlformats.org/officeDocument/2006/relationships" ref="M47" r:id="rId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3" customWidth="1" min="3" max="3"/>
    <col width="12" customWidth="1" min="4" max="4"/>
    <col width="16" customWidth="1" min="5" max="5"/>
    <col width="14" customWidth="1" min="6" max="6"/>
    <col width="13" customWidth="1" min="7" max="7"/>
    <col width="16" customWidth="1" min="8" max="8"/>
    <col width="16" customWidth="1" min="9" max="9"/>
    <col width="20" customWidth="1" min="10" max="10"/>
    <col width="46" customWidth="1" min="11" max="11"/>
  </cols>
  <sheetData>
    <row r="1">
      <c r="A1" s="6" t="inlineStr">
        <is>
          <t>Scoring Summary</t>
        </is>
      </c>
    </row>
    <row r="2">
      <c r="A2" s="3" t="inlineStr">
        <is>
          <t>Team-facing summary. Experts only need to complete the question tabs; this sheet pulls verdicts together.</t>
        </is>
      </c>
    </row>
    <row r="3">
      <c r="A3" s="3" t="n"/>
      <c r="B3" s="3" t="n"/>
      <c r="C3" s="3" t="n"/>
      <c r="D3" s="3" t="n"/>
      <c r="E3" s="3" t="n"/>
      <c r="F3" s="3" t="n"/>
      <c r="G3" s="3" t="n"/>
      <c r="H3" s="3" t="n"/>
      <c r="I3" s="3" t="n"/>
      <c r="J3" s="3" t="n"/>
      <c r="K3" s="3" t="n"/>
    </row>
    <row r="4">
      <c r="A4" s="7" t="inlineStr">
        <is>
          <t>Question ID</t>
        </is>
      </c>
      <c r="B4" s="7" t="inlineStr">
        <is>
          <t>Topic</t>
        </is>
      </c>
      <c r="C4" s="7" t="inlineStr">
        <is>
          <t>Total claims</t>
        </is>
      </c>
      <c r="D4" s="7" t="inlineStr">
        <is>
          <t>Supported</t>
        </is>
      </c>
      <c r="E4" s="7" t="inlineStr">
        <is>
          <t>Partly supported</t>
        </is>
      </c>
      <c r="F4" s="7" t="inlineStr">
        <is>
          <t>Not supported</t>
        </is>
      </c>
      <c r="G4" s="7" t="inlineStr">
        <is>
          <t>Wrong source</t>
        </is>
      </c>
      <c r="H4" s="7" t="inlineStr">
        <is>
          <t>Missing citation</t>
        </is>
      </c>
      <c r="I4" s="7" t="inlineStr">
        <is>
          <t>Not legal claim</t>
        </is>
      </c>
      <c r="J4" s="7" t="inlineStr">
        <is>
          <t>Final verdict</t>
        </is>
      </c>
      <c r="K4" s="7" t="inlineStr">
        <is>
          <t>Expert notes</t>
        </is>
      </c>
    </row>
    <row r="5">
      <c r="A5" s="4" t="n">
        <v>1</v>
      </c>
      <c r="B5" s="4" t="inlineStr">
        <is>
          <t>Food delivery — market definition</t>
        </is>
      </c>
      <c r="C5" s="4">
        <f>COUNTA('Q01'!B39:B58)</f>
        <v/>
      </c>
      <c r="D5" s="4">
        <f>COUNTIF('Q01'!D39:D58,"Supported")</f>
        <v/>
      </c>
      <c r="E5" s="4">
        <f>COUNTIF('Q01'!D39:D58,"Partly supported")</f>
        <v/>
      </c>
      <c r="F5" s="4">
        <f>COUNTIF('Q01'!D39:D58,"Not supported")</f>
        <v/>
      </c>
      <c r="G5" s="4">
        <f>COUNTIF('Q01'!D39:D58,"Wrong source")</f>
        <v/>
      </c>
      <c r="H5" s="4">
        <f>COUNTIF('Q01'!D39:D58,"Missing citation")</f>
        <v/>
      </c>
      <c r="I5" s="4">
        <f>COUNTIF('Q01'!D39:D58,"Not a legal claim")</f>
        <v/>
      </c>
      <c r="J5" s="4">
        <f>'Q01'!B61</f>
        <v/>
      </c>
      <c r="K5" s="4">
        <f>'Q01'!B62</f>
        <v/>
      </c>
    </row>
    <row r="6">
      <c r="A6" s="4" t="n">
        <v>2</v>
      </c>
      <c r="B6" s="4" t="inlineStr">
        <is>
          <t>Food delivery — multi-sided platforms</t>
        </is>
      </c>
      <c r="C6" s="4">
        <f>COUNTA('Q02'!B39:B58)</f>
        <v/>
      </c>
      <c r="D6" s="4">
        <f>COUNTIF('Q02'!D39:D58,"Supported")</f>
        <v/>
      </c>
      <c r="E6" s="4">
        <f>COUNTIF('Q02'!D39:D58,"Partly supported")</f>
        <v/>
      </c>
      <c r="F6" s="4">
        <f>COUNTIF('Q02'!D39:D58,"Not supported")</f>
        <v/>
      </c>
      <c r="G6" s="4">
        <f>COUNTIF('Q02'!D39:D58,"Wrong source")</f>
        <v/>
      </c>
      <c r="H6" s="4">
        <f>COUNTIF('Q02'!D39:D58,"Missing citation")</f>
        <v/>
      </c>
      <c r="I6" s="4">
        <f>COUNTIF('Q02'!D39:D58,"Not a legal claim")</f>
        <v/>
      </c>
      <c r="J6" s="4">
        <f>'Q02'!B61</f>
        <v/>
      </c>
      <c r="K6" s="4">
        <f>'Q02'!B62</f>
        <v/>
      </c>
    </row>
    <row r="7">
      <c r="A7" s="4" t="n">
        <v>3</v>
      </c>
      <c r="B7" s="4" t="inlineStr">
        <is>
          <t>Food delivery — market boundary</t>
        </is>
      </c>
      <c r="C7" s="4">
        <f>COUNTA('Q03'!B39:B58)</f>
        <v/>
      </c>
      <c r="D7" s="4">
        <f>COUNTIF('Q03'!D39:D58,"Supported")</f>
        <v/>
      </c>
      <c r="E7" s="4">
        <f>COUNTIF('Q03'!D39:D58,"Partly supported")</f>
        <v/>
      </c>
      <c r="F7" s="4">
        <f>COUNTIF('Q03'!D39:D58,"Not supported")</f>
        <v/>
      </c>
      <c r="G7" s="4">
        <f>COUNTIF('Q03'!D39:D58,"Wrong source")</f>
        <v/>
      </c>
      <c r="H7" s="4">
        <f>COUNTIF('Q03'!D39:D58,"Missing citation")</f>
        <v/>
      </c>
      <c r="I7" s="4">
        <f>COUNTIF('Q03'!D39:D58,"Not a legal claim")</f>
        <v/>
      </c>
      <c r="J7" s="4">
        <f>'Q03'!B61</f>
        <v/>
      </c>
      <c r="K7" s="4">
        <f>'Q03'!B62</f>
        <v/>
      </c>
    </row>
    <row r="8">
      <c r="A8" s="4" t="n">
        <v>4</v>
      </c>
      <c r="B8" s="4" t="inlineStr">
        <is>
          <t>Food delivery — failing-firm defence</t>
        </is>
      </c>
      <c r="C8" s="4">
        <f>COUNTA('Q04'!B39:B58)</f>
        <v/>
      </c>
      <c r="D8" s="4">
        <f>COUNTIF('Q04'!D39:D58,"Supported")</f>
        <v/>
      </c>
      <c r="E8" s="4">
        <f>COUNTIF('Q04'!D39:D58,"Partly supported")</f>
        <v/>
      </c>
      <c r="F8" s="4">
        <f>COUNTIF('Q04'!D39:D58,"Not supported")</f>
        <v/>
      </c>
      <c r="G8" s="4">
        <f>COUNTIF('Q04'!D39:D58,"Wrong source")</f>
        <v/>
      </c>
      <c r="H8" s="4">
        <f>COUNTIF('Q04'!D39:D58,"Missing citation")</f>
        <v/>
      </c>
      <c r="I8" s="4">
        <f>COUNTIF('Q04'!D39:D58,"Not a legal claim")</f>
        <v/>
      </c>
      <c r="J8" s="4">
        <f>'Q04'!B61</f>
        <v/>
      </c>
      <c r="K8" s="4">
        <f>'Q04'!B62</f>
        <v/>
      </c>
    </row>
    <row r="9">
      <c r="A9" s="4" t="n">
        <v>5</v>
      </c>
      <c r="B9" s="4" t="inlineStr">
        <is>
          <t>Food delivery — COVID-19</t>
        </is>
      </c>
      <c r="C9" s="4">
        <f>COUNTA('Q05'!B39:B58)</f>
        <v/>
      </c>
      <c r="D9" s="4">
        <f>COUNTIF('Q05'!D39:D58,"Supported")</f>
        <v/>
      </c>
      <c r="E9" s="4">
        <f>COUNTIF('Q05'!D39:D58,"Partly supported")</f>
        <v/>
      </c>
      <c r="F9" s="4">
        <f>COUNTIF('Q05'!D39:D58,"Not supported")</f>
        <v/>
      </c>
      <c r="G9" s="4">
        <f>COUNTIF('Q05'!D39:D58,"Wrong source")</f>
        <v/>
      </c>
      <c r="H9" s="4">
        <f>COUNTIF('Q05'!D39:D58,"Missing citation")</f>
        <v/>
      </c>
      <c r="I9" s="4">
        <f>COUNTIF('Q05'!D39:D58,"Not a legal claim")</f>
        <v/>
      </c>
      <c r="J9" s="4">
        <f>'Q05'!B61</f>
        <v/>
      </c>
      <c r="K9" s="4">
        <f>'Q05'!B62</f>
        <v/>
      </c>
    </row>
    <row r="10">
      <c r="A10" s="4" t="n">
        <v>6</v>
      </c>
      <c r="B10" s="4" t="inlineStr">
        <is>
          <t>Food delivery — potential competition</t>
        </is>
      </c>
      <c r="C10" s="4">
        <f>COUNTA('Q06'!B39:B58)</f>
        <v/>
      </c>
      <c r="D10" s="4">
        <f>COUNTIF('Q06'!D39:D58,"Supported")</f>
        <v/>
      </c>
      <c r="E10" s="4">
        <f>COUNTIF('Q06'!D39:D58,"Partly supported")</f>
        <v/>
      </c>
      <c r="F10" s="4">
        <f>COUNTIF('Q06'!D39:D58,"Not supported")</f>
        <v/>
      </c>
      <c r="G10" s="4">
        <f>COUNTIF('Q06'!D39:D58,"Wrong source")</f>
        <v/>
      </c>
      <c r="H10" s="4">
        <f>COUNTIF('Q06'!D39:D58,"Missing citation")</f>
        <v/>
      </c>
      <c r="I10" s="4">
        <f>COUNTIF('Q06'!D39:D58,"Not a legal claim")</f>
        <v/>
      </c>
      <c r="J10" s="4">
        <f>'Q06'!B61</f>
        <v/>
      </c>
      <c r="K10" s="4">
        <f>'Q06'!B62</f>
        <v/>
      </c>
    </row>
    <row r="11">
      <c r="A11" s="4" t="n">
        <v>7</v>
      </c>
      <c r="B11" s="4" t="inlineStr">
        <is>
          <t>Food delivery — no-poach agreements</t>
        </is>
      </c>
      <c r="C11" s="4">
        <f>COUNTA('Q07'!B39:B58)</f>
        <v/>
      </c>
      <c r="D11" s="4">
        <f>COUNTIF('Q07'!D39:D58,"Supported")</f>
        <v/>
      </c>
      <c r="E11" s="4">
        <f>COUNTIF('Q07'!D39:D58,"Partly supported")</f>
        <v/>
      </c>
      <c r="F11" s="4">
        <f>COUNTIF('Q07'!D39:D58,"Not supported")</f>
        <v/>
      </c>
      <c r="G11" s="4">
        <f>COUNTIF('Q07'!D39:D58,"Wrong source")</f>
        <v/>
      </c>
      <c r="H11" s="4">
        <f>COUNTIF('Q07'!D39:D58,"Missing citation")</f>
        <v/>
      </c>
      <c r="I11" s="4">
        <f>COUNTIF('Q07'!D39:D58,"Not a legal claim")</f>
        <v/>
      </c>
      <c r="J11" s="4">
        <f>'Q07'!B61</f>
        <v/>
      </c>
      <c r="K11" s="4">
        <f>'Q07'!B62</f>
        <v/>
      </c>
    </row>
    <row r="12">
      <c r="A12" s="4" t="n">
        <v>8</v>
      </c>
      <c r="B12" s="4" t="inlineStr">
        <is>
          <t>Food delivery — remedies</t>
        </is>
      </c>
      <c r="C12" s="4">
        <f>COUNTA('Q08'!B39:B58)</f>
        <v/>
      </c>
      <c r="D12" s="4">
        <f>COUNTIF('Q08'!D39:D58,"Supported")</f>
        <v/>
      </c>
      <c r="E12" s="4">
        <f>COUNTIF('Q08'!D39:D58,"Partly supported")</f>
        <v/>
      </c>
      <c r="F12" s="4">
        <f>COUNTIF('Q08'!D39:D58,"Not supported")</f>
        <v/>
      </c>
      <c r="G12" s="4">
        <f>COUNTIF('Q08'!D39:D58,"Wrong source")</f>
        <v/>
      </c>
      <c r="H12" s="4">
        <f>COUNTIF('Q08'!D39:D58,"Missing citation")</f>
        <v/>
      </c>
      <c r="I12" s="4">
        <f>COUNTIF('Q08'!D39:D58,"Not a legal claim")</f>
        <v/>
      </c>
      <c r="J12" s="4">
        <f>'Q08'!B61</f>
        <v/>
      </c>
      <c r="K12" s="4">
        <f>'Q08'!B62</f>
        <v/>
      </c>
    </row>
    <row r="13">
      <c r="A13" s="4" t="n">
        <v>9</v>
      </c>
      <c r="B13" s="4" t="inlineStr">
        <is>
          <t>Food delivery — Spanish practice</t>
        </is>
      </c>
      <c r="C13" s="4">
        <f>COUNTA('Q09'!B39:B58)</f>
        <v/>
      </c>
      <c r="D13" s="4">
        <f>COUNTIF('Q09'!D39:D58,"Supported")</f>
        <v/>
      </c>
      <c r="E13" s="4">
        <f>COUNTIF('Q09'!D39:D58,"Partly supported")</f>
        <v/>
      </c>
      <c r="F13" s="4">
        <f>COUNTIF('Q09'!D39:D58,"Not supported")</f>
        <v/>
      </c>
      <c r="G13" s="4">
        <f>COUNTIF('Q09'!D39:D58,"Wrong source")</f>
        <v/>
      </c>
      <c r="H13" s="4">
        <f>COUNTIF('Q09'!D39:D58,"Missing citation")</f>
        <v/>
      </c>
      <c r="I13" s="4">
        <f>COUNTIF('Q09'!D39:D58,"Not a legal claim")</f>
        <v/>
      </c>
      <c r="J13" s="4">
        <f>'Q09'!B61</f>
        <v/>
      </c>
      <c r="K13" s="4">
        <f>'Q09'!B62</f>
        <v/>
      </c>
    </row>
    <row r="14">
      <c r="A14" s="4" t="n">
        <v>10</v>
      </c>
      <c r="B14" s="4" t="inlineStr">
        <is>
          <t>Food delivery — minority shareholdings</t>
        </is>
      </c>
      <c r="C14" s="4">
        <f>COUNTA('Q10'!B39:B58)</f>
        <v/>
      </c>
      <c r="D14" s="4">
        <f>COUNTIF('Q10'!D39:D58,"Supported")</f>
        <v/>
      </c>
      <c r="E14" s="4">
        <f>COUNTIF('Q10'!D39:D58,"Partly supported")</f>
        <v/>
      </c>
      <c r="F14" s="4">
        <f>COUNTIF('Q10'!D39:D58,"Not supported")</f>
        <v/>
      </c>
      <c r="G14" s="4">
        <f>COUNTIF('Q10'!D39:D58,"Wrong source")</f>
        <v/>
      </c>
      <c r="H14" s="4">
        <f>COUNTIF('Q10'!D39:D58,"Missing citation")</f>
        <v/>
      </c>
      <c r="I14" s="4">
        <f>COUNTIF('Q10'!D39:D58,"Not a legal claim")</f>
        <v/>
      </c>
      <c r="J14" s="4">
        <f>'Q10'!B61</f>
        <v/>
      </c>
      <c r="K14" s="4">
        <f>'Q10'!B62</f>
        <v/>
      </c>
    </row>
    <row r="15">
      <c r="A15" s="4" t="n">
        <v>11</v>
      </c>
      <c r="B15" s="4" t="inlineStr">
        <is>
          <t>Food delivery — evolution of practice</t>
        </is>
      </c>
      <c r="C15" s="4">
        <f>COUNTA('Q11'!B39:B58)</f>
        <v/>
      </c>
      <c r="D15" s="4">
        <f>COUNTIF('Q11'!D39:D58,"Supported")</f>
        <v/>
      </c>
      <c r="E15" s="4">
        <f>COUNTIF('Q11'!D39:D58,"Partly supported")</f>
        <v/>
      </c>
      <c r="F15" s="4">
        <f>COUNTIF('Q11'!D39:D58,"Not supported")</f>
        <v/>
      </c>
      <c r="G15" s="4">
        <f>COUNTIF('Q11'!D39:D58,"Wrong source")</f>
        <v/>
      </c>
      <c r="H15" s="4">
        <f>COUNTIF('Q11'!D39:D58,"Missing citation")</f>
        <v/>
      </c>
      <c r="I15" s="4">
        <f>COUNTIF('Q11'!D39:D58,"Not a legal claim")</f>
        <v/>
      </c>
      <c r="J15" s="4">
        <f>'Q11'!B61</f>
        <v/>
      </c>
      <c r="K15" s="4">
        <f>'Q11'!B62</f>
        <v/>
      </c>
    </row>
    <row r="16">
      <c r="A16" s="4" t="n">
        <v>12</v>
      </c>
      <c r="B16" s="4" t="inlineStr">
        <is>
          <t>Dawn raids — legal professional privilege</t>
        </is>
      </c>
      <c r="C16" s="4">
        <f>COUNTA('Q12'!B39:B58)</f>
        <v/>
      </c>
      <c r="D16" s="4">
        <f>COUNTIF('Q12'!D39:D58,"Supported")</f>
        <v/>
      </c>
      <c r="E16" s="4">
        <f>COUNTIF('Q12'!D39:D58,"Partly supported")</f>
        <v/>
      </c>
      <c r="F16" s="4">
        <f>COUNTIF('Q12'!D39:D58,"Not supported")</f>
        <v/>
      </c>
      <c r="G16" s="4">
        <f>COUNTIF('Q12'!D39:D58,"Wrong source")</f>
        <v/>
      </c>
      <c r="H16" s="4">
        <f>COUNTIF('Q12'!D39:D58,"Missing citation")</f>
        <v/>
      </c>
      <c r="I16" s="4">
        <f>COUNTIF('Q12'!D39:D58,"Not a legal claim")</f>
        <v/>
      </c>
      <c r="J16" s="4">
        <f>'Q12'!B61</f>
        <v/>
      </c>
      <c r="K16" s="4">
        <f>'Q12'!B62</f>
        <v/>
      </c>
    </row>
    <row r="17">
      <c r="A17" s="4" t="n">
        <v>13</v>
      </c>
      <c r="B17" s="4" t="inlineStr">
        <is>
          <t>Dawn raids — personal data</t>
        </is>
      </c>
      <c r="C17" s="4">
        <f>COUNTA('Q13'!B39:B58)</f>
        <v/>
      </c>
      <c r="D17" s="4">
        <f>COUNTIF('Q13'!D39:D58,"Supported")</f>
        <v/>
      </c>
      <c r="E17" s="4">
        <f>COUNTIF('Q13'!D39:D58,"Partly supported")</f>
        <v/>
      </c>
      <c r="F17" s="4">
        <f>COUNTIF('Q13'!D39:D58,"Not supported")</f>
        <v/>
      </c>
      <c r="G17" s="4">
        <f>COUNTIF('Q13'!D39:D58,"Wrong source")</f>
        <v/>
      </c>
      <c r="H17" s="4">
        <f>COUNTIF('Q13'!D39:D58,"Missing citation")</f>
        <v/>
      </c>
      <c r="I17" s="4">
        <f>COUNTIF('Q13'!D39:D58,"Not a legal claim")</f>
        <v/>
      </c>
      <c r="J17" s="4">
        <f>'Q13'!B61</f>
        <v/>
      </c>
      <c r="K17" s="4">
        <f>'Q13'!B62</f>
        <v/>
      </c>
    </row>
    <row r="18">
      <c r="A18" s="4" t="n">
        <v>14</v>
      </c>
      <c r="B18" s="4" t="inlineStr">
        <is>
          <t>Dawn raids — challenging a seizure</t>
        </is>
      </c>
      <c r="C18" s="4">
        <f>COUNTA('Q14'!B39:B58)</f>
        <v/>
      </c>
      <c r="D18" s="4">
        <f>COUNTIF('Q14'!D39:D58,"Supported")</f>
        <v/>
      </c>
      <c r="E18" s="4">
        <f>COUNTIF('Q14'!D39:D58,"Partly supported")</f>
        <v/>
      </c>
      <c r="F18" s="4">
        <f>COUNTIF('Q14'!D39:D58,"Not supported")</f>
        <v/>
      </c>
      <c r="G18" s="4">
        <f>COUNTIF('Q14'!D39:D58,"Wrong source")</f>
        <v/>
      </c>
      <c r="H18" s="4">
        <f>COUNTIF('Q14'!D39:D58,"Missing citation")</f>
        <v/>
      </c>
      <c r="I18" s="4">
        <f>COUNTIF('Q14'!D39:D58,"Not a legal claim")</f>
        <v/>
      </c>
      <c r="J18" s="4">
        <f>'Q14'!B61</f>
        <v/>
      </c>
      <c r="K18" s="4">
        <f>'Q14'!B62</f>
        <v/>
      </c>
    </row>
    <row r="19">
      <c r="A19" s="4" t="n">
        <v>15</v>
      </c>
      <c r="B19" s="4" t="inlineStr">
        <is>
          <t>Dawn raids — legal professional privilege</t>
        </is>
      </c>
      <c r="C19" s="4">
        <f>COUNTA('Q15'!B39:B58)</f>
        <v/>
      </c>
      <c r="D19" s="4">
        <f>COUNTIF('Q15'!D39:D58,"Supported")</f>
        <v/>
      </c>
      <c r="E19" s="4">
        <f>COUNTIF('Q15'!D39:D58,"Partly supported")</f>
        <v/>
      </c>
      <c r="F19" s="4">
        <f>COUNTIF('Q15'!D39:D58,"Not supported")</f>
        <v/>
      </c>
      <c r="G19" s="4">
        <f>COUNTIF('Q15'!D39:D58,"Wrong source")</f>
        <v/>
      </c>
      <c r="H19" s="4">
        <f>COUNTIF('Q15'!D39:D58,"Missing citation")</f>
        <v/>
      </c>
      <c r="I19" s="4">
        <f>COUNTIF('Q15'!D39:D58,"Not a legal claim")</f>
        <v/>
      </c>
      <c r="J19" s="4">
        <f>'Q15'!B61</f>
        <v/>
      </c>
      <c r="K19" s="4">
        <f>'Q15'!B62</f>
        <v/>
      </c>
    </row>
    <row r="20">
      <c r="A20" s="4" t="n">
        <v>16</v>
      </c>
      <c r="B20" s="4" t="inlineStr">
        <is>
          <t>Dawn raids — personal data</t>
        </is>
      </c>
      <c r="C20" s="4">
        <f>COUNTA('Q16'!B39:B58)</f>
        <v/>
      </c>
      <c r="D20" s="4">
        <f>COUNTIF('Q16'!D39:D58,"Supported")</f>
        <v/>
      </c>
      <c r="E20" s="4">
        <f>COUNTIF('Q16'!D39:D58,"Partly supported")</f>
        <v/>
      </c>
      <c r="F20" s="4">
        <f>COUNTIF('Q16'!D39:D58,"Not supported")</f>
        <v/>
      </c>
      <c r="G20" s="4">
        <f>COUNTIF('Q16'!D39:D58,"Wrong source")</f>
        <v/>
      </c>
      <c r="H20" s="4">
        <f>COUNTIF('Q16'!D39:D58,"Missing citation")</f>
        <v/>
      </c>
      <c r="I20" s="4">
        <f>COUNTIF('Q16'!D39:D58,"Not a legal claim")</f>
        <v/>
      </c>
      <c r="J20" s="4">
        <f>'Q16'!B61</f>
        <v/>
      </c>
      <c r="K20" s="4">
        <f>'Q16'!B62</f>
        <v/>
      </c>
    </row>
    <row r="21">
      <c r="A21" s="4" t="n">
        <v>17</v>
      </c>
      <c r="B21" s="4" t="inlineStr">
        <is>
          <t>Dawn raids — challenging a seizure</t>
        </is>
      </c>
      <c r="C21" s="4">
        <f>COUNTA('Q17'!B39:B58)</f>
        <v/>
      </c>
      <c r="D21" s="4">
        <f>COUNTIF('Q17'!D39:D58,"Supported")</f>
        <v/>
      </c>
      <c r="E21" s="4">
        <f>COUNTIF('Q17'!D39:D58,"Partly supported")</f>
        <v/>
      </c>
      <c r="F21" s="4">
        <f>COUNTIF('Q17'!D39:D58,"Not supported")</f>
        <v/>
      </c>
      <c r="G21" s="4">
        <f>COUNTIF('Q17'!D39:D58,"Wrong source")</f>
        <v/>
      </c>
      <c r="H21" s="4">
        <f>COUNTIF('Q17'!D39:D58,"Missing citation")</f>
        <v/>
      </c>
      <c r="I21" s="4">
        <f>COUNTIF('Q17'!D39:D58,"Not a legal claim")</f>
        <v/>
      </c>
      <c r="J21" s="4">
        <f>'Q17'!B61</f>
        <v/>
      </c>
      <c r="K21" s="4">
        <f>'Q17'!B62</f>
        <v/>
      </c>
    </row>
    <row r="22">
      <c r="A22" s="4" t="n">
        <v>18</v>
      </c>
      <c r="B22" s="4" t="inlineStr">
        <is>
          <t>Dawn raids — legal professional privilege</t>
        </is>
      </c>
      <c r="C22" s="4">
        <f>COUNTA('Q18'!B39:B58)</f>
        <v/>
      </c>
      <c r="D22" s="4">
        <f>COUNTIF('Q18'!D39:D58,"Supported")</f>
        <v/>
      </c>
      <c r="E22" s="4">
        <f>COUNTIF('Q18'!D39:D58,"Partly supported")</f>
        <v/>
      </c>
      <c r="F22" s="4">
        <f>COUNTIF('Q18'!D39:D58,"Not supported")</f>
        <v/>
      </c>
      <c r="G22" s="4">
        <f>COUNTIF('Q18'!D39:D58,"Wrong source")</f>
        <v/>
      </c>
      <c r="H22" s="4">
        <f>COUNTIF('Q18'!D39:D58,"Missing citation")</f>
        <v/>
      </c>
      <c r="I22" s="4">
        <f>COUNTIF('Q18'!D39:D58,"Not a legal claim")</f>
        <v/>
      </c>
      <c r="J22" s="4">
        <f>'Q18'!B61</f>
        <v/>
      </c>
      <c r="K22" s="4">
        <f>'Q18'!B62</f>
        <v/>
      </c>
    </row>
    <row r="23">
      <c r="A23" s="4" t="n">
        <v>22</v>
      </c>
      <c r="B23" s="4" t="inlineStr">
        <is>
          <t>Food delivery — data access</t>
        </is>
      </c>
      <c r="C23" s="4">
        <f>COUNTA('Q22'!B39:B58)</f>
        <v/>
      </c>
      <c r="D23" s="4">
        <f>COUNTIF('Q22'!D39:D58,"Supported")</f>
        <v/>
      </c>
      <c r="E23" s="4">
        <f>COUNTIF('Q22'!D39:D58,"Partly supported")</f>
        <v/>
      </c>
      <c r="F23" s="4">
        <f>COUNTIF('Q22'!D39:D58,"Not supported")</f>
        <v/>
      </c>
      <c r="G23" s="4">
        <f>COUNTIF('Q22'!D39:D58,"Wrong source")</f>
        <v/>
      </c>
      <c r="H23" s="4">
        <f>COUNTIF('Q22'!D39:D58,"Missing citation")</f>
        <v/>
      </c>
      <c r="I23" s="4">
        <f>COUNTIF('Q22'!D39:D58,"Not a legal claim")</f>
        <v/>
      </c>
      <c r="J23" s="4">
        <f>'Q22'!B61</f>
        <v/>
      </c>
      <c r="K23" s="4">
        <f>'Q22'!B62</f>
        <v/>
      </c>
    </row>
    <row r="24">
      <c r="A24" s="4" t="n">
        <v>23</v>
      </c>
      <c r="B24" s="4" t="inlineStr">
        <is>
          <t>Food delivery — own fleet vs marketplace</t>
        </is>
      </c>
      <c r="C24" s="4">
        <f>COUNTA('Q23'!B39:B58)</f>
        <v/>
      </c>
      <c r="D24" s="4">
        <f>COUNTIF('Q23'!D39:D58,"Supported")</f>
        <v/>
      </c>
      <c r="E24" s="4">
        <f>COUNTIF('Q23'!D39:D58,"Partly supported")</f>
        <v/>
      </c>
      <c r="F24" s="4">
        <f>COUNTIF('Q23'!D39:D58,"Not supported")</f>
        <v/>
      </c>
      <c r="G24" s="4">
        <f>COUNTIF('Q23'!D39:D58,"Wrong source")</f>
        <v/>
      </c>
      <c r="H24" s="4">
        <f>COUNTIF('Q23'!D39:D58,"Missing citation")</f>
        <v/>
      </c>
      <c r="I24" s="4">
        <f>COUNTIF('Q23'!D39:D58,"Not a legal claim")</f>
        <v/>
      </c>
      <c r="J24" s="4">
        <f>'Q23'!B61</f>
        <v/>
      </c>
      <c r="K24" s="4">
        <f>'Q23'!B62</f>
        <v/>
      </c>
    </row>
    <row r="25">
      <c r="A25" s="4" t="n">
        <v>24</v>
      </c>
      <c r="B25" s="4" t="inlineStr">
        <is>
          <t>Food delivery — which authority reviews</t>
        </is>
      </c>
      <c r="C25" s="4">
        <f>COUNTA('Q24'!B39:B58)</f>
        <v/>
      </c>
      <c r="D25" s="4">
        <f>COUNTIF('Q24'!D39:D58,"Supported")</f>
        <v/>
      </c>
      <c r="E25" s="4">
        <f>COUNTIF('Q24'!D39:D58,"Partly supported")</f>
        <v/>
      </c>
      <c r="F25" s="4">
        <f>COUNTIF('Q24'!D39:D58,"Not supported")</f>
        <v/>
      </c>
      <c r="G25" s="4">
        <f>COUNTIF('Q24'!D39:D58,"Wrong source")</f>
        <v/>
      </c>
      <c r="H25" s="4">
        <f>COUNTIF('Q24'!D39:D58,"Missing citation")</f>
        <v/>
      </c>
      <c r="I25" s="4">
        <f>COUNTIF('Q24'!D39:D58,"Not a legal claim")</f>
        <v/>
      </c>
      <c r="J25" s="4">
        <f>'Q24'!B61</f>
        <v/>
      </c>
      <c r="K25" s="4">
        <f>'Q24'!B62</f>
        <v/>
      </c>
    </row>
    <row r="26">
      <c r="A26" s="4" t="n">
        <v>25</v>
      </c>
      <c r="B26" s="4" t="inlineStr">
        <is>
          <t>Dawn raids — legal professional privilege</t>
        </is>
      </c>
      <c r="C26" s="4">
        <f>COUNTA('Q25'!B39:B58)</f>
        <v/>
      </c>
      <c r="D26" s="4">
        <f>COUNTIF('Q25'!D39:D58,"Supported")</f>
        <v/>
      </c>
      <c r="E26" s="4">
        <f>COUNTIF('Q25'!D39:D58,"Partly supported")</f>
        <v/>
      </c>
      <c r="F26" s="4">
        <f>COUNTIF('Q25'!D39:D58,"Not supported")</f>
        <v/>
      </c>
      <c r="G26" s="4">
        <f>COUNTIF('Q25'!D39:D58,"Wrong source")</f>
        <v/>
      </c>
      <c r="H26" s="4">
        <f>COUNTIF('Q25'!D39:D58,"Missing citation")</f>
        <v/>
      </c>
      <c r="I26" s="4">
        <f>COUNTIF('Q25'!D39:D58,"Not a legal claim")</f>
        <v/>
      </c>
      <c r="J26" s="4">
        <f>'Q25'!B61</f>
        <v/>
      </c>
      <c r="K26" s="4">
        <f>'Q25'!B62</f>
        <v/>
      </c>
    </row>
    <row r="27">
      <c r="A27" s="4" t="n">
        <v>26</v>
      </c>
      <c r="B27" s="4" t="inlineStr">
        <is>
          <t>Dawn raids — legal professional privilege</t>
        </is>
      </c>
      <c r="C27" s="4">
        <f>COUNTA('Q26'!B39:B58)</f>
        <v/>
      </c>
      <c r="D27" s="4">
        <f>COUNTIF('Q26'!D39:D58,"Supported")</f>
        <v/>
      </c>
      <c r="E27" s="4">
        <f>COUNTIF('Q26'!D39:D58,"Partly supported")</f>
        <v/>
      </c>
      <c r="F27" s="4">
        <f>COUNTIF('Q26'!D39:D58,"Not supported")</f>
        <v/>
      </c>
      <c r="G27" s="4">
        <f>COUNTIF('Q26'!D39:D58,"Wrong source")</f>
        <v/>
      </c>
      <c r="H27" s="4">
        <f>COUNTIF('Q26'!D39:D58,"Missing citation")</f>
        <v/>
      </c>
      <c r="I27" s="4">
        <f>COUNTIF('Q26'!D39:D58,"Not a legal claim")</f>
        <v/>
      </c>
      <c r="J27" s="4">
        <f>'Q26'!B61</f>
        <v/>
      </c>
      <c r="K27" s="4">
        <f>'Q26'!B62</f>
        <v/>
      </c>
    </row>
    <row r="28">
      <c r="A28" s="4" t="n">
        <v>27</v>
      </c>
      <c r="B28" s="4" t="inlineStr">
        <is>
          <t>Dawn raids — challenging a seizure</t>
        </is>
      </c>
      <c r="C28" s="4">
        <f>COUNTA('Q27'!B39:B58)</f>
        <v/>
      </c>
      <c r="D28" s="4">
        <f>COUNTIF('Q27'!D39:D58,"Supported")</f>
        <v/>
      </c>
      <c r="E28" s="4">
        <f>COUNTIF('Q27'!D39:D58,"Partly supported")</f>
        <v/>
      </c>
      <c r="F28" s="4">
        <f>COUNTIF('Q27'!D39:D58,"Not supported")</f>
        <v/>
      </c>
      <c r="G28" s="4">
        <f>COUNTIF('Q27'!D39:D58,"Wrong source")</f>
        <v/>
      </c>
      <c r="H28" s="4">
        <f>COUNTIF('Q27'!D39:D58,"Missing citation")</f>
        <v/>
      </c>
      <c r="I28" s="4">
        <f>COUNTIF('Q27'!D39:D58,"Not a legal claim")</f>
        <v/>
      </c>
      <c r="J28" s="4">
        <f>'Q27'!B61</f>
        <v/>
      </c>
      <c r="K28" s="4">
        <f>'Q27'!B62</f>
        <v/>
      </c>
    </row>
    <row r="29">
      <c r="A29" s="4" t="n">
        <v>28</v>
      </c>
      <c r="B29" s="4" t="inlineStr">
        <is>
          <t>Dawn raids — the inspection decision</t>
        </is>
      </c>
      <c r="C29" s="4">
        <f>COUNTA('Q28'!B39:B58)</f>
        <v/>
      </c>
      <c r="D29" s="4">
        <f>COUNTIF('Q28'!D39:D58,"Supported")</f>
        <v/>
      </c>
      <c r="E29" s="4">
        <f>COUNTIF('Q28'!D39:D58,"Partly supported")</f>
        <v/>
      </c>
      <c r="F29" s="4">
        <f>COUNTIF('Q28'!D39:D58,"Not supported")</f>
        <v/>
      </c>
      <c r="G29" s="4">
        <f>COUNTIF('Q28'!D39:D58,"Wrong source")</f>
        <v/>
      </c>
      <c r="H29" s="4">
        <f>COUNTIF('Q28'!D39:D58,"Missing citation")</f>
        <v/>
      </c>
      <c r="I29" s="4">
        <f>COUNTIF('Q28'!D39:D58,"Not a legal claim")</f>
        <v/>
      </c>
      <c r="J29" s="4">
        <f>'Q28'!B61</f>
        <v/>
      </c>
      <c r="K29" s="4">
        <f>'Q28'!B62</f>
        <v/>
      </c>
    </row>
    <row r="30">
      <c r="A30" s="4" t="n">
        <v>29</v>
      </c>
      <c r="B30" s="4" t="inlineStr">
        <is>
          <t>Dawn raids — the inspection decision</t>
        </is>
      </c>
      <c r="C30" s="4">
        <f>COUNTA('Q29'!B39:B58)</f>
        <v/>
      </c>
      <c r="D30" s="4">
        <f>COUNTIF('Q29'!D39:D58,"Supported")</f>
        <v/>
      </c>
      <c r="E30" s="4">
        <f>COUNTIF('Q29'!D39:D58,"Partly supported")</f>
        <v/>
      </c>
      <c r="F30" s="4">
        <f>COUNTIF('Q29'!D39:D58,"Not supported")</f>
        <v/>
      </c>
      <c r="G30" s="4">
        <f>COUNTIF('Q29'!D39:D58,"Wrong source")</f>
        <v/>
      </c>
      <c r="H30" s="4">
        <f>COUNTIF('Q29'!D39:D58,"Missing citation")</f>
        <v/>
      </c>
      <c r="I30" s="4">
        <f>COUNTIF('Q29'!D39:D58,"Not a legal claim")</f>
        <v/>
      </c>
      <c r="J30" s="4">
        <f>'Q29'!B61</f>
        <v/>
      </c>
      <c r="K30" s="4">
        <f>'Q29'!B62</f>
        <v/>
      </c>
    </row>
    <row r="31">
      <c r="A31" s="4" t="n">
        <v>30</v>
      </c>
      <c r="B31" s="4" t="inlineStr">
        <is>
          <t>Dawn raids — the inspection decision</t>
        </is>
      </c>
      <c r="C31" s="4">
        <f>COUNTA('Q30'!B39:B58)</f>
        <v/>
      </c>
      <c r="D31" s="4">
        <f>COUNTIF('Q30'!D39:D58,"Supported")</f>
        <v/>
      </c>
      <c r="E31" s="4">
        <f>COUNTIF('Q30'!D39:D58,"Partly supported")</f>
        <v/>
      </c>
      <c r="F31" s="4">
        <f>COUNTIF('Q30'!D39:D58,"Not supported")</f>
        <v/>
      </c>
      <c r="G31" s="4">
        <f>COUNTIF('Q30'!D39:D58,"Wrong source")</f>
        <v/>
      </c>
      <c r="H31" s="4">
        <f>COUNTIF('Q30'!D39:D58,"Missing citation")</f>
        <v/>
      </c>
      <c r="I31" s="4">
        <f>COUNTIF('Q30'!D39:D58,"Not a legal claim")</f>
        <v/>
      </c>
      <c r="J31" s="4">
        <f>'Q30'!B61</f>
        <v/>
      </c>
      <c r="K31" s="4">
        <f>'Q30'!B62</f>
        <v/>
      </c>
    </row>
    <row r="32">
      <c r="A32" s="4" t="n">
        <v>34</v>
      </c>
      <c r="B32" s="4" t="inlineStr">
        <is>
          <t>Dawn raids — obstruction and seals</t>
        </is>
      </c>
      <c r="C32" s="4">
        <f>COUNTA('Q34'!B39:B58)</f>
        <v/>
      </c>
      <c r="D32" s="4">
        <f>COUNTIF('Q34'!D39:D58,"Supported")</f>
        <v/>
      </c>
      <c r="E32" s="4">
        <f>COUNTIF('Q34'!D39:D58,"Partly supported")</f>
        <v/>
      </c>
      <c r="F32" s="4">
        <f>COUNTIF('Q34'!D39:D58,"Not supported")</f>
        <v/>
      </c>
      <c r="G32" s="4">
        <f>COUNTIF('Q34'!D39:D58,"Wrong source")</f>
        <v/>
      </c>
      <c r="H32" s="4">
        <f>COUNTIF('Q34'!D39:D58,"Missing citation")</f>
        <v/>
      </c>
      <c r="I32" s="4">
        <f>COUNTIF('Q34'!D39:D58,"Not a legal claim")</f>
        <v/>
      </c>
      <c r="J32" s="4">
        <f>'Q34'!B61</f>
        <v/>
      </c>
      <c r="K32" s="4">
        <f>'Q34'!B62</f>
        <v/>
      </c>
    </row>
    <row r="33">
      <c r="A33" s="4" t="n">
        <v>35</v>
      </c>
      <c r="B33" s="4" t="inlineStr">
        <is>
          <t>Dawn raids — obstruction and seals</t>
        </is>
      </c>
      <c r="C33" s="4">
        <f>COUNTA('Q35'!B39:B58)</f>
        <v/>
      </c>
      <c r="D33" s="4">
        <f>COUNTIF('Q35'!D39:D58,"Supported")</f>
        <v/>
      </c>
      <c r="E33" s="4">
        <f>COUNTIF('Q35'!D39:D58,"Partly supported")</f>
        <v/>
      </c>
      <c r="F33" s="4">
        <f>COUNTIF('Q35'!D39:D58,"Not supported")</f>
        <v/>
      </c>
      <c r="G33" s="4">
        <f>COUNTIF('Q35'!D39:D58,"Wrong source")</f>
        <v/>
      </c>
      <c r="H33" s="4">
        <f>COUNTIF('Q35'!D39:D58,"Missing citation")</f>
        <v/>
      </c>
      <c r="I33" s="4">
        <f>COUNTIF('Q35'!D39:D58,"Not a legal claim")</f>
        <v/>
      </c>
      <c r="J33" s="4">
        <f>'Q35'!B61</f>
        <v/>
      </c>
      <c r="K33" s="4">
        <f>'Q35'!B62</f>
        <v/>
      </c>
    </row>
    <row r="34">
      <c r="A34" s="4" t="n">
        <v>36</v>
      </c>
      <c r="B34" s="4" t="inlineStr">
        <is>
          <t>Dawn raids — obstruction and seals</t>
        </is>
      </c>
      <c r="C34" s="4">
        <f>COUNTA('Q36'!B39:B58)</f>
        <v/>
      </c>
      <c r="D34" s="4">
        <f>COUNTIF('Q36'!D39:D58,"Supported")</f>
        <v/>
      </c>
      <c r="E34" s="4">
        <f>COUNTIF('Q36'!D39:D58,"Partly supported")</f>
        <v/>
      </c>
      <c r="F34" s="4">
        <f>COUNTIF('Q36'!D39:D58,"Not supported")</f>
        <v/>
      </c>
      <c r="G34" s="4">
        <f>COUNTIF('Q36'!D39:D58,"Wrong source")</f>
        <v/>
      </c>
      <c r="H34" s="4">
        <f>COUNTIF('Q36'!D39:D58,"Missing citation")</f>
        <v/>
      </c>
      <c r="I34" s="4">
        <f>COUNTIF('Q36'!D39:D58,"Not a legal claim")</f>
        <v/>
      </c>
      <c r="J34" s="4">
        <f>'Q36'!B61</f>
        <v/>
      </c>
      <c r="K34" s="4">
        <f>'Q36'!B62</f>
        <v/>
      </c>
    </row>
    <row r="35">
      <c r="A35" s="4" t="n">
        <v>38</v>
      </c>
      <c r="B35" s="4" t="inlineStr">
        <is>
          <t>Dawn raids — questioning staff</t>
        </is>
      </c>
      <c r="C35" s="4">
        <f>COUNTA('Q38'!B39:B58)</f>
        <v/>
      </c>
      <c r="D35" s="4">
        <f>COUNTIF('Q38'!D39:D58,"Supported")</f>
        <v/>
      </c>
      <c r="E35" s="4">
        <f>COUNTIF('Q38'!D39:D58,"Partly supported")</f>
        <v/>
      </c>
      <c r="F35" s="4">
        <f>COUNTIF('Q38'!D39:D58,"Not supported")</f>
        <v/>
      </c>
      <c r="G35" s="4">
        <f>COUNTIF('Q38'!D39:D58,"Wrong source")</f>
        <v/>
      </c>
      <c r="H35" s="4">
        <f>COUNTIF('Q38'!D39:D58,"Missing citation")</f>
        <v/>
      </c>
      <c r="I35" s="4">
        <f>COUNTIF('Q38'!D39:D58,"Not a legal claim")</f>
        <v/>
      </c>
      <c r="J35" s="4">
        <f>'Q38'!B61</f>
        <v/>
      </c>
      <c r="K35" s="4">
        <f>'Q38'!B62</f>
        <v/>
      </c>
    </row>
    <row r="36">
      <c r="A36" s="4" t="n">
        <v>39</v>
      </c>
      <c r="B36" s="4" t="inlineStr">
        <is>
          <t>Dawn raids — questioning staff</t>
        </is>
      </c>
      <c r="C36" s="4">
        <f>COUNTA('Q39'!B39:B58)</f>
        <v/>
      </c>
      <c r="D36" s="4">
        <f>COUNTIF('Q39'!D39:D58,"Supported")</f>
        <v/>
      </c>
      <c r="E36" s="4">
        <f>COUNTIF('Q39'!D39:D58,"Partly supported")</f>
        <v/>
      </c>
      <c r="F36" s="4">
        <f>COUNTIF('Q39'!D39:D58,"Not supported")</f>
        <v/>
      </c>
      <c r="G36" s="4">
        <f>COUNTIF('Q39'!D39:D58,"Wrong source")</f>
        <v/>
      </c>
      <c r="H36" s="4">
        <f>COUNTIF('Q39'!D39:D58,"Missing citation")</f>
        <v/>
      </c>
      <c r="I36" s="4">
        <f>COUNTIF('Q39'!D39:D58,"Not a legal claim")</f>
        <v/>
      </c>
      <c r="J36" s="4">
        <f>'Q39'!B61</f>
        <v/>
      </c>
      <c r="K36" s="4">
        <f>'Q39'!B62</f>
        <v/>
      </c>
    </row>
    <row r="37">
      <c r="A37" s="4" t="n">
        <v>41</v>
      </c>
      <c r="B37" s="4" t="inlineStr">
        <is>
          <t>Dawn raids — electronic data</t>
        </is>
      </c>
      <c r="C37" s="4">
        <f>COUNTA('Q41'!B39:B58)</f>
        <v/>
      </c>
      <c r="D37" s="4">
        <f>COUNTIF('Q41'!D39:D58,"Supported")</f>
        <v/>
      </c>
      <c r="E37" s="4">
        <f>COUNTIF('Q41'!D39:D58,"Partly supported")</f>
        <v/>
      </c>
      <c r="F37" s="4">
        <f>COUNTIF('Q41'!D39:D58,"Not supported")</f>
        <v/>
      </c>
      <c r="G37" s="4">
        <f>COUNTIF('Q41'!D39:D58,"Wrong source")</f>
        <v/>
      </c>
      <c r="H37" s="4">
        <f>COUNTIF('Q41'!D39:D58,"Missing citation")</f>
        <v/>
      </c>
      <c r="I37" s="4">
        <f>COUNTIF('Q41'!D39:D58,"Not a legal claim")</f>
        <v/>
      </c>
      <c r="J37" s="4">
        <f>'Q41'!B61</f>
        <v/>
      </c>
      <c r="K37" s="4">
        <f>'Q41'!B62</f>
        <v/>
      </c>
    </row>
    <row r="38">
      <c r="A38" s="4" t="n">
        <v>42</v>
      </c>
      <c r="B38" s="4" t="inlineStr">
        <is>
          <t>Dawn raids — electronic data</t>
        </is>
      </c>
      <c r="C38" s="4">
        <f>COUNTA('Q42'!B39:B58)</f>
        <v/>
      </c>
      <c r="D38" s="4">
        <f>COUNTIF('Q42'!D39:D58,"Supported")</f>
        <v/>
      </c>
      <c r="E38" s="4">
        <f>COUNTIF('Q42'!D39:D58,"Partly supported")</f>
        <v/>
      </c>
      <c r="F38" s="4">
        <f>COUNTIF('Q42'!D39:D58,"Not supported")</f>
        <v/>
      </c>
      <c r="G38" s="4">
        <f>COUNTIF('Q42'!D39:D58,"Wrong source")</f>
        <v/>
      </c>
      <c r="H38" s="4">
        <f>COUNTIF('Q42'!D39:D58,"Missing citation")</f>
        <v/>
      </c>
      <c r="I38" s="4">
        <f>COUNTIF('Q42'!D39:D58,"Not a legal claim")</f>
        <v/>
      </c>
      <c r="J38" s="4">
        <f>'Q42'!B61</f>
        <v/>
      </c>
      <c r="K38" s="4">
        <f>'Q42'!B62</f>
        <v/>
      </c>
    </row>
    <row r="39">
      <c r="A39" s="4" t="n">
        <v>43</v>
      </c>
      <c r="B39" s="4" t="inlineStr">
        <is>
          <t>Dawn raids — electronic data</t>
        </is>
      </c>
      <c r="C39" s="4">
        <f>COUNTA('Q43'!B39:B58)</f>
        <v/>
      </c>
      <c r="D39" s="4">
        <f>COUNTIF('Q43'!D39:D58,"Supported")</f>
        <v/>
      </c>
      <c r="E39" s="4">
        <f>COUNTIF('Q43'!D39:D58,"Partly supported")</f>
        <v/>
      </c>
      <c r="F39" s="4">
        <f>COUNTIF('Q43'!D39:D58,"Not supported")</f>
        <v/>
      </c>
      <c r="G39" s="4">
        <f>COUNTIF('Q43'!D39:D58,"Wrong source")</f>
        <v/>
      </c>
      <c r="H39" s="4">
        <f>COUNTIF('Q43'!D39:D58,"Missing citation")</f>
        <v/>
      </c>
      <c r="I39" s="4">
        <f>COUNTIF('Q43'!D39:D58,"Not a legal claim")</f>
        <v/>
      </c>
      <c r="J39" s="4">
        <f>'Q43'!B61</f>
        <v/>
      </c>
      <c r="K39" s="4">
        <f>'Q43'!B62</f>
        <v/>
      </c>
    </row>
    <row r="40">
      <c r="A40" s="4" t="n">
        <v>45</v>
      </c>
      <c r="B40" s="4" t="inlineStr">
        <is>
          <t>Dawn raids — evidence found by accident</t>
        </is>
      </c>
      <c r="C40" s="4">
        <f>COUNTA('Q45'!B39:B58)</f>
        <v/>
      </c>
      <c r="D40" s="4">
        <f>COUNTIF('Q45'!D39:D58,"Supported")</f>
        <v/>
      </c>
      <c r="E40" s="4">
        <f>COUNTIF('Q45'!D39:D58,"Partly supported")</f>
        <v/>
      </c>
      <c r="F40" s="4">
        <f>COUNTIF('Q45'!D39:D58,"Not supported")</f>
        <v/>
      </c>
      <c r="G40" s="4">
        <f>COUNTIF('Q45'!D39:D58,"Wrong source")</f>
        <v/>
      </c>
      <c r="H40" s="4">
        <f>COUNTIF('Q45'!D39:D58,"Missing citation")</f>
        <v/>
      </c>
      <c r="I40" s="4">
        <f>COUNTIF('Q45'!D39:D58,"Not a legal claim")</f>
        <v/>
      </c>
      <c r="J40" s="4">
        <f>'Q45'!B61</f>
        <v/>
      </c>
      <c r="K40" s="4">
        <f>'Q45'!B62</f>
        <v/>
      </c>
    </row>
    <row r="41">
      <c r="A41" s="4" t="n">
        <v>46</v>
      </c>
      <c r="B41" s="4" t="inlineStr">
        <is>
          <t>Dawn raids — evidence found by accident</t>
        </is>
      </c>
      <c r="C41" s="4">
        <f>COUNTA('Q46'!B39:B58)</f>
        <v/>
      </c>
      <c r="D41" s="4">
        <f>COUNTIF('Q46'!D39:D58,"Supported")</f>
        <v/>
      </c>
      <c r="E41" s="4">
        <f>COUNTIF('Q46'!D39:D58,"Partly supported")</f>
        <v/>
      </c>
      <c r="F41" s="4">
        <f>COUNTIF('Q46'!D39:D58,"Not supported")</f>
        <v/>
      </c>
      <c r="G41" s="4">
        <f>COUNTIF('Q46'!D39:D58,"Wrong source")</f>
        <v/>
      </c>
      <c r="H41" s="4">
        <f>COUNTIF('Q46'!D39:D58,"Missing citation")</f>
        <v/>
      </c>
      <c r="I41" s="4">
        <f>COUNTIF('Q46'!D39:D58,"Not a legal claim")</f>
        <v/>
      </c>
      <c r="J41" s="4">
        <f>'Q46'!B61</f>
        <v/>
      </c>
      <c r="K41" s="4">
        <f>'Q46'!B62</f>
        <v/>
      </c>
    </row>
    <row r="42">
      <c r="A42" s="4" t="n">
        <v>47</v>
      </c>
      <c r="B42" s="4" t="inlineStr">
        <is>
          <t>Dawn raids — premises and the courts</t>
        </is>
      </c>
      <c r="C42" s="4">
        <f>COUNTA('Q47'!B39:B58)</f>
        <v/>
      </c>
      <c r="D42" s="4">
        <f>COUNTIF('Q47'!D39:D58,"Supported")</f>
        <v/>
      </c>
      <c r="E42" s="4">
        <f>COUNTIF('Q47'!D39:D58,"Partly supported")</f>
        <v/>
      </c>
      <c r="F42" s="4">
        <f>COUNTIF('Q47'!D39:D58,"Not supported")</f>
        <v/>
      </c>
      <c r="G42" s="4">
        <f>COUNTIF('Q47'!D39:D58,"Wrong source")</f>
        <v/>
      </c>
      <c r="H42" s="4">
        <f>COUNTIF('Q47'!D39:D58,"Missing citation")</f>
        <v/>
      </c>
      <c r="I42" s="4">
        <f>COUNTIF('Q47'!D39:D58,"Not a legal claim")</f>
        <v/>
      </c>
      <c r="J42" s="4">
        <f>'Q47'!B61</f>
        <v/>
      </c>
      <c r="K42" s="4">
        <f>'Q47'!B62</f>
        <v/>
      </c>
    </row>
    <row r="43">
      <c r="A43" s="4" t="n">
        <v>48</v>
      </c>
      <c r="B43" s="4" t="inlineStr">
        <is>
          <t>Dawn raids — premises and the courts</t>
        </is>
      </c>
      <c r="C43" s="4">
        <f>COUNTA('Q48'!B39:B58)</f>
        <v/>
      </c>
      <c r="D43" s="4">
        <f>COUNTIF('Q48'!D39:D58,"Supported")</f>
        <v/>
      </c>
      <c r="E43" s="4">
        <f>COUNTIF('Q48'!D39:D58,"Partly supported")</f>
        <v/>
      </c>
      <c r="F43" s="4">
        <f>COUNTIF('Q48'!D39:D58,"Not supported")</f>
        <v/>
      </c>
      <c r="G43" s="4">
        <f>COUNTIF('Q48'!D39:D58,"Wrong source")</f>
        <v/>
      </c>
      <c r="H43" s="4">
        <f>COUNTIF('Q48'!D39:D58,"Missing citation")</f>
        <v/>
      </c>
      <c r="I43" s="4">
        <f>COUNTIF('Q48'!D39:D58,"Not a legal claim")</f>
        <v/>
      </c>
      <c r="J43" s="4">
        <f>'Q48'!B61</f>
        <v/>
      </c>
      <c r="K43" s="4">
        <f>'Q48'!B62</f>
        <v/>
      </c>
    </row>
    <row r="44">
      <c r="A44" s="4" t="n">
        <v>49</v>
      </c>
      <c r="B44" s="4" t="inlineStr">
        <is>
          <t>Dawn raids — premises and the courts</t>
        </is>
      </c>
      <c r="C44" s="4">
        <f>COUNTA('Q49'!B39:B58)</f>
        <v/>
      </c>
      <c r="D44" s="4">
        <f>COUNTIF('Q49'!D39:D58,"Supported")</f>
        <v/>
      </c>
      <c r="E44" s="4">
        <f>COUNTIF('Q49'!D39:D58,"Partly supported")</f>
        <v/>
      </c>
      <c r="F44" s="4">
        <f>COUNTIF('Q49'!D39:D58,"Not supported")</f>
        <v/>
      </c>
      <c r="G44" s="4">
        <f>COUNTIF('Q49'!D39:D58,"Wrong source")</f>
        <v/>
      </c>
      <c r="H44" s="4">
        <f>COUNTIF('Q49'!D39:D58,"Missing citation")</f>
        <v/>
      </c>
      <c r="I44" s="4">
        <f>COUNTIF('Q49'!D39:D58,"Not a legal claim")</f>
        <v/>
      </c>
      <c r="J44" s="4">
        <f>'Q49'!B61</f>
        <v/>
      </c>
      <c r="K44" s="4">
        <f>'Q49'!B62</f>
        <v/>
      </c>
    </row>
    <row r="45">
      <c r="A45" s="4" t="n">
        <v>51</v>
      </c>
      <c r="B45" s="4" t="inlineStr">
        <is>
          <t>Dawn raids — personal data</t>
        </is>
      </c>
      <c r="C45" s="4">
        <f>COUNTA('Q51'!B39:B58)</f>
        <v/>
      </c>
      <c r="D45" s="4">
        <f>COUNTIF('Q51'!D39:D58,"Supported")</f>
        <v/>
      </c>
      <c r="E45" s="4">
        <f>COUNTIF('Q51'!D39:D58,"Partly supported")</f>
        <v/>
      </c>
      <c r="F45" s="4">
        <f>COUNTIF('Q51'!D39:D58,"Not supported")</f>
        <v/>
      </c>
      <c r="G45" s="4">
        <f>COUNTIF('Q51'!D39:D58,"Wrong source")</f>
        <v/>
      </c>
      <c r="H45" s="4">
        <f>COUNTIF('Q51'!D39:D58,"Missing citation")</f>
        <v/>
      </c>
      <c r="I45" s="4">
        <f>COUNTIF('Q51'!D39:D58,"Not a legal claim")</f>
        <v/>
      </c>
      <c r="J45" s="4">
        <f>'Q51'!B61</f>
        <v/>
      </c>
      <c r="K45" s="4">
        <f>'Q51'!B62</f>
        <v/>
      </c>
    </row>
    <row r="46">
      <c r="A46" s="4" t="n">
        <v>52</v>
      </c>
      <c r="B46" s="4" t="inlineStr">
        <is>
          <t>Dawn raids — legal professional privilege</t>
        </is>
      </c>
      <c r="C46" s="4">
        <f>COUNTA('Q52'!B39:B58)</f>
        <v/>
      </c>
      <c r="D46" s="4">
        <f>COUNTIF('Q52'!D39:D58,"Supported")</f>
        <v/>
      </c>
      <c r="E46" s="4">
        <f>COUNTIF('Q52'!D39:D58,"Partly supported")</f>
        <v/>
      </c>
      <c r="F46" s="4">
        <f>COUNTIF('Q52'!D39:D58,"Not supported")</f>
        <v/>
      </c>
      <c r="G46" s="4">
        <f>COUNTIF('Q52'!D39:D58,"Wrong source")</f>
        <v/>
      </c>
      <c r="H46" s="4">
        <f>COUNTIF('Q52'!D39:D58,"Missing citation")</f>
        <v/>
      </c>
      <c r="I46" s="4">
        <f>COUNTIF('Q52'!D39:D58,"Not a legal claim")</f>
        <v/>
      </c>
      <c r="J46" s="4">
        <f>'Q52'!B61</f>
        <v/>
      </c>
      <c r="K46" s="4">
        <f>'Q52'!B62</f>
        <v/>
      </c>
    </row>
    <row r="47">
      <c r="A47" s="4" t="n">
        <v>53</v>
      </c>
      <c r="B47" s="4" t="inlineStr">
        <is>
          <t>Dawn raids — grounds for an inspection</t>
        </is>
      </c>
      <c r="C47" s="4">
        <f>COUNTA('Q53'!B39:B58)</f>
        <v/>
      </c>
      <c r="D47" s="4">
        <f>COUNTIF('Q53'!D39:D58,"Supported")</f>
        <v/>
      </c>
      <c r="E47" s="4">
        <f>COUNTIF('Q53'!D39:D58,"Partly supported")</f>
        <v/>
      </c>
      <c r="F47" s="4">
        <f>COUNTIF('Q53'!D39:D58,"Not supported")</f>
        <v/>
      </c>
      <c r="G47" s="4">
        <f>COUNTIF('Q53'!D39:D58,"Wrong source")</f>
        <v/>
      </c>
      <c r="H47" s="4">
        <f>COUNTIF('Q53'!D39:D58,"Missing citation")</f>
        <v/>
      </c>
      <c r="I47" s="4">
        <f>COUNTIF('Q53'!D39:D58,"Not a legal claim")</f>
        <v/>
      </c>
      <c r="J47" s="4">
        <f>'Q53'!B61</f>
        <v/>
      </c>
      <c r="K47" s="4">
        <f>'Q53'!B62</f>
        <v/>
      </c>
    </row>
    <row r="48">
      <c r="A48" s="4" t="n">
        <v>54</v>
      </c>
      <c r="B48" s="4" t="inlineStr">
        <is>
          <t>Dawn raids — grounds for an inspection</t>
        </is>
      </c>
      <c r="C48" s="4">
        <f>COUNTA('Q54'!B39:B58)</f>
        <v/>
      </c>
      <c r="D48" s="4">
        <f>COUNTIF('Q54'!D39:D58,"Supported")</f>
        <v/>
      </c>
      <c r="E48" s="4">
        <f>COUNTIF('Q54'!D39:D58,"Partly supported")</f>
        <v/>
      </c>
      <c r="F48" s="4">
        <f>COUNTIF('Q54'!D39:D58,"Not supported")</f>
        <v/>
      </c>
      <c r="G48" s="4">
        <f>COUNTIF('Q54'!D39:D58,"Wrong source")</f>
        <v/>
      </c>
      <c r="H48" s="4">
        <f>COUNTIF('Q54'!D39:D58,"Missing citation")</f>
        <v/>
      </c>
      <c r="I48" s="4">
        <f>COUNTIF('Q54'!D39:D58,"Not a legal claim")</f>
        <v/>
      </c>
      <c r="J48" s="4">
        <f>'Q54'!B61</f>
        <v/>
      </c>
      <c r="K48" s="4">
        <f>'Q54'!B62</f>
        <v/>
      </c>
    </row>
  </sheetData>
  <autoFilter ref="A4:K48"/>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Q01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v>
      </c>
      <c r="I4" s="3" t="n"/>
      <c r="J4" s="3" t="n"/>
    </row>
    <row r="5">
      <c r="A5" s="9" t="inlineStr">
        <is>
          <t>Topic</t>
        </is>
      </c>
      <c r="B5" s="3" t="inlineStr">
        <is>
          <t>Food delivery — market definition</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The relevant market in a food-delivery acquisition — how have the Commission and national authorities defined the relevant product and geographic markets, and on what rationales?</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Q02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v>
      </c>
      <c r="I4" s="3" t="n"/>
      <c r="J4" s="3" t="n"/>
    </row>
    <row r="5">
      <c r="A5" s="9" t="inlineStr">
        <is>
          <t>Topic</t>
        </is>
      </c>
      <c r="B5" s="3" t="inlineStr">
        <is>
          <t>Food delivery — multi-sided platforms</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Food delivery as a multi-sided platform — have authorities analysed these platforms as two- or multi-sided markets, and which sides actually entered the analysis?</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Q03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v>
      </c>
      <c r="I4" s="3" t="n"/>
      <c r="J4" s="3" t="n"/>
    </row>
    <row r="5">
      <c r="A5" s="9" t="inlineStr">
        <is>
          <t>Topic</t>
        </is>
      </c>
      <c r="B5" s="3" t="inlineStr">
        <is>
          <t>Food delivery — market boundary</t>
        </is>
      </c>
      <c r="I5" s="3" t="n"/>
      <c r="J5" s="3" t="n"/>
    </row>
    <row r="6">
      <c r="A6" s="9" t="inlineStr">
        <is>
          <t>Scope</t>
        </is>
      </c>
      <c r="B6" s="3" t="inlineStr">
        <is>
          <t>UK (ES colour)</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Grocery, quick commerce, and the market boundary — separate markets from restaurant meal delivery, or one broad on-demand delivery market?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Q04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v>
      </c>
      <c r="I4" s="3" t="n"/>
      <c r="J4" s="3" t="n"/>
    </row>
    <row r="5">
      <c r="A5" s="9" t="inlineStr">
        <is>
          <t>Topic</t>
        </is>
      </c>
      <c r="B5" s="3" t="inlineStr">
        <is>
          <t>Food delivery — failing-firm defence</t>
        </is>
      </c>
      <c r="I5" s="3" t="n"/>
      <c r="J5" s="3" t="n"/>
    </row>
    <row r="6">
      <c r="A6" s="9" t="inlineStr">
        <is>
          <t>Scope</t>
        </is>
      </c>
      <c r="B6" s="3" t="inlineStr">
        <is>
          <t>UK</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The failing-firm defence in food delivery — has an exiting-firm counterfactual ever been accepted, did it survive to the final decision, and on what evidence?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Q05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5</v>
      </c>
      <c r="I4" s="3" t="n"/>
      <c r="J4" s="3" t="n"/>
    </row>
    <row r="5">
      <c r="A5" s="9" t="inlineStr">
        <is>
          <t>Topic</t>
        </is>
      </c>
      <c r="B5" s="3" t="inlineStr">
        <is>
          <t>Food delivery — COVID-19</t>
        </is>
      </c>
      <c r="I5" s="3" t="n"/>
      <c r="J5" s="3" t="n"/>
    </row>
    <row r="6">
      <c r="A6" s="9" t="inlineStr">
        <is>
          <t>Scope</t>
        </is>
      </c>
      <c r="B6" s="3" t="inlineStr">
        <is>
          <t>UK</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COVID-19 in the competitive assessment — how did the pandemic actually enter the analysis: counterfactual, market definition, or not at all?</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Q06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6</v>
      </c>
      <c r="I4" s="3" t="n"/>
      <c r="J4" s="3" t="n"/>
    </row>
    <row r="5">
      <c r="A5" s="9" t="inlineStr">
        <is>
          <t>Topic</t>
        </is>
      </c>
      <c r="B5" s="3" t="inlineStr">
        <is>
          <t>Food delivery — potential competition</t>
        </is>
      </c>
      <c r="I5" s="3" t="n"/>
      <c r="J5" s="3" t="n"/>
    </row>
    <row r="6">
      <c r="A6" s="9" t="inlineStr">
        <is>
          <t>Scope</t>
        </is>
      </c>
      <c r="B6" s="3" t="inlineStr">
        <is>
          <t>UK</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Potential competition and re-entry — where the acquirer is not active in the UK, how has the CMA treated entry or re-entry absent the merger?</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Q07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7</v>
      </c>
      <c r="I4" s="3" t="n"/>
      <c r="J4" s="3" t="n"/>
    </row>
    <row r="5">
      <c r="A5" s="9" t="inlineStr">
        <is>
          <t>Topic</t>
        </is>
      </c>
      <c r="B5" s="3" t="inlineStr">
        <is>
          <t>Food delivery — no-poach agreements</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No-poach agreements under Article 101 — can a reciprocal agreement not to hire each other's staff infringe Article 101, and what is the leading precedent and fine?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Q08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8</v>
      </c>
      <c r="I4" s="3" t="n"/>
      <c r="J4" s="3" t="n"/>
    </row>
    <row r="5">
      <c r="A5" s="9" t="inlineStr">
        <is>
          <t>Topic</t>
        </is>
      </c>
      <c r="B5" s="3" t="inlineStr">
        <is>
          <t>Food delivery — remedies</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Remedies in food-delivery mergers — which European reviews ended in remedies or commitments, and what did they look like?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Q09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9</v>
      </c>
      <c r="I4" s="3" t="n"/>
      <c r="J4" s="3" t="n"/>
    </row>
    <row r="5">
      <c r="A5" s="9" t="inlineStr">
        <is>
          <t>Topic</t>
        </is>
      </c>
      <c r="B5" s="3" t="inlineStr">
        <is>
          <t>Food delivery — Spanish practice</t>
        </is>
      </c>
      <c r="I5" s="3" t="n"/>
      <c r="J5" s="3" t="n"/>
    </row>
    <row r="6">
      <c r="A6" s="9" t="inlineStr">
        <is>
          <t>Scope</t>
        </is>
      </c>
      <c r="B6" s="3" t="inlineStr">
        <is>
          <t>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The Spanish (CNMC) food-delivery reviews — what is the CNMC's decisional practice, how many cases, and how were they resolved?</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Q10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10</v>
      </c>
      <c r="I4" s="3" t="n"/>
      <c r="J4" s="3" t="n"/>
    </row>
    <row r="5">
      <c r="A5" s="9" t="inlineStr">
        <is>
          <t>Topic</t>
        </is>
      </c>
      <c r="B5" s="3" t="inlineStr">
        <is>
          <t>Food delivery — minority shareholdings</t>
        </is>
      </c>
      <c r="I5" s="3" t="n"/>
      <c r="J5" s="3" t="n"/>
    </row>
    <row r="6">
      <c r="A6" s="9" t="inlineStr">
        <is>
          <t>Scope</t>
        </is>
      </c>
      <c r="B6" s="3" t="inlineStr">
        <is>
          <t>EU + UK</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Material influence and minority shareholdings — on what basis did the CMA take jurisdiction over a c.16% stake, and how else have authorities treated minority shareholdings in merger control?</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Q11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11</v>
      </c>
      <c r="I4" s="3" t="n"/>
      <c r="J4" s="3" t="n"/>
    </row>
    <row r="5">
      <c r="A5" s="9" t="inlineStr">
        <is>
          <t>Topic</t>
        </is>
      </c>
      <c r="B5" s="3" t="inlineStr">
        <is>
          <t>Food delivery — evolution of practice</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The evolution of European food-delivery merger control, 2017–2025 — how has practice evolved from the first national marketplace consolidations to the recent Commission decisions?</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Q12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12</v>
      </c>
      <c r="I4" s="3" t="n"/>
      <c r="J4" s="3" t="n"/>
    </row>
    <row r="5">
      <c r="A5" s="9" t="inlineStr">
        <is>
          <t>Topic</t>
        </is>
      </c>
      <c r="B5" s="3" t="inlineStr">
        <is>
          <t>Dawn raids — legal professional privilege</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during a dawn raid — when the inspector reads the document, or only when it is later used?</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wording, unchanged. We had drafted a wider French question instead — how correspondence between a company and its lawyer is protected, how a seizure of it is contested, and whether the remedy is return, destruction or exclusion from the file. We put yours back because it is sharper. Tell us if you want the wider version, or both.</t>
        </is>
      </c>
      <c r="C70" s="16" t="n"/>
      <c r="D70" s="16" t="n"/>
      <c r="E70" s="16" t="n"/>
      <c r="F70" s="16" t="n"/>
      <c r="G70" s="16" t="n"/>
      <c r="H70" s="17" t="n"/>
      <c r="I70" s="3" t="n"/>
      <c r="J70" s="3" t="n"/>
    </row>
    <row r="71" ht="54" customHeight="1">
      <c r="A71" s="12" t="inlineStr">
        <is>
          <t>Reviewer notes from question approval</t>
        </is>
      </c>
      <c r="B71" s="4" t="inlineStr">
        <is>
          <t>I would keep both, the one we provided and this one too, which i like as because it relies more on the general principles regarding the definition and applicability of legal professional privilege as a legal concept.</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Q13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13</v>
      </c>
      <c r="I4" s="3" t="n"/>
      <c r="J4" s="3" t="n"/>
    </row>
    <row r="5">
      <c r="A5" s="9" t="inlineStr">
        <is>
          <t>Topic</t>
        </is>
      </c>
      <c r="B5" s="3" t="inlineStr">
        <is>
          <t>Dawn raids — personal data</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Under what conditions must the Competition Authority protect personal data during a dawn raid? Does the GDPR apply? Must documents be sealed on request?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wording, unchanged.</t>
        </is>
      </c>
      <c r="C70" s="16" t="n"/>
      <c r="D70" s="16" t="n"/>
      <c r="E70" s="16" t="n"/>
      <c r="F70" s="16" t="n"/>
      <c r="G70" s="16" t="n"/>
      <c r="H70" s="17" t="n"/>
      <c r="I70" s="3" t="n"/>
      <c r="J70" s="3" t="n"/>
    </row>
    <row r="71" ht="54" customHeight="1">
      <c r="A71" s="12" t="inlineStr">
        <is>
          <t>Reviewer notes from question approval</t>
        </is>
      </c>
      <c r="B71" s="4" t="inlineStr">
        <is>
          <t>agreed.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Q14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14</v>
      </c>
      <c r="I4" s="3" t="n"/>
      <c r="J4" s="3" t="n"/>
    </row>
    <row r="5">
      <c r="A5" s="9" t="inlineStr">
        <is>
          <t>Topic</t>
        </is>
      </c>
      <c r="B5" s="3" t="inlineStr">
        <is>
          <t>Dawn raids — challenging a seizure</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After a dawn raid, can the President of the Court of Appeal be seized in interim proceedings to urgently resolve attorney-client privilege disputes? On what legal basis and under what conditions?</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wording, unchanged. One point to check: we understand Article L.450-4 of the Code de commerce to designate the FIRST President of the Court of Appeal (premier président), not the President. We have left your wording and are raising it rather than correcting it.</t>
        </is>
      </c>
      <c r="C70" s="16" t="n"/>
      <c r="D70" s="16" t="n"/>
      <c r="E70" s="16" t="n"/>
      <c r="F70" s="16" t="n"/>
      <c r="G70" s="16" t="n"/>
      <c r="H70" s="17" t="n"/>
      <c r="I70" s="3" t="n"/>
      <c r="J70" s="3" t="n"/>
    </row>
    <row r="71" ht="54" customHeight="1">
      <c r="A71" s="12" t="inlineStr">
        <is>
          <t>Reviewer notes from question approval</t>
        </is>
      </c>
      <c r="B71" s="4" t="inlineStr">
        <is>
          <t>nothing to be changed.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Q15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15</v>
      </c>
      <c r="I4" s="3" t="n"/>
      <c r="J4" s="3" t="n"/>
    </row>
    <row r="5">
      <c r="A5" s="9" t="inlineStr">
        <is>
          <t>Topic</t>
        </is>
      </c>
      <c r="B5" s="3" t="inlineStr">
        <is>
          <t>Dawn raids — legal professional privilege</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during a European Commission inspection under Article 20 of Regulation 1/2003 — when the inspector reads the document, or only when the Commission later uses it?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document gave this as "the same attorney-client privilege question transposed to European Commission inspections". This is our wording of it — check we transposed it as you meant.</t>
        </is>
      </c>
      <c r="C70" s="16" t="n"/>
      <c r="D70" s="16" t="n"/>
      <c r="E70" s="16" t="n"/>
      <c r="F70" s="16" t="n"/>
      <c r="G70" s="16" t="n"/>
      <c r="H70" s="17" t="n"/>
      <c r="I70" s="3" t="n"/>
      <c r="J70" s="3" t="n"/>
    </row>
    <row r="71" ht="54" customHeight="1">
      <c r="A71" s="12" t="inlineStr">
        <is>
          <t>Reviewer notes from question approval</t>
        </is>
      </c>
      <c r="B71" s="4" t="inlineStr">
        <is>
          <t>nothing to be changed.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Q16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16</v>
      </c>
      <c r="I4" s="3" t="n"/>
      <c r="J4" s="3" t="n"/>
    </row>
    <row r="5">
      <c r="A5" s="9" t="inlineStr">
        <is>
          <t>Topic</t>
        </is>
      </c>
      <c r="B5" s="3" t="inlineStr">
        <is>
          <t>Dawn raids — personal data</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Under what conditions must the European Commission protect personal data during an inspection? Does the GDPR apply? Must documents be sealed on request?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document gave this as "the same personal data protection question for Commission inspections". This is our wording of it. One point to check: the GDPR (Regulation 2016/679) binds member states and companies; the Commission's own processing is governed by a different instrument, Regulation 2018/1725. We kept your question as posed, because "the GDPR is not the applicable instrument — Regulation 2018/1725 is" is exactly the answer we want to be able to test for. We had also drafted a wider version covering private correspondence, personal devices, employees' own data, and whether the sealed-envelope procedure reaches beyond privilege. Tell us if you want the wider version, or both.</t>
        </is>
      </c>
      <c r="C70" s="16" t="n"/>
      <c r="D70" s="16" t="n"/>
      <c r="E70" s="16" t="n"/>
      <c r="F70" s="16" t="n"/>
      <c r="G70" s="16" t="n"/>
      <c r="H70" s="17" t="n"/>
      <c r="I70" s="3" t="n"/>
      <c r="J70" s="3" t="n"/>
    </row>
    <row r="71" ht="54" customHeight="1">
      <c r="A71" s="12" t="inlineStr">
        <is>
          <t>Reviewer notes from question approval</t>
        </is>
      </c>
      <c r="B71" s="4" t="inlineStr">
        <is>
          <t>let's leave this wording and also include the wider version of the question too.</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Q17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17</v>
      </c>
      <c r="I4" s="3" t="n"/>
      <c r="J4" s="3" t="n"/>
    </row>
    <row r="5">
      <c r="A5" s="9" t="inlineStr">
        <is>
          <t>Topic</t>
        </is>
      </c>
      <c r="B5" s="3" t="inlineStr">
        <is>
          <t>Dawn raids — challenging a seizure</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What procedural avenues exist to challenge seizure of privileged documents after a European Commission inspection?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wording, unchanged.</t>
        </is>
      </c>
      <c r="C70" s="16" t="n"/>
      <c r="D70" s="16" t="n"/>
      <c r="E70" s="16" t="n"/>
      <c r="F70" s="16" t="n"/>
      <c r="G70" s="16" t="n"/>
      <c r="H70" s="17" t="n"/>
      <c r="I70" s="3" t="n"/>
      <c r="J70" s="3" t="n"/>
    </row>
    <row r="71" ht="54" customHeight="1">
      <c r="A71" s="12" t="inlineStr">
        <is>
          <t>Reviewer notes from question approval</t>
        </is>
      </c>
      <c r="B71" s="4" t="inlineStr">
        <is>
          <t>agreed.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Q18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18</v>
      </c>
      <c r="I4" s="3" t="n"/>
      <c r="J4" s="3" t="n"/>
    </row>
    <row r="5">
      <c r="A5" s="9" t="inlineStr">
        <is>
          <t>Topic</t>
        </is>
      </c>
      <c r="B5" s="3" t="inlineStr">
        <is>
          <t>Dawn raids — legal professional privilege</t>
        </is>
      </c>
      <c r="I5" s="3" t="n"/>
      <c r="J5" s="3" t="n"/>
    </row>
    <row r="6">
      <c r="A6" s="9" t="inlineStr">
        <is>
          <t>Scope</t>
        </is>
      </c>
      <c r="B6" s="3" t="inlineStr">
        <is>
          <t>US</t>
        </is>
      </c>
      <c r="I6" s="3" t="n"/>
      <c r="J6" s="3" t="n"/>
    </row>
    <row r="7">
      <c r="A7" s="9" t="inlineStr">
        <is>
          <t>Original reviewer</t>
        </is>
      </c>
      <c r="B7" s="3" t="inlineStr">
        <is>
          <t>Arthur</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when US antitrust authorities gather documents — when the investigator reads the document, or only when it is later used?</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Your document gave this as "the same attorney-client privilege question transposed to US inspections". This is our wording of it. We had drafted a wider US question instead — how privilege is protected, what separates a criminal search from civil compulsory process, and what keeps privileged material away from the investigating team. Yours is narrower and sharper, so we used yours. Tell us if you want the wider version, or both.</t>
        </is>
      </c>
      <c r="C70" s="16" t="n"/>
      <c r="D70" s="16" t="n"/>
      <c r="E70" s="16" t="n"/>
      <c r="F70" s="16" t="n"/>
      <c r="G70" s="16" t="n"/>
      <c r="H70" s="17" t="n"/>
      <c r="I70" s="3" t="n"/>
      <c r="J70" s="3" t="n"/>
    </row>
    <row r="71" ht="54" customHeight="1">
      <c r="A71" s="12" t="inlineStr">
        <is>
          <t>Reviewer notes from question approval</t>
        </is>
      </c>
      <c r="B71" s="4" t="inlineStr">
        <is>
          <t>I suggest including both versions. Please retain the narrower question, but also add the wider question addressing how attorney-client privilege and work-product protection operate under criminal search warrants and civil compulsory process, including the use of filter teams or special masters. The issue is not limited to whether the document is ultimately used: concerns may arise at the stages of seizure, initial review, disclosure to the investigating team, retention, and derivative use.</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Q22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22</v>
      </c>
      <c r="I4" s="3" t="n"/>
      <c r="J4" s="3" t="n"/>
    </row>
    <row r="5">
      <c r="A5" s="9" t="inlineStr">
        <is>
          <t>Topic</t>
        </is>
      </c>
      <c r="B5" s="3" t="inlineStr">
        <is>
          <t>Food delivery — data access</t>
        </is>
      </c>
      <c r="I5" s="3" t="n"/>
      <c r="J5" s="3" t="n"/>
    </row>
    <row r="6">
      <c r="A6" s="9" t="inlineStr">
        <is>
          <t>Scope</t>
        </is>
      </c>
      <c r="B6" s="3" t="inlineStr">
        <is>
          <t>EU + UK</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Deliberately open to the answer "considered and set aside". If in your view none of the food-delivery decisions engaged with data access at all, tell us — a question with no answer in the case law is one we should drop.</t>
        </is>
      </c>
      <c r="C70" s="16" t="n"/>
      <c r="D70" s="16" t="n"/>
      <c r="E70" s="16" t="n"/>
      <c r="F70" s="16" t="n"/>
      <c r="G70" s="16" t="n"/>
      <c r="H70" s="17" t="n"/>
      <c r="I70" s="3" t="n"/>
      <c r="J70" s="3" t="n"/>
    </row>
    <row r="71" ht="54" customHeight="1">
      <c r="A71" s="12" t="inlineStr">
        <is>
          <t>Reviewer notes from question approval</t>
        </is>
      </c>
      <c r="B71" s="4" t="inlineStr">
        <is>
          <t>question to be replaced with that one "Where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Q23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23</v>
      </c>
      <c r="I4" s="3" t="n"/>
      <c r="J4" s="3" t="n"/>
    </row>
    <row r="5">
      <c r="A5" s="9" t="inlineStr">
        <is>
          <t>Topic</t>
        </is>
      </c>
      <c r="B5" s="3" t="inlineStr">
        <is>
          <t>Food delivery — own fleet vs marketplace</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question to be replaced with that one "Can a food-delivery platform qualify as a provider of online intermediation services within the meaning of the P2B Regulation (EU) 2019/1150 — and if so, which obligations would it additionally have to comply with should it be designated as a gatekeeper under the DMA?'</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Q24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24</v>
      </c>
      <c r="I4" s="3" t="n"/>
      <c r="J4" s="3" t="n"/>
    </row>
    <row r="5">
      <c r="A5" s="9" t="inlineStr">
        <is>
          <t>Topic</t>
        </is>
      </c>
      <c r="B5" s="3" t="inlineStr">
        <is>
          <t>Food delivery — which authority reviews</t>
        </is>
      </c>
      <c r="I5" s="3" t="n"/>
      <c r="J5" s="3" t="n"/>
    </row>
    <row r="6">
      <c r="A6" s="9" t="inlineStr">
        <is>
          <t>Scope</t>
        </is>
      </c>
      <c r="B6" s="3" t="inlineStr">
        <is>
          <t>EU + UK + ES</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questions to be replaced with that one: "Food-delivery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Q25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25</v>
      </c>
      <c r="I4" s="3" t="n"/>
      <c r="J4" s="3" t="n"/>
    </row>
    <row r="5">
      <c r="A5" s="9" t="inlineStr">
        <is>
          <t>Topic</t>
        </is>
      </c>
      <c r="B5" s="3" t="inlineStr">
        <is>
          <t>Dawn raids — legal professional privilege</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Does legal professional privilege in EU competition law cover advice from a company's own in-house lawyers? How have the courts justified where the line falls, and what does that mean in practice during an inspection?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let's keep it.</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Q26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26</v>
      </c>
      <c r="I4" s="3" t="n"/>
      <c r="J4" s="3" t="n"/>
    </row>
    <row r="5">
      <c r="A5" s="9" t="inlineStr">
        <is>
          <t>Topic</t>
        </is>
      </c>
      <c r="B5" s="3" t="inlineStr">
        <is>
          <t>Dawn raids — legal professional privilege</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Where a French dawn raid seizes a mailbox or a set of files in bulk and privileged correspondence is found inside afterwards, what is the procedure for having it returned or destroyed, and who decides?</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Possible overlap with question 14.</t>
        </is>
      </c>
      <c r="C70" s="16" t="n"/>
      <c r="D70" s="16" t="n"/>
      <c r="E70" s="16" t="n"/>
      <c r="F70" s="16" t="n"/>
      <c r="G70" s="16" t="n"/>
      <c r="H70" s="17" t="n"/>
      <c r="I70" s="3" t="n"/>
      <c r="J70" s="3" t="n"/>
    </row>
    <row r="71" ht="54" customHeight="1">
      <c r="A71" s="12" t="inlineStr">
        <is>
          <t>Reviewer notes from question approval</t>
        </is>
      </c>
      <c r="B71" s="4" t="inlineStr">
        <is>
          <t>no overlap with question 14, we can keep the question.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Q27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27</v>
      </c>
      <c r="I4" s="3" t="n"/>
      <c r="J4" s="3" t="n"/>
    </row>
    <row r="5">
      <c r="A5" s="9" t="inlineStr">
        <is>
          <t>Topic</t>
        </is>
      </c>
      <c r="B5" s="3" t="inlineStr">
        <is>
          <t>Dawn raids — challenging a seizure</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French law separates a challenge to the order authorising a dawn raid from a challenge to how the raid was carried out. What are the two routes, who hears each, what are the time limits, and what can each achieve?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Possible overlap with question 14.</t>
        </is>
      </c>
      <c r="C70" s="16" t="n"/>
      <c r="D70" s="16" t="n"/>
      <c r="E70" s="16" t="n"/>
      <c r="F70" s="16" t="n"/>
      <c r="G70" s="16" t="n"/>
      <c r="H70" s="17" t="n"/>
      <c r="I70" s="3" t="n"/>
      <c r="J70" s="3" t="n"/>
    </row>
    <row r="71" ht="54" customHeight="1">
      <c r="A71" s="12" t="inlineStr">
        <is>
          <t>Reviewer notes from question approval</t>
        </is>
      </c>
      <c r="B71" s="4" t="inlineStr">
        <is>
          <t xml:space="preserve">no overlap with question 14, we can keep the question. </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Q28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28</v>
      </c>
      <c r="I4" s="3" t="n"/>
      <c r="J4" s="3" t="n"/>
    </row>
    <row r="5">
      <c r="A5" s="9" t="inlineStr">
        <is>
          <t>Topic</t>
        </is>
      </c>
      <c r="B5" s="3" t="inlineStr">
        <is>
          <t>Dawn raids — the inspection decision</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I like the question but let's frame it like this "What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Q29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29</v>
      </c>
      <c r="I4" s="3" t="n"/>
      <c r="J4" s="3" t="n"/>
    </row>
    <row r="5">
      <c r="A5" s="9" t="inlineStr">
        <is>
          <t>Topic</t>
        </is>
      </c>
      <c r="B5" s="3" t="inlineStr">
        <is>
          <t>Dawn raids — the inspection decision</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Can an inspection decision be annulled in part where the Commission's evidence supports only some of the suspected infringement period it covers, and what then happens to material already gathered?</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let's keep it.</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Q30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30</v>
      </c>
      <c r="I4" s="3" t="n"/>
      <c r="J4" s="3" t="n"/>
    </row>
    <row r="5">
      <c r="A5" s="9" t="inlineStr">
        <is>
          <t>Topic</t>
        </is>
      </c>
      <c r="B5" s="3" t="inlineStr">
        <is>
          <t>Dawn raids — the inspection decision</t>
        </is>
      </c>
      <c r="I5" s="3" t="n"/>
      <c r="J5" s="3" t="n"/>
    </row>
    <row r="6">
      <c r="A6" s="9" t="inlineStr">
        <is>
          <t>Scope</t>
        </is>
      </c>
      <c r="B6" s="3" t="inlineStr">
        <is>
          <t>France</t>
        </is>
      </c>
      <c r="I6" s="3" t="n"/>
      <c r="J6" s="3" t="n"/>
    </row>
    <row r="7">
      <c r="A7" s="9" t="inlineStr">
        <is>
          <t>Original reviewer</t>
        </is>
      </c>
      <c r="B7" s="3" t="inlineStr">
        <is>
          <t>Jeanne</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How specific must a French dawn-raid authorisation be about the premises to be visited, the practices suspected, and the period covered? What has been held insufficient?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Possible overlap with question 33.</t>
        </is>
      </c>
      <c r="C70" s="16" t="n"/>
      <c r="D70" s="16" t="n"/>
      <c r="E70" s="16" t="n"/>
      <c r="F70" s="16" t="n"/>
      <c r="G70" s="16" t="n"/>
      <c r="H70" s="17" t="n"/>
      <c r="I70" s="3" t="n"/>
      <c r="J70" s="3" t="n"/>
    </row>
    <row r="71" ht="54" customHeight="1">
      <c r="A71" s="12" t="inlineStr">
        <is>
          <t>Reviewer notes from question approval</t>
        </is>
      </c>
      <c r="B71" s="4" t="inlineStr">
        <is>
          <t xml:space="preserve">no overlap with question 33, we can keep the question. </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Q34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34</v>
      </c>
      <c r="I4" s="3" t="n"/>
      <c r="J4" s="3" t="n"/>
    </row>
    <row r="5">
      <c r="A5" s="9" t="inlineStr">
        <is>
          <t>Topic</t>
        </is>
      </c>
      <c r="B5" s="3" t="inlineStr">
        <is>
          <t>Dawn raids — obstruction and seals</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Carolina's note: let's use this question instead "Does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Q35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35</v>
      </c>
      <c r="I4" s="3" t="n"/>
      <c r="J4" s="3" t="n"/>
    </row>
    <row r="5">
      <c r="A5" s="9" t="inlineStr">
        <is>
          <t>Topic</t>
        </is>
      </c>
      <c r="B5" s="3" t="inlineStr">
        <is>
          <t>Dawn raids — obstruction and seals</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To what extent may an undertaking be fined for the breaking of a seal in the absence of any fault or intent, and how is that reconciled with the presumption of innocence?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on the substance but let's frame it in the following way "To what extent may an undertaking be fined for the breaking of a seal in the absence of any fault or intent, and how is that reconciled with the presumption of innocence?"</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Q36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36</v>
      </c>
      <c r="I4" s="3" t="n"/>
      <c r="J4" s="3" t="n"/>
    </row>
    <row r="5">
      <c r="A5" s="9" t="inlineStr">
        <is>
          <t>Topic</t>
        </is>
      </c>
      <c r="B5" s="3" t="inlineStr">
        <is>
          <t>Dawn raids — obstruction and seals</t>
        </is>
      </c>
      <c r="I5" s="3" t="n"/>
      <c r="J5" s="3" t="n"/>
    </row>
    <row r="6">
      <c r="A6" s="9" t="inlineStr">
        <is>
          <t>Scope</t>
        </is>
      </c>
      <c r="B6" s="3" t="inlineStr">
        <is>
          <t>France</t>
        </is>
      </c>
      <c r="I6" s="3" t="n"/>
      <c r="J6" s="3" t="n"/>
    </row>
    <row r="7">
      <c r="A7" s="9" t="inlineStr">
        <is>
          <t>Original reviewer</t>
        </is>
      </c>
      <c r="B7" s="3" t="inlineStr">
        <is>
          <t>Jeanne</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What behavior during a French dawn raid (OVS) exposes a company to obstruction liability, and what training precautions follow from recent enforcement?</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Question to be replaced by this one : What behavior during a French dawn raid (OVS) exposes a company to obstruction liability, and what training precautions follow from recent enforcement?</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Q38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38</v>
      </c>
      <c r="I4" s="3" t="n"/>
      <c r="J4" s="3" t="n"/>
    </row>
    <row r="5">
      <c r="A5" s="9" t="inlineStr">
        <is>
          <t>Topic</t>
        </is>
      </c>
      <c r="B5" s="3" t="inlineStr">
        <is>
          <t>Dawn raids — questioning staff</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on the substance but let's frame it in the following way: "To what extent may the Commission compel answers under Article 20(2)(e) of Regulation 1/2003 before the privilege against self-incrimination intervenes — and how the distinction between answering questions of fact and admitting an infringement remain workable in practice?"</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Q39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39</v>
      </c>
      <c r="I4" s="3" t="n"/>
      <c r="J4" s="3" t="n"/>
    </row>
    <row r="5">
      <c r="A5" s="9" t="inlineStr">
        <is>
          <t>Topic</t>
        </is>
      </c>
      <c r="B5" s="3" t="inlineStr">
        <is>
          <t>Dawn raids — questioning staff</t>
        </is>
      </c>
      <c r="I5" s="3" t="n"/>
      <c r="J5" s="3" t="n"/>
    </row>
    <row r="6">
      <c r="A6" s="9" t="inlineStr">
        <is>
          <t>Scope</t>
        </is>
      </c>
      <c r="B6" s="3" t="inlineStr">
        <is>
          <t>France</t>
        </is>
      </c>
      <c r="I6" s="3" t="n"/>
      <c r="J6" s="3" t="n"/>
    </row>
    <row r="7">
      <c r="A7" s="9" t="inlineStr">
        <is>
          <t>Original reviewer</t>
        </is>
      </c>
      <c r="B7" s="3" t="inlineStr">
        <is>
          <t>Jeanne</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Can employees be required to answer questions during a French dawn raid, and what protection against self-incrimination do they and the company have?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We can keep this one</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Q41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41</v>
      </c>
      <c r="I4" s="3" t="n"/>
      <c r="J4" s="3" t="n"/>
    </row>
    <row r="5">
      <c r="A5" s="9" t="inlineStr">
        <is>
          <t>Topic</t>
        </is>
      </c>
      <c r="B5" s="3" t="inlineStr">
        <is>
          <t>Dawn raids — electronic data</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May the Commission take a forensic copy of a company's electronic data and carry on examining it at its own premises after the inspection has ended? What safeguards apply, and what rights does the company keep over that copy?</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let's keep it.</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Q42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42</v>
      </c>
      <c r="I4" s="3" t="n"/>
      <c r="J4" s="3" t="n"/>
    </row>
    <row r="5">
      <c r="A5" s="9" t="inlineStr">
        <is>
          <t>Topic</t>
        </is>
      </c>
      <c r="B5" s="3" t="inlineStr">
        <is>
          <t>Dawn raids — electronic data</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lets replace the question with the following one "Whose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Q43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43</v>
      </c>
      <c r="I4" s="3" t="n"/>
      <c r="J4" s="3" t="n"/>
    </row>
    <row r="5">
      <c r="A5" s="9" t="inlineStr">
        <is>
          <t>Topic</t>
        </is>
      </c>
      <c r="B5" s="3" t="inlineStr">
        <is>
          <t>Dawn raids — electronic data</t>
        </is>
      </c>
      <c r="I5" s="3" t="n"/>
      <c r="J5" s="3" t="n"/>
    </row>
    <row r="6">
      <c r="A6" s="9" t="inlineStr">
        <is>
          <t>Scope</t>
        </is>
      </c>
      <c r="B6" s="3" t="inlineStr">
        <is>
          <t>France</t>
        </is>
      </c>
      <c r="I6" s="3" t="n"/>
      <c r="J6" s="3" t="n"/>
    </row>
    <row r="7">
      <c r="A7" s="9" t="inlineStr">
        <is>
          <t>Original reviewer</t>
        </is>
      </c>
      <c r="B7" s="3" t="inlineStr">
        <is>
          <t>Jeanne</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Under what conditions can French competition authorities seize entire mailboxes during a dawn raid rather than sorting them on-site, how is the in-scope material subsequently identified, and what happens to material found to be out of scope?</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 xml:space="preserve">lets replace the question with the following one : Under what conditions can French competition authorities seize entire mailboxes during a dawn raid rather than sorting on-site, how is the in-scope material subsequently identified, and what happens to material found to be out of scope? The initial version presents the blanket seizure as a given fact, which invites the tool to simply describe it rather than to set out the conditions of its lawfulness precisely the point most disputed in case law (technical necessity, impossibility of on-site sorting, proportionality). </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Q45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45</v>
      </c>
      <c r="I4" s="3" t="n"/>
      <c r="J4" s="3" t="n"/>
    </row>
    <row r="5">
      <c r="A5" s="9" t="inlineStr">
        <is>
          <t>Topic</t>
        </is>
      </c>
      <c r="B5" s="3" t="inlineStr">
        <is>
          <t>Dawn raids — evidence found by accident</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I like the substance of the question but let's frame it like this "May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Q46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46</v>
      </c>
      <c r="I4" s="3" t="n"/>
      <c r="J4" s="3" t="n"/>
    </row>
    <row r="5">
      <c r="A5" s="9" t="inlineStr">
        <is>
          <t>Topic</t>
        </is>
      </c>
      <c r="B5" s="3" t="inlineStr">
        <is>
          <t>Dawn raids — evidence found by accident</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Can the Commission inspect a company over conduct a national authority has already investigated? What limits apply, and how have the courts treated the overlap?</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let's keep the question.</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Q47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47</v>
      </c>
      <c r="I4" s="3" t="n"/>
      <c r="J4" s="3" t="n"/>
    </row>
    <row r="5">
      <c r="A5" s="9" t="inlineStr">
        <is>
          <t>Topic</t>
        </is>
      </c>
      <c r="B5" s="3" t="inlineStr">
        <is>
          <t>Dawn raids — premises and the courts</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Article 21 of Regulation 1/2003 covers inspections of homes and other non-business premises, where prior authorisation by a national court is always required. We have folded that into this question — tell us if it deserves its own.</t>
        </is>
      </c>
      <c r="C70" s="16" t="n"/>
      <c r="D70" s="16" t="n"/>
      <c r="E70" s="16" t="n"/>
      <c r="F70" s="16" t="n"/>
      <c r="G70" s="16" t="n"/>
      <c r="H70" s="17" t="n"/>
      <c r="I70" s="3" t="n"/>
      <c r="J70" s="3" t="n"/>
    </row>
    <row r="71" ht="54" customHeight="1">
      <c r="A71" s="12" t="inlineStr">
        <is>
          <t>Reviewer notes from question approval</t>
        </is>
      </c>
      <c r="B71" s="4" t="inlineStr">
        <is>
          <t>agreed on the substance but let's frame it this way "How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Q48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48</v>
      </c>
      <c r="I4" s="3" t="n"/>
      <c r="J4" s="3" t="n"/>
    </row>
    <row r="5">
      <c r="A5" s="9" t="inlineStr">
        <is>
          <t>Topic</t>
        </is>
      </c>
      <c r="B5" s="3" t="inlineStr">
        <is>
          <t>Dawn raids — premises and the courts</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c r="C70" s="16" t="n"/>
      <c r="D70" s="16" t="n"/>
      <c r="E70" s="16" t="n"/>
      <c r="F70" s="16" t="n"/>
      <c r="G70" s="16" t="n"/>
      <c r="H70" s="17" t="n"/>
      <c r="I70" s="3" t="n"/>
      <c r="J70" s="3" t="n"/>
    </row>
    <row r="71" ht="54" customHeight="1">
      <c r="A71" s="12" t="inlineStr">
        <is>
          <t>Reviewer notes from question approval</t>
        </is>
      </c>
      <c r="B71" s="4" t="inlineStr">
        <is>
          <t>agreed on substance but let's frame it like this: "In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Q49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49</v>
      </c>
      <c r="I4" s="3" t="n"/>
      <c r="J4" s="3" t="n"/>
    </row>
    <row r="5">
      <c r="A5" s="9" t="inlineStr">
        <is>
          <t>Topic</t>
        </is>
      </c>
      <c r="B5" s="3" t="inlineStr">
        <is>
          <t>Dawn raids — premises and the courts</t>
        </is>
      </c>
      <c r="I5" s="3" t="n"/>
      <c r="J5" s="3" t="n"/>
    </row>
    <row r="6">
      <c r="A6" s="9" t="inlineStr">
        <is>
          <t>Scope</t>
        </is>
      </c>
      <c r="B6" s="3" t="inlineStr">
        <is>
          <t>France</t>
        </is>
      </c>
      <c r="I6" s="3" t="n"/>
      <c r="J6" s="3" t="n"/>
    </row>
    <row r="7">
      <c r="A7" s="9" t="inlineStr">
        <is>
          <t>Original reviewer</t>
        </is>
      </c>
      <c r="B7" s="3" t="inlineStr">
        <is>
          <t>Jeanne</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When must a French dawn raid be authorised in advance by the juge des libertés et de la détention , and what does that judge control  before, during, and after the operation?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Possible overlap with question 33.</t>
        </is>
      </c>
      <c r="C70" s="16" t="n"/>
      <c r="D70" s="16" t="n"/>
      <c r="E70" s="16" t="n"/>
      <c r="F70" s="16" t="n"/>
      <c r="G70" s="16" t="n"/>
      <c r="H70" s="17" t="n"/>
      <c r="I70" s="3" t="n"/>
      <c r="J70" s="3" t="n"/>
    </row>
    <row r="71" ht="54" customHeight="1">
      <c r="A71" s="12" t="inlineStr">
        <is>
          <t>Reviewer notes from question approval</t>
        </is>
      </c>
      <c r="B71" s="4" t="inlineStr">
        <is>
          <t xml:space="preserve">no overlap with question 33, we can keep the question. </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Q51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51</v>
      </c>
      <c r="I4" s="3" t="n"/>
      <c r="J4" s="3" t="n"/>
    </row>
    <row r="5">
      <c r="A5" s="9" t="inlineStr">
        <is>
          <t>Topic</t>
        </is>
      </c>
      <c r="B5" s="3" t="inlineStr">
        <is>
          <t>Dawn raids — personal data</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To what extent may the Commission inspect private correspondence, personal devices and employees’ personal data during a dawn raid, and does the sealed-envelope procedure extend beyond legally privileged material?</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Wider version of question 16, added following Carolina’s request to keep both.</t>
        </is>
      </c>
      <c r="C70" s="16" t="n"/>
      <c r="D70" s="16" t="n"/>
      <c r="E70" s="16" t="n"/>
      <c r="F70" s="16" t="n"/>
      <c r="G70" s="16" t="n"/>
      <c r="H70" s="17" t="n"/>
      <c r="I70" s="3" t="n"/>
      <c r="J70" s="3" t="n"/>
    </row>
    <row r="71" ht="54" customHeight="1">
      <c r="A71" s="12" t="inlineStr">
        <is>
          <t>Reviewer notes from question approval</t>
        </is>
      </c>
      <c r="B71" s="4" t="inlineStr">
        <is>
          <t>agreed.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Q52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52</v>
      </c>
      <c r="I4" s="3" t="n"/>
      <c r="J4" s="3" t="n"/>
    </row>
    <row r="5">
      <c r="A5" s="9" t="inlineStr">
        <is>
          <t>Topic</t>
        </is>
      </c>
      <c r="B5" s="3" t="inlineStr">
        <is>
          <t>Dawn raids — legal professional privilege</t>
        </is>
      </c>
      <c r="I5" s="3" t="n"/>
      <c r="J5" s="3" t="n"/>
    </row>
    <row r="6">
      <c r="A6" s="9" t="inlineStr">
        <is>
          <t>Scope</t>
        </is>
      </c>
      <c r="B6" s="3" t="inlineStr">
        <is>
          <t>France</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Wider French version added following Carolina’s request to keep both. It complements question 12.</t>
        </is>
      </c>
      <c r="C70" s="16" t="n"/>
      <c r="D70" s="16" t="n"/>
      <c r="E70" s="16" t="n"/>
      <c r="F70" s="16" t="n"/>
      <c r="G70" s="16" t="n"/>
      <c r="H70" s="17" t="n"/>
      <c r="I70" s="3" t="n"/>
      <c r="J70" s="3" t="n"/>
    </row>
    <row r="71" ht="54" customHeight="1">
      <c r="A71" s="12" t="inlineStr">
        <is>
          <t>Reviewer notes from question approval</t>
        </is>
      </c>
      <c r="B71" s="4" t="inlineStr">
        <is>
          <t>agreed.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Q53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53</v>
      </c>
      <c r="I4" s="3" t="n"/>
      <c r="J4" s="3" t="n"/>
    </row>
    <row r="5">
      <c r="A5" s="9" t="inlineStr">
        <is>
          <t>Topic</t>
        </is>
      </c>
      <c r="B5" s="3" t="inlineStr">
        <is>
          <t>Dawn raids — grounds for an inspection</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What evidentiary threshold must the European Commission meet to justify a dawn raid, including the requirement for “sufficiently serious indicia”?</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Split from the question 31 following Carolina’s feedback. Question 1.</t>
        </is>
      </c>
      <c r="C70" s="16" t="n"/>
      <c r="D70" s="16" t="n"/>
      <c r="E70" s="16" t="n"/>
      <c r="F70" s="16" t="n"/>
      <c r="G70" s="16" t="n"/>
      <c r="H70" s="17" t="n"/>
      <c r="I70" s="3" t="n"/>
      <c r="J70" s="3" t="n"/>
    </row>
    <row r="71" ht="54" customHeight="1">
      <c r="A71" s="12" t="inlineStr">
        <is>
          <t>Reviewer notes from question approval</t>
        </is>
      </c>
      <c r="B71" s="4" t="inlineStr">
        <is>
          <t>agreed.</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Q54 — Expert Review</t>
        </is>
      </c>
      <c r="I1" s="15" t="inlineStr">
        <is>
          <t>Back to status</t>
        </is>
      </c>
      <c r="J1" s="3" t="n"/>
    </row>
    <row r="2">
      <c r="A2" s="3" t="n"/>
      <c r="B2" s="3" t="n"/>
      <c r="C2" s="3" t="n"/>
      <c r="D2" s="3" t="n"/>
      <c r="E2" s="3" t="n"/>
      <c r="F2" s="3" t="n"/>
      <c r="G2" s="3" t="n"/>
      <c r="H2" s="3" t="n"/>
      <c r="I2" s="3" t="n"/>
      <c r="J2" s="3" t="n"/>
    </row>
    <row r="3">
      <c r="A3" s="8" t="inlineStr">
        <is>
          <t>Question metadata</t>
        </is>
      </c>
      <c r="I3" s="3" t="n"/>
      <c r="J3" s="3" t="n"/>
    </row>
    <row r="4">
      <c r="A4" s="9" t="inlineStr">
        <is>
          <t>Question ID</t>
        </is>
      </c>
      <c r="B4" s="3" t="n">
        <v>54</v>
      </c>
      <c r="I4" s="3" t="n"/>
      <c r="J4" s="3" t="n"/>
    </row>
    <row r="5">
      <c r="A5" s="9" t="inlineStr">
        <is>
          <t>Topic</t>
        </is>
      </c>
      <c r="B5" s="3" t="inlineStr">
        <is>
          <t>Dawn raids — grounds for an inspection</t>
        </is>
      </c>
      <c r="I5" s="3" t="n"/>
      <c r="J5" s="3" t="n"/>
    </row>
    <row r="6">
      <c r="A6" s="9" t="inlineStr">
        <is>
          <t>Scope</t>
        </is>
      </c>
      <c r="B6" s="3" t="inlineStr">
        <is>
          <t>EU</t>
        </is>
      </c>
      <c r="I6" s="3" t="n"/>
      <c r="J6" s="3" t="n"/>
    </row>
    <row r="7">
      <c r="A7" s="9" t="inlineStr">
        <is>
          <t>Original reviewer</t>
        </is>
      </c>
      <c r="B7" s="3" t="inlineStr">
        <is>
          <t>Carolina</t>
        </is>
      </c>
      <c r="I7" s="3" t="n"/>
      <c r="J7" s="3" t="n"/>
    </row>
    <row r="8">
      <c r="A8" s="9" t="inlineStr">
        <is>
          <t>Original status</t>
        </is>
      </c>
      <c r="B8" s="3" t="inlineStr">
        <is>
          <t>Approved</t>
        </is>
      </c>
      <c r="I8" s="3" t="n"/>
      <c r="J8" s="3" t="n"/>
    </row>
    <row r="9">
      <c r="A9" s="3" t="n"/>
      <c r="B9" s="3" t="n"/>
      <c r="C9" s="3" t="n"/>
      <c r="D9" s="3" t="n"/>
      <c r="E9" s="3" t="n"/>
      <c r="F9" s="3" t="n"/>
      <c r="G9" s="3" t="n"/>
      <c r="H9" s="3" t="n"/>
      <c r="I9" s="3" t="n"/>
      <c r="J9" s="3" t="n"/>
    </row>
    <row r="10" ht="45" customHeight="1">
      <c r="A10" s="9" t="inlineStr">
        <is>
          <t>Question</t>
        </is>
      </c>
      <c r="B10" s="3" t="inlineStr">
        <is>
          <t>What is an undertaking entitled to know about the indicia underpinning an inspection decision, beyond its subject matter and purpose under Article 20(4) of Regulation 1/2003?</t>
        </is>
      </c>
      <c r="I10" s="3" t="n"/>
      <c r="J10" s="3" t="n"/>
    </row>
    <row r="11">
      <c r="A11" s="3" t="n"/>
      <c r="I11" s="3" t="n"/>
      <c r="J11" s="3" t="n"/>
    </row>
    <row r="12">
      <c r="A12" s="3" t="n"/>
      <c r="I12" s="3" t="n"/>
      <c r="J12" s="3" t="n"/>
    </row>
    <row r="13">
      <c r="A13" s="3" t="n"/>
      <c r="B13" s="3" t="n"/>
      <c r="C13" s="3" t="n"/>
      <c r="D13" s="3" t="n"/>
      <c r="E13" s="3" t="n"/>
      <c r="F13" s="3" t="n"/>
      <c r="G13" s="3" t="n"/>
      <c r="H13" s="3" t="n"/>
      <c r="I13" s="3" t="n"/>
      <c r="J13" s="3" t="n"/>
    </row>
    <row r="14">
      <c r="A14" s="8" t="inlineStr">
        <is>
          <t>Generated answer</t>
        </is>
      </c>
      <c r="I14" s="3" t="n"/>
      <c r="J14" s="3" t="n"/>
    </row>
    <row r="15">
      <c r="A15" s="10" t="inlineStr">
        <is>
          <t>Paste the generated answer below.</t>
        </is>
      </c>
      <c r="B15" s="3" t="n"/>
      <c r="C15" s="3" t="n"/>
      <c r="D15" s="3" t="n"/>
      <c r="E15" s="3" t="n"/>
      <c r="F15" s="3" t="n"/>
      <c r="G15" s="3" t="n"/>
      <c r="H15" s="3" t="n"/>
      <c r="I15" s="3" t="n"/>
      <c r="J15" s="3" t="n"/>
    </row>
    <row r="16" ht="90" customHeight="1">
      <c r="A16" s="3" t="inlineStr"/>
      <c r="I16" s="3" t="n"/>
      <c r="J16" s="3" t="n"/>
    </row>
    <row r="17" ht="30" customHeight="1">
      <c r="I17" s="3" t="n"/>
      <c r="J17" s="3" t="n"/>
    </row>
    <row r="18" ht="30" customHeight="1">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I61" s="3" t="n"/>
      <c r="J61" s="3" t="n"/>
    </row>
    <row r="62">
      <c r="A62" s="12" t="inlineStr">
        <is>
          <t>Is the answer acceptable?</t>
        </is>
      </c>
      <c r="B62" s="4" t="inlineStr"/>
      <c r="C62" s="16" t="n"/>
      <c r="D62" s="16" t="n"/>
      <c r="E62" s="16" t="n"/>
      <c r="F62" s="16" t="n"/>
      <c r="G62" s="16" t="n"/>
      <c r="H62" s="17" t="n"/>
      <c r="I62" s="3" t="n"/>
      <c r="J62" s="3" t="n"/>
    </row>
    <row r="63" ht="54" customHeight="1">
      <c r="A63" s="12" t="inlineStr">
        <is>
          <t>Overall comment / required fixes</t>
        </is>
      </c>
      <c r="B63" s="4" t="n"/>
      <c r="C63" s="18" t="n"/>
      <c r="D63" s="18" t="n"/>
      <c r="E63" s="18" t="n"/>
      <c r="F63" s="18" t="n"/>
      <c r="G63" s="18" t="n"/>
      <c r="H63" s="19" t="n"/>
      <c r="I63" s="3" t="n"/>
      <c r="J63" s="3" t="n"/>
    </row>
    <row r="64">
      <c r="A64" s="4" t="n"/>
      <c r="B64" s="20" t="n"/>
      <c r="C64" s="21" t="n"/>
      <c r="D64" s="21" t="n"/>
      <c r="E64" s="21" t="n"/>
      <c r="F64" s="21" t="n"/>
      <c r="G64" s="21" t="n"/>
      <c r="H64" s="22" t="n"/>
      <c r="I64" s="3" t="n"/>
      <c r="J64" s="3" t="n"/>
    </row>
    <row r="65">
      <c r="A65" s="12" t="inlineStr">
        <is>
          <t>Missing key sources?</t>
        </is>
      </c>
      <c r="B65" s="4" t="n"/>
      <c r="C65" s="16" t="n"/>
      <c r="D65" s="16" t="n"/>
      <c r="E65" s="16" t="n"/>
      <c r="F65" s="16" t="n"/>
      <c r="G65" s="16" t="n"/>
      <c r="H65" s="17" t="n"/>
      <c r="I65" s="3" t="n"/>
      <c r="J65" s="3" t="n"/>
    </row>
    <row r="66">
      <c r="A66" s="12" t="inlineStr">
        <is>
          <t>Review completed?</t>
        </is>
      </c>
      <c r="B66" s="4" t="inlineStr"/>
      <c r="C66" s="16" t="n"/>
      <c r="D66" s="16" t="n"/>
      <c r="E66" s="16" t="n"/>
      <c r="F66" s="16" t="n"/>
      <c r="G66" s="16" t="n"/>
      <c r="H66" s="17"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I69" s="3" t="n"/>
      <c r="J69" s="3" t="n"/>
    </row>
    <row r="70">
      <c r="A70" s="12" t="inlineStr">
        <is>
          <t>WAB notes</t>
        </is>
      </c>
      <c r="B70" s="4" t="inlineStr">
        <is>
          <t>Split from the question 31 following Carolina’s feedback. Question 2.</t>
        </is>
      </c>
      <c r="C70" s="16" t="n"/>
      <c r="D70" s="16" t="n"/>
      <c r="E70" s="16" t="n"/>
      <c r="F70" s="16" t="n"/>
      <c r="G70" s="16" t="n"/>
      <c r="H70" s="17" t="n"/>
      <c r="I70" s="3" t="n"/>
      <c r="J70" s="3" t="n"/>
    </row>
    <row r="71" ht="54" customHeight="1">
      <c r="A71" s="12" t="inlineStr">
        <is>
          <t>Reviewer notes from question approval</t>
        </is>
      </c>
      <c r="B71" s="4" t="inlineStr">
        <is>
          <t>let's frame it in the following way "What is an undertaking entitled to know about the indicia underpinning an inspection decision, beyond its subject matter and purpose under Article 20(4) of Regulation 1/2003?"</t>
        </is>
      </c>
      <c r="C71" s="18" t="n"/>
      <c r="D71" s="18" t="n"/>
      <c r="E71" s="18" t="n"/>
      <c r="F71" s="18" t="n"/>
      <c r="G71" s="18" t="n"/>
      <c r="H71" s="19" t="n"/>
      <c r="I71" s="3" t="n"/>
      <c r="J71" s="3" t="n"/>
    </row>
    <row r="72">
      <c r="A72" s="4" t="n"/>
      <c r="B72" s="20" t="n"/>
      <c r="C72" s="21" t="n"/>
      <c r="D72" s="21" t="n"/>
      <c r="E72" s="21" t="n"/>
      <c r="F72" s="21" t="n"/>
      <c r="G72" s="21" t="n"/>
      <c r="H72" s="22" t="n"/>
      <c r="I72" s="3" t="n"/>
      <c r="J72" s="3" t="n"/>
    </row>
  </sheetData>
  <autoFilter ref="A21:J36"/>
  <mergeCells count="20">
    <mergeCell ref="B71:H72"/>
    <mergeCell ref="B65:H65"/>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hyperlinks>
    <hyperlink xmlns:r="http://schemas.openxmlformats.org/officeDocument/2006/relationships" ref="I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2026-08-11T08:31:11Z</dcterms:created>
  <dcterms:modified xmlns:dcterms="http://purl.org/dc/terms/" xmlns:xsi="http://www.w3.org/2001/XMLSchema-instance" xsi:type="dcterms:W3CDTF">2026-08-11T08:51:10Z</dcterms:modified>
</cp:coreProperties>
</file>