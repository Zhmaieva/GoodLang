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worksheets/sheet6.xml" ContentType="application/vnd.openxmlformats-officedocument.spreadsheetml.worksheet+xml"/>
  <Override PartName="/xl/comments2.xml" ContentType="application/vnd.openxmlformats-officedocument.spreadsheetml.comments+xml"/>
  <Override PartName="/xl/worksheets/sheet7.xml" ContentType="application/vnd.openxmlformats-officedocument.spreadsheetml.worksheet+xml"/>
  <Override PartName="/xl/comments3.xml" ContentType="application/vnd.openxmlformats-officedocument.spreadsheetml.comments+xml"/>
  <Override PartName="/xl/worksheets/sheet8.xml" ContentType="application/vnd.openxmlformats-officedocument.spreadsheetml.worksheet+xml"/>
  <Override PartName="/xl/comments4.xml" ContentType="application/vnd.openxmlformats-officedocument.spreadsheetml.comments+xml"/>
  <Override PartName="/xl/worksheets/sheet9.xml" ContentType="application/vnd.openxmlformats-officedocument.spreadsheetml.worksheet+xml"/>
  <Override PartName="/xl/comments5.xml" ContentType="application/vnd.openxmlformats-officedocument.spreadsheetml.comments+xml"/>
  <Override PartName="/xl/threadedcomments/threadedcomment.xml" ContentType="application/vnd.ms-excel.threadedcomments+xml"/>
  <Override PartName="/xl/worksheets/sheet10.xml" ContentType="application/vnd.openxmlformats-officedocument.spreadsheetml.worksheet+xml"/>
  <Override PartName="/xl/comments6.xml" ContentType="application/vnd.openxmlformats-officedocument.spreadsheetml.comments+xml"/>
  <Override PartName="/xl/worksheets/sheet11.xml" ContentType="application/vnd.openxmlformats-officedocument.spreadsheetml.worksheet+xml"/>
  <Override PartName="/xl/comments7.xml" ContentType="application/vnd.openxmlformats-officedocument.spreadsheetml.comments+xml"/>
  <Override PartName="/xl/worksheets/sheet12.xml" ContentType="application/vnd.openxmlformats-officedocument.spreadsheetml.worksheet+xml"/>
  <Override PartName="/xl/comments8.xml" ContentType="application/vnd.openxmlformats-officedocument.spreadsheetml.comments+xml"/>
  <Override PartName="/xl/worksheets/sheet13.xml" ContentType="application/vnd.openxmlformats-officedocument.spreadsheetml.worksheet+xml"/>
  <Override PartName="/xl/comments9.xml" ContentType="application/vnd.openxmlformats-officedocument.spreadsheetml.comments+xml"/>
  <Override PartName="/xl/worksheets/sheet14.xml" ContentType="application/vnd.openxmlformats-officedocument.spreadsheetml.worksheet+xml"/>
  <Override PartName="/xl/comments10.xml" ContentType="application/vnd.openxmlformats-officedocument.spreadsheetml.comments+xml"/>
  <Override PartName="/xl/worksheets/sheet15.xml" ContentType="application/vnd.openxmlformats-officedocument.spreadsheetml.worksheet+xml"/>
  <Override PartName="/xl/comments11.xml" ContentType="application/vnd.openxmlformats-officedocument.spreadsheetml.comments+xml"/>
  <Override PartName="/xl/worksheets/sheet16.xml" ContentType="application/vnd.openxmlformats-officedocument.spreadsheetml.worksheet+xml"/>
  <Override PartName="/xl/comments12.xml" ContentType="application/vnd.openxmlformats-officedocument.spreadsheetml.comments+xml"/>
  <Override PartName="/xl/worksheets/sheet17.xml" ContentType="application/vnd.openxmlformats-officedocument.spreadsheetml.worksheet+xml"/>
  <Override PartName="/xl/comments13.xml" ContentType="application/vnd.openxmlformats-officedocument.spreadsheetml.comments+xml"/>
  <Override PartName="/xl/worksheets/sheet18.xml" ContentType="application/vnd.openxmlformats-officedocument.spreadsheetml.worksheet+xml"/>
  <Override PartName="/xl/comments14.xml" ContentType="application/vnd.openxmlformats-officedocument.spreadsheetml.comments+xml"/>
  <Override PartName="/xl/worksheets/sheet19.xml" ContentType="application/vnd.openxmlformats-officedocument.spreadsheetml.worksheet+xml"/>
  <Override PartName="/xl/comments15.xml" ContentType="application/vnd.openxmlformats-officedocument.spreadsheetml.comments+xml"/>
  <Override PartName="/xl/worksheets/sheet20.xml" ContentType="application/vnd.openxmlformats-officedocument.spreadsheetml.worksheet+xml"/>
  <Override PartName="/xl/comments16.xml" ContentType="application/vnd.openxmlformats-officedocument.spreadsheetml.comments+xml"/>
  <Override PartName="/xl/worksheets/sheet21.xml" ContentType="application/vnd.openxmlformats-officedocument.spreadsheetml.worksheet+xml"/>
  <Override PartName="/xl/comments17.xml" ContentType="application/vnd.openxmlformats-officedocument.spreadsheetml.comments+xml"/>
  <Override PartName="/xl/worksheets/sheet22.xml" ContentType="application/vnd.openxmlformats-officedocument.spreadsheetml.worksheet+xml"/>
  <Override PartName="/xl/comments18.xml" ContentType="application/vnd.openxmlformats-officedocument.spreadsheetml.comments+xml"/>
  <Override PartName="/xl/worksheets/sheet23.xml" ContentType="application/vnd.openxmlformats-officedocument.spreadsheetml.worksheet+xml"/>
  <Override PartName="/xl/comments19.xml" ContentType="application/vnd.openxmlformats-officedocument.spreadsheetml.comments+xml"/>
  <Override PartName="/xl/worksheets/sheet24.xml" ContentType="application/vnd.openxmlformats-officedocument.spreadsheetml.worksheet+xml"/>
  <Override PartName="/xl/comments20.xml" ContentType="application/vnd.openxmlformats-officedocument.spreadsheetml.comments+xml"/>
  <Override PartName="/xl/worksheets/sheet25.xml" ContentType="application/vnd.openxmlformats-officedocument.spreadsheetml.worksheet+xml"/>
  <Override PartName="/xl/comments21.xml" ContentType="application/vnd.openxmlformats-officedocument.spreadsheetml.comments+xml"/>
  <Override PartName="/xl/worksheets/sheet26.xml" ContentType="application/vnd.openxmlformats-officedocument.spreadsheetml.worksheet+xml"/>
  <Override PartName="/xl/comments22.xml" ContentType="application/vnd.openxmlformats-officedocument.spreadsheetml.comments+xml"/>
  <Override PartName="/xl/worksheets/sheet27.xml" ContentType="application/vnd.openxmlformats-officedocument.spreadsheetml.worksheet+xml"/>
  <Override PartName="/xl/comments23.xml" ContentType="application/vnd.openxmlformats-officedocument.spreadsheetml.comments+xml"/>
  <Override PartName="/xl/worksheets/sheet28.xml" ContentType="application/vnd.openxmlformats-officedocument.spreadsheetml.worksheet+xml"/>
  <Override PartName="/xl/comments24.xml" ContentType="application/vnd.openxmlformats-officedocument.spreadsheetml.comments+xml"/>
  <Override PartName="/xl/worksheets/sheet29.xml" ContentType="application/vnd.openxmlformats-officedocument.spreadsheetml.worksheet+xml"/>
  <Override PartName="/xl/comments25.xml" ContentType="application/vnd.openxmlformats-officedocument.spreadsheetml.comments+xml"/>
  <Override PartName="/xl/worksheets/sheet30.xml" ContentType="application/vnd.openxmlformats-officedocument.spreadsheetml.worksheet+xml"/>
  <Override PartName="/xl/comments26.xml" ContentType="application/vnd.openxmlformats-officedocument.spreadsheetml.comments+xml"/>
  <Override PartName="/xl/worksheets/sheet31.xml" ContentType="application/vnd.openxmlformats-officedocument.spreadsheetml.worksheet+xml"/>
  <Override PartName="/xl/comments27.xml" ContentType="application/vnd.openxmlformats-officedocument.spreadsheetml.comments+xml"/>
  <Override PartName="/xl/worksheets/sheet32.xml" ContentType="application/vnd.openxmlformats-officedocument.spreadsheetml.worksheet+xml"/>
  <Override PartName="/xl/comments28.xml" ContentType="application/vnd.openxmlformats-officedocument.spreadsheetml.comments+xml"/>
  <Override PartName="/xl/worksheets/sheet33.xml" ContentType="application/vnd.openxmlformats-officedocument.spreadsheetml.worksheet+xml"/>
  <Override PartName="/xl/comments29.xml" ContentType="application/vnd.openxmlformats-officedocument.spreadsheetml.comments+xml"/>
  <Override PartName="/xl/worksheets/sheet34.xml" ContentType="application/vnd.openxmlformats-officedocument.spreadsheetml.worksheet+xml"/>
  <Override PartName="/xl/comments30.xml" ContentType="application/vnd.openxmlformats-officedocument.spreadsheetml.comments+xml"/>
  <Override PartName="/xl/worksheets/sheet35.xml" ContentType="application/vnd.openxmlformats-officedocument.spreadsheetml.worksheet+xml"/>
  <Override PartName="/xl/comments31.xml" ContentType="application/vnd.openxmlformats-officedocument.spreadsheetml.comments+xml"/>
  <Override PartName="/xl/worksheets/sheet36.xml" ContentType="application/vnd.openxmlformats-officedocument.spreadsheetml.worksheet+xml"/>
  <Override PartName="/xl/comments32.xml" ContentType="application/vnd.openxmlformats-officedocument.spreadsheetml.comments+xml"/>
  <Override PartName="/xl/worksheets/sheet37.xml" ContentType="application/vnd.openxmlformats-officedocument.spreadsheetml.worksheet+xml"/>
  <Override PartName="/xl/comments33.xml" ContentType="application/vnd.openxmlformats-officedocument.spreadsheetml.comments+xml"/>
  <Override PartName="/xl/worksheets/sheet38.xml" ContentType="application/vnd.openxmlformats-officedocument.spreadsheetml.worksheet+xml"/>
  <Override PartName="/xl/comments34.xml" ContentType="application/vnd.openxmlformats-officedocument.spreadsheetml.comments+xml"/>
  <Override PartName="/xl/worksheets/sheet39.xml" ContentType="application/vnd.openxmlformats-officedocument.spreadsheetml.worksheet+xml"/>
  <Override PartName="/xl/comments35.xml" ContentType="application/vnd.openxmlformats-officedocument.spreadsheetml.comments+xml"/>
  <Override PartName="/xl/worksheets/sheet40.xml" ContentType="application/vnd.openxmlformats-officedocument.spreadsheetml.worksheet+xml"/>
  <Override PartName="/xl/comments36.xml" ContentType="application/vnd.openxmlformats-officedocument.spreadsheetml.comments+xml"/>
  <Override PartName="/xl/worksheets/sheet41.xml" ContentType="application/vnd.openxmlformats-officedocument.spreadsheetml.worksheet+xml"/>
  <Override PartName="/xl/comments37.xml" ContentType="application/vnd.openxmlformats-officedocument.spreadsheetml.comments+xml"/>
  <Override PartName="/xl/worksheets/sheet42.xml" ContentType="application/vnd.openxmlformats-officedocument.spreadsheetml.worksheet+xml"/>
  <Override PartName="/xl/comments38.xml" ContentType="application/vnd.openxmlformats-officedocument.spreadsheetml.comments+xml"/>
  <Override PartName="/xl/worksheets/sheet43.xml" ContentType="application/vnd.openxmlformats-officedocument.spreadsheetml.worksheet+xml"/>
  <Override PartName="/xl/comments39.xml" ContentType="application/vnd.openxmlformats-officedocument.spreadsheetml.comments+xml"/>
  <Override PartName="/xl/worksheets/sheet44.xml" ContentType="application/vnd.openxmlformats-officedocument.spreadsheetml.worksheet+xml"/>
  <Override PartName="/xl/comments40.xml" ContentType="application/vnd.openxmlformats-officedocument.spreadsheetml.comments+xml"/>
  <Override PartName="/xl/worksheets/sheet45.xml" ContentType="application/vnd.openxmlformats-officedocument.spreadsheetml.worksheet+xml"/>
  <Override PartName="/xl/comments41.xml" ContentType="application/vnd.openxmlformats-officedocument.spreadsheetml.comments+xml"/>
  <Override PartName="/xl/worksheets/sheet46.xml" ContentType="application/vnd.openxmlformats-officedocument.spreadsheetml.worksheet+xml"/>
  <Override PartName="/xl/comments42.xml" ContentType="application/vnd.openxmlformats-officedocument.spreadsheetml.comments+xml"/>
  <Override PartName="/xl/worksheets/sheet47.xml" ContentType="application/vnd.openxmlformats-officedocument.spreadsheetml.worksheet+xml"/>
  <Override PartName="/xl/comments43.xml" ContentType="application/vnd.openxmlformats-officedocument.spreadsheetml.comments+xml"/>
  <Override PartName="/xl/worksheets/sheet48.xml" ContentType="application/vnd.openxmlformats-officedocument.spreadsheetml.worksheet+xml"/>
  <Override PartName="/xl/comments44.xml" ContentType="application/vnd.openxmlformats-officedocument.spreadsheetml.comments+xml"/>
  <Override PartName="/xl/worksheets/sheet49.xml" ContentType="application/vnd.openxmlformats-officedocument.spreadsheetml.worksheet+xml"/>
  <Override PartName="/xl/comments45.xml" ContentType="application/vnd.openxmlformats-officedocument.spreadsheetml.comments+xml"/>
  <Override PartName="/xl/worksheets/sheet50.xml" ContentType="application/vnd.openxmlformats-officedocument.spreadsheetml.worksheet+xml"/>
  <Override PartName="/xl/comments46.xml" ContentType="application/vnd.openxmlformats-officedocument.spreadsheetml.comments+xml"/>
  <Override PartName="/xl/worksheets/sheet51.xml" ContentType="application/vnd.openxmlformats-officedocument.spreadsheetml.worksheet+xml"/>
  <Override PartName="/xl/comments47.xml" ContentType="application/vnd.openxmlformats-officedocument.spreadsheetml.comments+xml"/>
  <Override PartName="/xl/worksheets/sheet52.xml" ContentType="application/vnd.openxmlformats-officedocument.spreadsheetml.worksheet+xml"/>
  <Override PartName="/xl/comments48.xml" ContentType="application/vnd.openxmlformats-officedocument.spreadsheetml.comments+xml"/>
  <Override PartName="/xl/worksheets/sheet53.xml" ContentType="application/vnd.openxmlformats-officedocument.spreadsheetml.worksheet+xml"/>
  <Override PartName="/xl/comments49.xml" ContentType="application/vnd.openxmlformats-officedocument.spreadsheetml.comments+xml"/>
  <Override PartName="/xl/worksheets/sheet54.xml" ContentType="application/vnd.openxmlformats-officedocument.spreadsheetml.worksheet+xml"/>
  <Override PartName="/xl/comments50.xml" ContentType="application/vnd.openxmlformats-officedocument.spreadsheetml.comments+xml"/>
  <Override PartName="/xl/worksheets/sheet55.xml" ContentType="application/vnd.openxmlformats-officedocument.spreadsheetml.worksheet+xml"/>
  <Override PartName="/xl/comments51.xml" ContentType="application/vnd.openxmlformats-officedocument.spreadsheetml.comments+xml"/>
  <Override PartName="/xl/worksheets/sheet56.xml" ContentType="application/vnd.openxmlformats-officedocument.spreadsheetml.worksheet+xml"/>
  <Override PartName="/xl/comments5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2d42777dc344090" /></Relationships>
</file>

<file path=xl/workbook.xml><?xml version="1.0" encoding="utf-8"?>
<x:workbook xmlns:x="http://schemas.openxmlformats.org/spreadsheetml/2006/main">
  <x:sheets>
    <x:sheet xmlns:r="http://schemas.openxmlformats.org/officeDocument/2006/relationships" name="README" sheetId="1" r:id="Rf384daf3097448ce"/>
    <x:sheet xmlns:r="http://schemas.openxmlformats.org/officeDocument/2006/relationships" name="Review Status" sheetId="2" r:id="Rcf8926293af64cae"/>
    <x:sheet xmlns:r="http://schemas.openxmlformats.org/officeDocument/2006/relationships" name="Lists" sheetId="3" r:id="R53bf2ea6d6f34276"/>
    <x:sheet xmlns:r="http://schemas.openxmlformats.org/officeDocument/2006/relationships" name="Scoring Summary" sheetId="4" r:id="R5c12a78f7bd448a6"/>
    <x:sheet xmlns:r="http://schemas.openxmlformats.org/officeDocument/2006/relationships" name="Q15" sheetId="5" r:id="Rb6c6397cbd4140be"/>
    <x:sheet xmlns:r="http://schemas.openxmlformats.org/officeDocument/2006/relationships" name="Q16" sheetId="6" r:id="Rb502f7fb30444ce5"/>
    <x:sheet xmlns:r="http://schemas.openxmlformats.org/officeDocument/2006/relationships" name="Q17" sheetId="7" r:id="Rfd5ee958614b4eb3"/>
    <x:sheet xmlns:r="http://schemas.openxmlformats.org/officeDocument/2006/relationships" name="Q25" sheetId="8" r:id="R39a726f5e4274aa3"/>
    <x:sheet xmlns:r="http://schemas.openxmlformats.org/officeDocument/2006/relationships" name="Q29" sheetId="9" r:id="R7c3ab5d572944cdb"/>
    <x:sheet xmlns:r="http://schemas.openxmlformats.org/officeDocument/2006/relationships" name="Q35" sheetId="10" r:id="Rb65ef2a527c1449e"/>
    <x:sheet xmlns:r="http://schemas.openxmlformats.org/officeDocument/2006/relationships" name="Q41" sheetId="11" r:id="R0f4aa1160b36454e"/>
    <x:sheet xmlns:r="http://schemas.openxmlformats.org/officeDocument/2006/relationships" name="Q45" sheetId="12" r:id="R54ab9f9e9bb44578"/>
    <x:sheet xmlns:r="http://schemas.openxmlformats.org/officeDocument/2006/relationships" name="Q53" sheetId="13" r:id="R5e23510fc6374565"/>
    <x:sheet xmlns:r="http://schemas.openxmlformats.org/officeDocument/2006/relationships" name="Q28" sheetId="14" r:id="Rf07e3d1324174b55"/>
    <x:sheet xmlns:r="http://schemas.openxmlformats.org/officeDocument/2006/relationships" name="Q01" sheetId="16" r:id="R579f311fa25f4e95"/>
    <x:sheet xmlns:r="http://schemas.openxmlformats.org/officeDocument/2006/relationships" name="Q02" sheetId="17" r:id="Rfc71fcd21f7449c3"/>
    <x:sheet xmlns:r="http://schemas.openxmlformats.org/officeDocument/2006/relationships" name="Q03" sheetId="18" r:id="R2a429f6044b340f1"/>
    <x:sheet xmlns:r="http://schemas.openxmlformats.org/officeDocument/2006/relationships" name="Q04" sheetId="19" r:id="R953f79be22d44e29"/>
    <x:sheet xmlns:r="http://schemas.openxmlformats.org/officeDocument/2006/relationships" name="Q05" sheetId="20" r:id="R2cc2644d33a14439"/>
    <x:sheet xmlns:r="http://schemas.openxmlformats.org/officeDocument/2006/relationships" name="Q06" sheetId="21" r:id="R71f8ef38edc24a02"/>
    <x:sheet xmlns:r="http://schemas.openxmlformats.org/officeDocument/2006/relationships" name="Q07" sheetId="22" r:id="R0e5d4896944841c8"/>
    <x:sheet xmlns:r="http://schemas.openxmlformats.org/officeDocument/2006/relationships" name="Q08" sheetId="23" r:id="R316529d02ee44930"/>
    <x:sheet xmlns:r="http://schemas.openxmlformats.org/officeDocument/2006/relationships" name="Q09" sheetId="24" r:id="R5b077cf840d649b5"/>
    <x:sheet xmlns:r="http://schemas.openxmlformats.org/officeDocument/2006/relationships" name="Q10" sheetId="25" r:id="R7744c5d0dda1425e"/>
    <x:sheet xmlns:r="http://schemas.openxmlformats.org/officeDocument/2006/relationships" name="Q11" sheetId="26" r:id="R6547c71c385c4b61"/>
    <x:sheet xmlns:r="http://schemas.openxmlformats.org/officeDocument/2006/relationships" name="Q22" sheetId="27" r:id="R4c6ffa39d90e45de"/>
    <x:sheet xmlns:r="http://schemas.openxmlformats.org/officeDocument/2006/relationships" name="Q23" sheetId="28" r:id="R8039e25f9f5d4146"/>
    <x:sheet xmlns:r="http://schemas.openxmlformats.org/officeDocument/2006/relationships" name="Q24" sheetId="29" r:id="R0c8f9ac5210a4842"/>
    <x:sheet xmlns:r="http://schemas.openxmlformats.org/officeDocument/2006/relationships" name="Q34" sheetId="30" r:id="Rd2983848cb4d4c94"/>
    <x:sheet xmlns:r="http://schemas.openxmlformats.org/officeDocument/2006/relationships" name="Q38" sheetId="31" r:id="R7bc3f3a2d6b8429b"/>
    <x:sheet xmlns:r="http://schemas.openxmlformats.org/officeDocument/2006/relationships" name="Q42" sheetId="32" r:id="Rfe26e1a134e2415b"/>
    <x:sheet xmlns:r="http://schemas.openxmlformats.org/officeDocument/2006/relationships" name="Q46" sheetId="33" r:id="R08c288a3a38e4400"/>
    <x:sheet xmlns:r="http://schemas.openxmlformats.org/officeDocument/2006/relationships" name="Q47" sheetId="34" r:id="R23aa4c5764a44e88"/>
    <x:sheet xmlns:r="http://schemas.openxmlformats.org/officeDocument/2006/relationships" name="Q48" sheetId="35" r:id="R7f87658d5eb14e26"/>
    <x:sheet xmlns:r="http://schemas.openxmlformats.org/officeDocument/2006/relationships" name="Q51" sheetId="36" r:id="Rf58e96b6bacf4a65"/>
    <x:sheet xmlns:r="http://schemas.openxmlformats.org/officeDocument/2006/relationships" name="Q54" sheetId="37" r:id="Ra35e3dbed2324852"/>
    <x:sheet xmlns:r="http://schemas.openxmlformats.org/officeDocument/2006/relationships" name="Q12" sheetId="38" r:id="Rffde15bd66344599"/>
    <x:sheet xmlns:r="http://schemas.openxmlformats.org/officeDocument/2006/relationships" name="Q13" sheetId="39" r:id="R672b483ea94b4cd4"/>
    <x:sheet xmlns:r="http://schemas.openxmlformats.org/officeDocument/2006/relationships" name="Q14" sheetId="40" r:id="Ra62f162a36c84034"/>
    <x:sheet xmlns:r="http://schemas.openxmlformats.org/officeDocument/2006/relationships" name="Q18" sheetId="41" r:id="Rb19e63dcf800402c"/>
    <x:sheet xmlns:r="http://schemas.openxmlformats.org/officeDocument/2006/relationships" name="Q19" sheetId="42" r:id="Rae440637e2564059"/>
    <x:sheet xmlns:r="http://schemas.openxmlformats.org/officeDocument/2006/relationships" name="Q20" sheetId="43" r:id="Rc6c7a8aebbc440e8"/>
    <x:sheet xmlns:r="http://schemas.openxmlformats.org/officeDocument/2006/relationships" name="Q26" sheetId="44" r:id="R14683376af404fc5"/>
    <x:sheet xmlns:r="http://schemas.openxmlformats.org/officeDocument/2006/relationships" name="Q27" sheetId="45" r:id="R40975dbfb0f744ea"/>
    <x:sheet xmlns:r="http://schemas.openxmlformats.org/officeDocument/2006/relationships" name="Q30" sheetId="46" r:id="Rdde04791a81b4fc8"/>
    <x:sheet xmlns:r="http://schemas.openxmlformats.org/officeDocument/2006/relationships" name="Q36" sheetId="47" r:id="R4fd1bbb9885a4de2"/>
    <x:sheet xmlns:r="http://schemas.openxmlformats.org/officeDocument/2006/relationships" name="Q37" sheetId="48" r:id="R1993fb7f68a940f4"/>
    <x:sheet xmlns:r="http://schemas.openxmlformats.org/officeDocument/2006/relationships" name="Q39" sheetId="49" r:id="R1ab71b70b9f948f3"/>
    <x:sheet xmlns:r="http://schemas.openxmlformats.org/officeDocument/2006/relationships" name="Q40" sheetId="50" r:id="R6295b4c3b10a4bc7"/>
    <x:sheet xmlns:r="http://schemas.openxmlformats.org/officeDocument/2006/relationships" name="Q43" sheetId="51" r:id="Rbc5b0c0ed8b04b34"/>
    <x:sheet xmlns:r="http://schemas.openxmlformats.org/officeDocument/2006/relationships" name="Q44" sheetId="52" r:id="R7b48e5dc3766460a"/>
    <x:sheet xmlns:r="http://schemas.openxmlformats.org/officeDocument/2006/relationships" name="Q49" sheetId="53" r:id="R603484b26fbb4afa"/>
    <x:sheet xmlns:r="http://schemas.openxmlformats.org/officeDocument/2006/relationships" name="Q50" sheetId="54" r:id="Rb64d38bcb9be4bd3"/>
    <x:sheet xmlns:r="http://schemas.openxmlformats.org/officeDocument/2006/relationships" name="Q52" sheetId="55" r:id="R40449619d8a64d0f"/>
    <x:sheet xmlns:r="http://schemas.openxmlformats.org/officeDocument/2006/relationships" name="Q55" sheetId="56" r:id="Rf366624f6e0b4dab"/>
    <x:sheet xmlns:r="http://schemas.openxmlformats.org/officeDocument/2006/relationships" name="Q56" sheetId="57" r:id="Rdcb3594238904097"/>
  </x:sheets>
</x:workbook>
</file>

<file path=xl/comments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5.xml><?xml version="1.0" encoding="utf-8"?>
<x:comments xmlns:x="http://schemas.openxmlformats.org/spreadsheetml/2006/main">
  <x:authors>
    <x:author/>
    <x:author>tc={BC2845CD-784B-445C-A4DD-093CBEDD78BF}</x:author>
  </x:authors>
  <x:commentList>
    <x:comment ref="I13" authorId="0">
      <x:text>
        <x:r>
          <x:t>Fill “Expert verdict” only for sources marked “Yes” in “Required source?</x:t>
        </x:r>
      </x:text>
    </x:comment>
    <x:comment ref="B128" authorId="1">
      <x:text>
        <x:r>
          <x:t>[Threaded comment]
 Your version of Excel allows you to read this threaded comment; however, any edits to it will get removed if the file is opened in a newer version of Excel. Learn more: https://go.microsoft.com/fwlink/?linkid=870924
Comment:
	Hi carolina.alessi@concurrences.com , file defect is fixed, thanks for the notification
</x:t>
        </x:r>
      </x:text>
    </x:comment>
  </x:commentList>
</x:comments>
</file>

<file path=xl/comments6.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7.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8.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9.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0.xml><?xml version="1.0" encoding="utf-8"?>
<x:comments xmlns:x="http://schemas.openxmlformats.org/spreadsheetml/2006/main">
  <x:authors>
    <x:author/>
  </x:authors>
  <x:commentList>
    <x:comment ref="A11" authorId="0">
      <x:text>
        <x:r>
          <x:t>The "note for reviewer" is automatically generated, it summarizes the result. The question could not be answered in full because it could not fully answer before it ran out of budget.</x:t>
        </x:r>
      </x:text>
    </x:comment>
    <x:comment ref="I15" authorId="0">
      <x:text>
        <x:r>
          <x:t>Fill “Expert verdict” only for sources marked “Yes” in “Required source?</x:t>
        </x:r>
      </x:text>
    </x:comment>
  </x:commentList>
</x:comments>
</file>

<file path=xl/comments1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3.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4.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5.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6.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7.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8.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9.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0.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2.xml><?xml version="1.0" encoding="utf-8"?>
<x:comments xmlns:x="http://schemas.openxmlformats.org/spreadsheetml/2006/main">
  <x:authors>
    <x:author/>
  </x:authors>
  <x:commentList>
    <x:comment ref="I15" authorId="0">
      <x:text>
        <x:r>
          <x:t>Fill “Expert verdict” only for sources marked “Yes” in “Required source?</x:t>
        </x:r>
      </x:text>
    </x:comment>
  </x:commentList>
</x:comments>
</file>

<file path=xl/comments23.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4.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5.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6.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7.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8.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9.xml><?xml version="1.0" encoding="utf-8"?>
<x:comments xmlns:x="http://schemas.openxmlformats.org/spreadsheetml/2006/main">
  <x:authors>
    <x:author/>
  </x:authors>
  <x:commentList>
    <x:comment ref="I15" authorId="0">
      <x:text>
        <x:r>
          <x:t>Fill “Expert verdict” only for sources marked “Yes” in “Required source?</x:t>
        </x:r>
      </x:text>
    </x:comment>
  </x:commentList>
</x:comments>
</file>

<file path=xl/comments30.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3.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4.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5.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6.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7.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8.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9.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0.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3.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4.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5.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6.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7.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8.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9.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50.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5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5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sharedStrings.xml><?xml version="1.0" encoding="utf-8"?>
<x:sst xmlns:x="http://schemas.openxmlformats.org/spreadsheetml/2006/main">
  <x:si>
    <x:t xml:space="preserve">Concurrences Gate 2 Expert Review Template</x:t>
  </x:si>
  <x:si>
    <x:t xml:space="preserve">Purpose</x:t>
  </x:si>
  <x:si>
    <x:t xml:space="preserve">This workbook is for reviewing generated answers and retrieved sources for Approved benchmark questions only.</x:t>
  </x:si>
  <x:si>
    <x:t xml:space="preserve">How experts should use this file</x:t>
  </x:si>
  <x:si>
    <x:t xml:space="preserve">1. Open the tab for your question, for example Q01.</x:t>
  </x:si>
  <x:si>
    <x:t xml:space="preserve">2. Review the generated answers and its cited sources.</x:t>
  </x:si>
  <x:si>
    <x:t xml:space="preserve">3. Use the retrieval list as context. You do not need to review all 100 documents, but please comment if an important or unexpected source appears, is missing, or is ranked poorly.</x:t>
  </x:si>
  <x:si>
    <x:t xml:space="preserve">4. For each legal claim, mark whether the cited source supports it.</x:t>
  </x:si>
  <x:si>
    <x:t xml:space="preserve">5. Add a short comment only where something must be fixed or clarified.</x:t>
  </x:si>
  <x:si>
    <x:t xml:space="preserve">6. Mark the final expert verdict at the bottom of the question tab.</x:t>
  </x:si>
  <x:si>
    <x:t xml:space="preserve">7. The team will use Review Status and Scoring Summary to track progress and calculate metrics.</x:t>
  </x:si>
  <x:si>
    <x:t xml:space="preserve">Key dates</x:t>
  </x:si>
  <x:si>
    <x:t xml:space="preserve">Answers and retrieval sets generated by</x:t>
  </x:si>
  <x:si>
    <x:t xml:space="preserve">Expert claim-by-claim review completed by</x:t>
  </x:si>
  <x:si>
    <x:t xml:space="preserve">2026-08-21</x:t>
  </x:si>
  <x:si>
    <x:t xml:space="preserve">Batch 1 - 2026-08-17 13:00</x:t>
  </x:si>
  <x:si>
    <x:t xml:space="preserve">Q15</x:t>
  </x:si>
  <x:si>
    <x:t xml:space="preserve">Q16</x:t>
  </x:si>
  <x:si>
    <x:t xml:space="preserve">Q17</x:t>
  </x:si>
  <x:si>
    <x:t xml:space="preserve">Q25</x:t>
  </x:si>
  <x:si>
    <x:t xml:space="preserve">Q28 ⚠️</x:t>
  </x:si>
  <x:si>
    <x:t xml:space="preserve">Q29</x:t>
  </x:si>
  <x:si>
    <x:t xml:space="preserve">Q35</x:t>
  </x:si>
  <x:si>
    <x:t xml:space="preserve">Q41</x:t>
  </x:si>
  <x:si>
    <x:t xml:space="preserve">Q45</x:t>
  </x:si>
  <x:si>
    <x:t xml:space="preserve">Q53</x:t>
  </x:si>
  <x:si>
    <x:t xml:space="preserve">Batch 1 - 2026-08-18</x:t>
  </x:si>
  <x:si>
    <x:t xml:space="preserve">Q01</x:t>
  </x:si>
  <x:si>
    <x:t xml:space="preserve">Q02</x:t>
  </x:si>
  <x:si>
    <x:t xml:space="preserve">Q03</x:t>
  </x:si>
  <x:si>
    <x:t xml:space="preserve">Q04</x:t>
  </x:si>
  <x:si>
    <x:t xml:space="preserve">Q05</x:t>
  </x:si>
  <x:si>
    <x:t xml:space="preserve">Q06</x:t>
  </x:si>
  <x:si>
    <x:t xml:space="preserve">Q07</x:t>
  </x:si>
  <x:si>
    <x:t xml:space="preserve">Q08</x:t>
  </x:si>
  <x:si>
    <x:t xml:space="preserve">Q09</x:t>
  </x:si>
  <x:si>
    <x:t xml:space="preserve">Q10</x:t>
  </x:si>
  <x:si>
    <x:t xml:space="preserve">Q11</x:t>
  </x:si>
  <x:si>
    <x:t xml:space="preserve">Q22</x:t>
  </x:si>
  <x:si>
    <x:t xml:space="preserve">Q23</x:t>
  </x:si>
  <x:si>
    <x:t xml:space="preserve">Q24</x:t>
  </x:si>
  <x:si>
    <x:t xml:space="preserve">Q34</x:t>
  </x:si>
  <x:si>
    <x:t xml:space="preserve">Q38</x:t>
  </x:si>
  <x:si>
    <x:t xml:space="preserve">Q42</x:t>
  </x:si>
  <x:si>
    <x:t xml:space="preserve">Q46</x:t>
  </x:si>
  <x:si>
    <x:t xml:space="preserve">Q48</x:t>
  </x:si>
  <x:si>
    <x:t xml:space="preserve">Q51</x:t>
  </x:si>
  <x:si>
    <x:t xml:space="preserve">Q54</x:t>
  </x:si>
  <x:si>
    <x:t xml:space="preserve">Q47</x:t>
  </x:si>
  <x:si>
    <x:t xml:space="preserve">Review Status</x:t>
  </x:si>
  <x:si>
    <x:t xml:space="preserve">Question ID</x:t>
  </x:si>
  <x:si>
    <x:t xml:space="preserve">Topic</x:t>
  </x:si>
  <x:si>
    <x:t xml:space="preserve">Scope</x:t>
  </x:si>
  <x:si>
    <x:t xml:space="preserve">Question</x:t>
  </x:si>
  <x:si>
    <x:t xml:space="preserve">Expert review status</x:t>
  </x:si>
  <x:si>
    <x:t xml:space="preserve">Is the answer acceptable?</x:t>
  </x:si>
  <x:si>
    <x:t xml:space="preserve">Reviewer</x:t>
  </x:si>
  <x:si>
    <x:t xml:space="preserve">Main issue / follow-up</x:t>
  </x:si>
  <x:si>
    <x:t xml:space="preserve">Open tab</x:t>
  </x:si>
  <x:si>
    <x:t xml:space="preserve">Food delivery — market definition</x:t>
  </x:si>
  <x:si>
    <x:t xml:space="preserve">EU + UK + ES</x:t>
  </x:si>
  <x:si>
    <x:t xml:space="preserve">The relevant market in a food-delivery acquisition — how have the Commission and national authorities defined the relevant product and geographic markets, and on what rationales?</x:t>
  </x:si>
  <x:si>
    <x:t xml:space="preserve">Food delivery — multi-sided platforms</x:t>
  </x:si>
  <x:si>
    <x:t xml:space="preserve">Food delivery as a multi-sided platform — have authorities analysed these platforms as two- or multi-sided markets, and which sides actually entered the analysis?</x:t>
  </x:si>
  <x:si>
    <x:t xml:space="preserve">Food delivery — market boundary</x:t>
  </x:si>
  <x:si>
    <x:t xml:space="preserve">UK (ES colour)</x:t>
  </x:si>
  <x:si>
    <x:t xml:space="preserve">Grocery, quick commerce, and the market boundary — separate markets from restaurant meal delivery, or one broad on-demand delivery market?</x:t>
  </x:si>
  <x:si>
    <x:t xml:space="preserve">Food delivery — failing-firm defence</x:t>
  </x:si>
  <x:si>
    <x:t xml:space="preserve">UK</x:t>
  </x:si>
  <x:si>
    <x:t xml:space="preserve">The failing-firm defence in food delivery — has an exiting-firm counterfactual ever been accepted, did it survive to the final decision, and on what evidence?</x:t>
  </x:si>
  <x:si>
    <x:t xml:space="preserve">Food delivery — COVID-19</x:t>
  </x:si>
  <x:si>
    <x:t xml:space="preserve">COVID-19 in the competitive assessment — how did the pandemic actually enter the analysis: counterfactual, market definition, or not at all?</x:t>
  </x:si>
  <x:si>
    <x:t xml:space="preserve">Food delivery — potential competition</x:t>
  </x:si>
  <x:si>
    <x:t xml:space="preserve">Potential competition and re-entry — where the acquirer is not active in the UK, how has the CMA treated entry or re-entry absent the merger?</x:t>
  </x:si>
  <x:si>
    <x:t xml:space="preserve">Food delivery — no-poach agreements</x:t>
  </x:si>
  <x:si>
    <x:t xml:space="preserve">EU</x:t>
  </x:si>
  <x:si>
    <x:t xml:space="preserve">No-poach agreements under Article 101 — can a reciprocal agreement not to hire each other's staff infringe Article 101, and what is the leading precedent and fine?</x:t>
  </x:si>
  <x:si>
    <x:t xml:space="preserve">Food delivery — remedies</x:t>
  </x:si>
  <x:si>
    <x:t xml:space="preserve">Remedies in food-delivery mergers — which European reviews ended in remedies or commitments, and what did they look like?</x:t>
  </x:si>
  <x:si>
    <x:t xml:space="preserve">Food delivery — Spanish practice</x:t>
  </x:si>
  <x:si>
    <x:t xml:space="preserve">ES</x:t>
  </x:si>
  <x:si>
    <x:t xml:space="preserve">The Spanish (CNMC) food-delivery reviews — what is the CNMC's decisional practice, how many cases, and how were they resolved?</x:t>
  </x:si>
  <x:si>
    <x:t xml:space="preserve">Food delivery — minority shareholdings</x:t>
  </x:si>
  <x:si>
    <x:t xml:space="preserve">EU + UK</x:t>
  </x:si>
  <x:si>
    <x:t xml:space="preserve">Material influence and minority shareholdings — on what basis did the CMA take jurisdiction over a c.16% stake, and how else have authorities treated minority shareholdings in merger control?</x:t>
  </x:si>
  <x:si>
    <x:t xml:space="preserve">Food delivery — evolution of practice</x:t>
  </x:si>
  <x:si>
    <x:t xml:space="preserve">The evolution of European food-delivery merger control, 2017–2025 — how has practice evolved from the first national marketplace consolidations to the recent Commission decisions?</x:t>
  </x:si>
  <x:si>
    <x:t xml:space="preserve">Dawn raids — legal professional privilege</x:t>
  </x:si>
  <x:si>
    <x:t xml:space="preserve">France</x:t>
  </x:si>
  <x:si>
    <x:t xml:space="preserve">At what stage is attorney-client privilege breached during a dawn raid — when the inspector reads the document, or only when it is later used?</x:t>
  </x:si>
  <x:si>
    <x:t xml:space="preserve">Dawn raids — personal data</x:t>
  </x:si>
  <x:si>
    <x:t xml:space="preserve">Under what conditions must the Competition Authority protect personal data during a dawn raid? Does the GDPR apply? Must documents be sealed on request?</x:t>
  </x:si>
  <x:si>
    <x:t xml:space="preserve">Dawn raids — challenging a seizure</x:t>
  </x:si>
  <x:si>
    <x:t xml:space="preserve">After a dawn raid, can the President of the Court of Appeal be seized in interim proceedings to urgently resolve attorney-client privilege disputes? On what legal basis and under what conditions?</x:t>
  </x:si>
  <x:si>
    <x:t xml:space="preserve">At what stage is attorney-client privilege breached during a European Commission inspection under Article 20 of Regulation 1/2003 — when the inspector reads the document, or only when the Commission later uses it?</x:t>
  </x:si>
  <x:si>
    <x:t xml:space="preserve">Under what conditions must the European Commission protect personal data during an inspection? Does the GDPR apply? Must documents be sealed on request?</x:t>
  </x:si>
  <x:si>
    <x:t xml:space="preserve">What procedural avenues exist to challenge seizure of privileged documents after a European Commission inspection?</x:t>
  </x:si>
  <x:si>
    <x:t xml:space="preserve">US</x:t>
  </x:si>
  <x:si>
    <x:t xml:space="preserve">At what stage is attorney-client privilege breached when US antitrust authorities gather documents — when the investigator reads the document, or only when it is later used?</x:t>
  </x:si>
  <x:si>
    <x:t xml:space="preserve">What protections apply to personal or otherwise sensitive data gathered by U.S. antitrust authorities, and on what grounds may material that is irrelevant, overbroad, privileged, or otherwise protected be segregated, withheld, returned, or destroyed?</x:t>
  </x:si>
  <x:si>
    <x:t xml:space="preserve">What procedural avenues exist to challenge the seizure, review, retention, or use of privileged documents following the execution of a search warrant in a criminal antitrust investigation, and how do those remedies differ from procedures for modifying or setting aside a subpoena or Civil Investigative Demand (CID) in a civil antitrust investigation?</x:t>
  </x:si>
  <x:si>
    <x:t xml:space="preserve">Food delivery — data access</x:t>
  </x:si>
  <x:si>
    <x:t xml:space="preserve">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x:t>
  </x:si>
  <x:si>
    <x:t xml:space="preserve">Food delivery — own fleet vs marketplace</x:t>
  </x:si>
  <x:si>
    <x:t xml:space="preserve">Can a food-delivery platform qualify as a provider of online intermediation services within the meaning of the P2B Regulation (EU) 2019/1150 — and if so, which obligations would it additionally have to comply with should it be designated as a gatekeeper under the DMA?</x:t>
  </x:si>
  <x:si>
    <x:t xml:space="preserve">Food delivery — which authority reviews</x:t>
  </x:si>
  <x:si>
    <x:t xml:space="preserve">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x:t>
  </x:si>
  <x:si>
    <x:t xml:space="preserve">Does legal professional privilege in EU competition law cover advice from a company's own in-house lawyers? How have the courts justified where the line falls, and what does that mean in practice during an inspection?</x:t>
  </x:si>
  <x:si>
    <x:t xml:space="preserve">Where a French dawn raid seizes a mailbox or a set of files in bulk and privileged correspondence is found inside afterwards, what is the procedure for having it returned or destroyed, and who decides?</x:t>
  </x:si>
  <x:si>
    <x:t xml:space="preserve">French law separates a challenge to the order authorising a dawn raid from a challenge to how the raid was carried out. What are the two routes, who hears each, what are the time limits, and what can each achieve?</x:t>
  </x:si>
  <x:si>
    <x:t xml:space="preserve">Dawn raids — the inspection decision</x:t>
  </x:si>
  <x:si>
    <x:t xml:space="preserve">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x:t>
  </x:si>
  <x:si>
    <x:t xml:space="preserve">Can an inspection decision be annulled in part where the Commission's evidence supports only some of the suspected infringement period it covers, and what then happens to material already gathered?</x:t>
  </x:si>
  <x:si>
    <x:t xml:space="preserve">How specific must a French dawn-raid authorisation be about the premises to be visited, the practices suspected, and the period covered? What has been held insufficient?</x:t>
  </x:si>
  <x:si>
    <x:t xml:space="preserve">Dawn raids — obstruction and seals</x:t>
  </x:si>
  <x:si>
    <x:t xml:space="preserve">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x:t>
  </x:si>
  <x:si>
    <x:t xml:space="preserve">To what extent may an undertaking be fined for the breaking of a seal in the absence of any fault or intent, and how is that reconciled with the presumption of innocence?</x:t>
  </x:si>
  <x:si>
    <x:t xml:space="preserve">What behavior during a French dawn raid (OVS) exposes a company to obstruction liability, and what training precautions follow from recent enforcement?</x:t>
  </x:si>
  <x:si>
    <x:t xml:space="preserve">Dawn raids — obstruction and preservation of evidence</x:t>
  </x:si>
  <x:si>
    <x:t xml:space="preserve">What consequences may follow from obstructing an actual or contemplated federal antitrust investigation, including by destroying, altering, or concealing evidence, and when do separate legal obligations to preserve potentially relevant evidence arise?</x:t>
  </x:si>
  <x:si>
    <x:t xml:space="preserve">Dawn raids — questioning staff</x:t>
  </x:si>
  <x:si>
    <x:t xml:space="preserve">To what extent may the Commission compel answers under Article 20(2)(e) of Regulation 1/2003 before the privilege against self-incrimination intervenes — and how the distinction between answering questions of fact and admitting an infringement remain workable in practice?</x:t>
  </x:si>
  <x:si>
    <x:t xml:space="preserve">Can employees be required to answer questions during a French dawn raid, and what protection against self-incrimination do they and the company have?</x:t>
  </x:si>
  <x:si>
    <x:t xml:space="preserve">How does the Fifth Amendment privilege against self-incrimination apply in a U.S. antitrust investigation to compelled oral testimony versus the production of documents? Why does the privilege belong to natural persons rather than corporations, and how does the collective-entity doctrine affect an individual custodian who is required to produce corporate records?</x:t>
  </x:si>
  <x:si>
    <x:t xml:space="preserve">Dawn raids — electronic data</x:t>
  </x:si>
  <x:si>
    <x:t xml:space="preserve">May the Commission take a forensic copy of a company's electronic data and carry on examining it at its own premises after the inspection has ended? What safeguards apply, and what rights does the company keep over that copy?</x:t>
  </x:si>
  <x:si>
    <x:t xml:space="preserve">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x:t>
  </x:si>
  <x:si>
    <x:t xml:space="preserve">Under what conditions can French competition authorities seize entire mailboxes during a dawn raid rather than sorting them on-site, how is the in-scope material subsequently identified, and what happens to material found to be out of scope?</x:t>
  </x:si>
  <x:si>
    <x:t xml:space="preserve">In a criminal U.S. antitrust investigation, when may electronic devices or electronically stored information be seized or copied for later off-site review, and what limits do the search warrant, Rule 41, the Fourth Amendment, and privilege-review procedures impose?</x:t>
  </x:si>
  <x:si>
    <x:t xml:space="preserve">Dawn raids — evidence found by accident</x:t>
  </x:si>
  <x:si>
    <x:t xml:space="preserve">May the Commission use evidence of an infringement falling outside the subject matter of the inspection decision? What are the limits imposed by the relevant case law on the use of such incidental findings, and on what conditions may a chance discovery justify a new inspection?</x:t>
  </x:si>
  <x:si>
    <x:t xml:space="preserve">Can the Commission inspect a company over conduct a national authority has already investigated? What limits apply, and how have the courts treated the overlap?</x:t>
  </x:si>
  <x:si>
    <x:t xml:space="preserve">Dawn raids — premises and the courts</x:t>
  </x:si>
  <x:si>
    <x:t xml:space="preserve">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x:t>
  </x:si>
  <x:si>
    <x:t xml:space="preserve">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x:t>
  </x:si>
  <x:si>
    <x:t xml:space="preserve">When must a French dawn raid be authorised in advance by the juge des libertés et de la détention , and what does that judge control  before, during, and after the operation?</x:t>
  </x:si>
  <x:si>
    <x:t xml:space="preserve">What must the Department of Justice establish to obtain and execute a search warrant in a criminal antitrust investigation, and what limits apply to the search? How do criminal search warrants differ from grand-jury subpoenas in criminal investigations and from subpoenas or Civil Investigative Demands (CIDs) used in civil antitrust investigations?</x:t>
  </x:si>
  <x:si>
    <x:t xml:space="preserve">To what extent may the Commission inspect private correspondence, personal devices and employees’ personal data during a dawn raid, and does the sealed-envelope procedure extend beyond legally privileged material?</x:t>
  </x:si>
  <x:si>
    <x:t xml:space="preserve">Under French law, to what extent are communications between a company and its lawyers protected during a competition dawn raid, how can the company challenge the seizure of allegedly privileged material, and what remedies are available if privileged documents have been seized (including return, destruction, or exclusion from the investigation)?</x:t>
  </x:si>
  <x:si>
    <x:t xml:space="preserve">Dawn raids — grounds for an inspection</x:t>
  </x:si>
  <x:si>
    <x:t xml:space="preserve">What evidentiary threshold must the European Commission meet to justify a dawn raid, including the requirement for “sufficiently serious indicia”?</x:t>
  </x:si>
  <x:si>
    <x:t xml:space="preserve">What is an undertaking entitled to know about the indicia underpinning an inspection decision, beyond its subject matter and purpose under Article 20(4) of Regulation 1/2003?</x:t>
  </x:si>
  <x:si>
    <x:t xml:space="preserve">How are attorney-client privilege and work-product protection safeguarded in U.S. antitrust investigations conducted through criminal search warrants or civil compulsory process? What protections, including filter teams or special masters, prevent privileged material from reaching the investigating team, and at what stages can privilege concerns arise — seizure, initial review, disclosure, retention, or derivative use?</x:t>
  </x:si>
  <x:si>
    <x:t xml:space="preserve">How does obtaining and reviewing electronically stored information through subpoenas or Civil Investigative Demands (CIDs) in civil antitrust investigations differ from the criminal-search process?</x:t>
  </x:si>
  <x:si>
    <x:t xml:space="preserve">Reviews completed</x:t>
  </x:si>
  <x:si>
    <x:r>
      <x:rPr>
        <x:color theme="1"/>
        <x:rFont val="Calibri"/>
      </x:rPr>
      <x:t xml:space="preserve">Answer acceptable = </x:t>
    </x:r>
    <x:r>
      <x:rPr>
        <x:b/>
        <x:color theme="1"/>
        <x:rFont val="Calibri"/>
      </x:rPr>
      <x:t xml:space="preserve">Yes</x:t>
    </x:r>
  </x:si>
  <x:si>
    <x:r>
      <x:rPr>
        <x:color theme="1"/>
        <x:rFont val="Calibri"/>
      </x:rPr>
      <x:t xml:space="preserve">Answer acceptable = </x:t>
    </x:r>
    <x:r>
      <x:rPr>
        <x:b/>
        <x:color theme="1"/>
        <x:rFont val="Calibri"/>
      </x:rPr>
      <x:t xml:space="preserve">No</x:t>
    </x:r>
  </x:si>
  <x:si>
    <x:t xml:space="preserve">A</x:t>
  </x:si>
  <x:si>
    <x:t xml:space="preserve">B</x:t>
  </x:si>
  <x:si>
    <x:t xml:space="preserve">C</x:t>
  </x:si>
  <x:si>
    <x:t xml:space="preserve">D</x:t>
  </x:si>
  <x:si>
    <x:t xml:space="preserve">E</x:t>
  </x:si>
  <x:si>
    <x:t xml:space="preserve">F</x:t>
  </x:si>
  <x:si>
    <x:t xml:space="preserve">G</x:t>
  </x:si>
  <x:si>
    <x:t xml:space="preserve">H</x:t>
  </x:si>
  <x:si>
    <x:t xml:space="preserve">Yes</x:t>
  </x:si>
  <x:si>
    <x:t xml:space="preserve">Not started</x:t>
  </x:si>
  <x:si>
    <x:t xml:space="preserve">Acceptable</x:t>
  </x:si>
  <x:si>
    <x:t xml:space="preserve">Supported</x:t>
  </x:si>
  <x:si>
    <x:t xml:space="preserve">None</x:t>
  </x:si>
  <x:si>
    <x:t xml:space="preserve">Primary law</x:t>
  </x:si>
  <x:si>
    <x:t xml:space="preserve">Relevant</x:t>
  </x:si>
  <x:si>
    <x:t xml:space="preserve">No</x:t>
  </x:si>
  <x:si>
    <x:t xml:space="preserve">In review</x:t>
  </x:si>
  <x:si>
    <x:t xml:space="preserve">Partly acceptable</x:t>
  </x:si>
  <x:si>
    <x:t xml:space="preserve">Partly supported</x:t>
  </x:si>
  <x:si>
    <x:t xml:space="preserve">Missing source</x:t>
  </x:si>
  <x:si>
    <x:t xml:space="preserve">Concurrences commentary</x:t>
  </x:si>
  <x:si>
    <x:t xml:space="preserve">Not relevant</x:t>
  </x:si>
  <x:si>
    <x:t xml:space="preserve">Completed</x:t>
  </x:si>
  <x:si>
    <x:t xml:space="preserve">Not acceptable</x:t>
  </x:si>
  <x:si>
    <x:t xml:space="preserve">Not supported</x:t>
  </x:si>
  <x:si>
    <x:t xml:space="preserve">Wrong citation</x:t>
  </x:si>
  <x:si>
    <x:t xml:space="preserve">Other commentary</x:t>
  </x:si>
  <x:si>
    <x:t xml:space="preserve">Unsure</x:t>
  </x:si>
  <x:si>
    <x:t xml:space="preserve">Duplicate</x:t>
  </x:si>
  <x:si>
    <x:t xml:space="preserve">Needs follow-up</x:t>
  </x:si>
  <x:si>
    <x:t xml:space="preserve">Wrong source</x:t>
  </x:si>
  <x:si>
    <x:t xml:space="preserve">Overclaim</x:t>
  </x:si>
  <x:si>
    <x:t xml:space="preserve">Other</x:t>
  </x:si>
  <x:si>
    <x:t xml:space="preserve">Trap</x:t>
  </x:si>
  <x:si>
    <x:t xml:space="preserve">Missing citation</x:t>
  </x:si>
  <x:si>
    <x:t xml:space="preserve">Unsupported claim</x:t>
  </x:si>
  <x:si>
    <x:t xml:space="preserve">Missing important source</x:t>
  </x:si>
  <x:si>
    <x:t xml:space="preserve">Not a legal claim</x:t>
  </x:si>
  <x:si>
    <x:t xml:space="preserve">Ambiguous wording</x:t>
  </x:si>
  <x:si>
    <x:t xml:space="preserve">Scoring Summary</x:t>
  </x:si>
  <x:si>
    <x:t xml:space="preserve">Team-facing summary. Experts only need to complete the question tabs; this sheet pulls verdicts together.</x:t>
  </x:si>
  <x:si>
    <x:t xml:space="preserve">Total claims</x:t>
  </x:si>
  <x:si>
    <x:t xml:space="preserve">Supports claim</x:t>
  </x:si>
  <x:si>
    <x:t xml:space="preserve">Partially supports claim</x:t>
  </x:si>
  <x:si>
    <x:t xml:space="preserve">Does not support claim</x:t>
  </x:si>
  <x:si>
    <x:t xml:space="preserve">Q15 — Expert Review</x:t>
  </x:si>
  <x:si>
    <x:t xml:space="preserve">Question metadata</x:t>
  </x:si>
  <x:si>
    <x:t xml:space="preserve">Original reviewer</x:t>
  </x:si>
  <x:si>
    <x:t xml:space="preserve">Carolina</x:t>
  </x:si>
  <x:si>
    <x:t xml:space="preserve">Original status</x:t>
  </x:si>
  <x:si>
    <x:t xml:space="preserve">Approved</x:t>
  </x:si>
  <x:si>
    <x:t xml:space="preserve">Run ID</x:t>
  </x:si>
  <x:si>
    <x:t xml:space="preserve">Run date</x:t>
  </x:si>
  <x:si>
    <x:t xml:space="preserve">Q16 — Expert Review</x:t>
  </x:si>
  <x:si>
    <x:t xml:space="preserve">Q17 — Expert Review</x:t>
  </x:si>
  <x:si>
    <x:t xml:space="preserve">Q25 — Expert Review</x:t>
  </x:si>
  <x:si>
    <x:t xml:space="preserve">Q29 — Expert Review</x:t>
  </x:si>
  <x:si>
    <x:t xml:space="preserve">Jeanne</x:t>
  </x:si>
  <x:si>
    <x:t xml:space="preserve">Q35 — Expert Review</x:t>
  </x:si>
  <x:si>
    <x:t xml:space="preserve">Q41 — Expert Review</x:t>
  </x:si>
  <x:si>
    <x:t xml:space="preserve">Q45 — Expert Review</x:t>
  </x:si>
  <x:si>
    <x:t xml:space="preserve">Q53 — Expert Review</x:t>
  </x:si>
  <x:si>
    <x:t xml:space="preserve">Q28 — Expert Review</x:t>
  </x:si>
  <x:si>
    <x:t xml:space="preserve">Generated answer</x:t>
  </x:si>
  <x:si>
    <x:t xml:space="preserve">Q01 — Expert Review</x:t>
  </x:si>
  <x:si>
    <x:t xml:space="preserve">Q02 — Expert Review</x:t>
  </x:si>
  <x:si>
    <x:t xml:space="preserve">Q03 — Expert Review</x:t>
  </x:si>
  <x:si>
    <x:t xml:space="preserve">Q04 — Expert Review</x:t>
  </x:si>
  <x:si>
    <x:t xml:space="preserve">Q05 — Expert Review</x:t>
  </x:si>
  <x:si>
    <x:t xml:space="preserve">Q06 — Expert Review</x:t>
  </x:si>
  <x:si>
    <x:t xml:space="preserve">Q07 — Expert Review</x:t>
  </x:si>
  <x:si>
    <x:t xml:space="preserve">Q08 — Expert Review</x:t>
  </x:si>
  <x:si>
    <x:t xml:space="preserve">Q09 — Expert Review</x:t>
  </x:si>
  <x:si>
    <x:t xml:space="preserve">Q10 — Expert Review</x:t>
  </x:si>
  <x:si>
    <x:t xml:space="preserve">Q11 — Expert Review</x:t>
  </x:si>
  <x:si>
    <x:t xml:space="preserve">Q22 — Expert Review</x:t>
  </x:si>
  <x:si>
    <x:t xml:space="preserve">Arthur</x:t>
  </x:si>
  <x:si>
    <x:t xml:space="preserve">Q23 — Expert Review</x:t>
  </x:si>
  <x:si>
    <x:t xml:space="preserve">Q24 — Expert Review</x:t>
  </x:si>
  <x:si>
    <x:t xml:space="preserve">Q34 — Expert Review</x:t>
  </x:si>
  <x:si>
    <x:t xml:space="preserve">Q38 — Expert Review</x:t>
  </x:si>
  <x:si>
    <x:t xml:space="preserve">Q42 — Expert Review</x:t>
  </x:si>
  <x:si>
    <x:t xml:space="preserve">Q46 — Expert Review</x:t>
  </x:si>
  <x:si>
    <x:t xml:space="preserve">Q47 — Expert Review</x:t>
  </x:si>
  <x:si>
    <x:t xml:space="preserve">Q48 — Expert Review</x:t>
  </x:si>
  <x:si>
    <x:t xml:space="preserve">Q51 — Expert Review</x:t>
  </x:si>
  <x:si>
    <x:t xml:space="preserve">Q54 — Expert Review</x:t>
  </x:si>
  <x:si>
    <x:t xml:space="preserve">Q12 — Expert Review</x:t>
  </x:si>
  <x:si>
    <x:t xml:space="preserve">Q13 — Expert Review</x:t>
  </x:si>
  <x:si>
    <x:t xml:space="preserve">Q14 — Expert Review</x:t>
  </x:si>
  <x:si>
    <x:t xml:space="preserve">Q18 — Expert Review</x:t>
  </x:si>
  <x:si>
    <x:t xml:space="preserve">Q19 — Expert Review</x:t>
  </x:si>
  <x:si>
    <x:t xml:space="preserve">Under what conditions must US antitrust authorities protect personal data when they gather documents? Must material be set aside on request?</x:t>
  </x:si>
  <x:si>
    <x:t xml:space="preserve">Q20 — Expert Review</x:t>
  </x:si>
  <x:si>
    <x:t xml:space="preserve">What procedural avenues exist to challenge seizure of privileged documents following the execution of a search warrant in a criminal antitrust investigation?</x:t>
  </x:si>
  <x:si>
    <x:t xml:space="preserve">Q26 — Expert Review</x:t>
  </x:si>
  <x:si>
    <x:t xml:space="preserve">Q27 — Expert Review</x:t>
  </x:si>
  <x:si>
    <x:t xml:space="preserve">Q30 — Expert Review</x:t>
  </x:si>
  <x:si>
    <x:t xml:space="preserve">Q36 — Expert Review</x:t>
  </x:si>
  <x:si>
    <x:t xml:space="preserve">Q37 — Expert Review</x:t>
  </x:si>
  <x:si>
    <x:t xml:space="preserve">Q39 — Expert Review</x:t>
  </x:si>
  <x:si>
    <x:t xml:space="preserve">Q40 — Expert Review</x:t>
  </x:si>
  <x:si>
    <x:t xml:space="preserve">Q43 — Expert Review</x:t>
  </x:si>
  <x:si>
    <x:t xml:space="preserve">Q44 — Expert Review</x:t>
  </x:si>
  <x:si>
    <x:t xml:space="preserve">Q49 — Expert Review</x:t>
  </x:si>
  <x:si>
    <x:t xml:space="preserve">Q50 — Expert Review</x:t>
  </x:si>
  <x:si>
    <x:t xml:space="preserve">Q52— Expert Review</x:t>
  </x:si>
  <x:si>
    <x:t xml:space="preserve">Q55 — Expert Review</x:t>
  </x:si>
  <x:si>
    <x:t xml:space="preserve">Q56 — Expert Review</x:t>
  </x:si>
</x:sst>
</file>

<file path=xl/styles.xml><?xml version="1.0" encoding="utf-8"?>
<x:styleSheet xmlns:x="http://schemas.openxmlformats.org/spreadsheetml/2006/main">
  <x:numFmts count="1">
    <x:numFmt numFmtId="164" formatCode="yyyy-mm-dd"/>
  </x:numFmts>
  <x:fonts count="16">
    <x:font>
      <x:sz val="11"/>
      <x:color theme="1"/>
      <x:name val="Calibri"/>
    </x:font>
    <x:font>
      <x:color theme="1"/>
      <x:name val="Calibri"/>
    </x:font>
    <x:font>
      <x:b/>
      <x:sz val="16"/>
      <x:color rgb="FFFFFFFF"/>
      <x:name val="Calibri"/>
    </x:font>
    <x:font/>
    <x:font>
      <x:b/>
      <x:sz val="12"/>
      <x:color rgb="FF1F1F1F"/>
      <x:name val="Calibri"/>
    </x:font>
    <x:font>
      <x:sz val="11"/>
      <x:color theme="1"/>
      <x:name val="Calibri"/>
    </x:font>
    <x:font>
      <x:b/>
      <x:color rgb="FFFFFFFF"/>
      <x:name val="Calibri"/>
    </x:font>
    <x:font>
      <x:color rgb="FF0000FF"/>
    </x:font>
    <x:font>
      <x:sz val="11"/>
      <x:color theme="1"/>
      <x:name val="Calibri"/>
    </x:font>
    <x:font>
      <x:b/>
      <x:color theme="1"/>
      <x:name val="Calibri"/>
    </x:font>
    <x:font>
      <x:i/>
      <x:color rgb="FF000000"/>
      <x:name val="Calibri"/>
    </x:font>
    <x:font>
      <x:sz val="11"/>
      <x:color theme="1"/>
      <x:name val="Arial"/>
    </x:font>
    <x:font>
      <x:sz val="12"/>
      <x:color rgb="FF1F1F1F"/>
      <x:name val="Calibri"/>
    </x:font>
    <x:font>
      <x:b/>
      <x:sz val="11"/>
      <x:color rgb="FF1F1F1F"/>
      <x:name val="Calibri"/>
    </x:font>
    <x:font>
      <x:sz val="11"/>
      <x:color rgb="FF1F1F1F"/>
      <x:name val="Calibri"/>
    </x:font>
    <x:font>
      <x:b/>
      <x:sz val="11"/>
      <x:color rgb="FFFFFFFF"/>
      <x:name val="Calibri"/>
    </x:font>
  </x:fonts>
  <x:fills count="17">
    <x:fill>
      <x:patternFill patternType="none"/>
    </x:fill>
    <x:fill>
      <x:patternFill patternType="lightGray"/>
    </x:fill>
    <x:fill>
      <x:patternFill patternType="solid">
        <x:fgColor rgb="FF1F4E78"/>
      </x:patternFill>
    </x:fill>
    <x:fill>
      <x:patternFill patternType="solid">
        <x:fgColor rgb="FFD9EAF7"/>
      </x:patternFill>
    </x:fill>
    <x:fill>
      <x:patternFill patternType="solid">
        <x:fgColor rgb="FF6AA84F"/>
      </x:patternFill>
    </x:fill>
    <x:fill>
      <x:patternFill patternType="solid">
        <x:fgColor rgb="FFFFFF00"/>
      </x:patternFill>
    </x:fill>
    <x:fill>
      <x:patternFill patternType="solid">
        <x:fgColor rgb="FFFFFFFF"/>
      </x:patternFill>
    </x:fill>
    <x:fill>
      <x:patternFill patternType="solid">
        <x:fgColor rgb="FFFFF2CC"/>
      </x:patternFill>
    </x:fill>
    <x:fill>
      <x:patternFill patternType="solid">
        <x:fgColor rgb="FFCCCCCC"/>
      </x:patternFill>
    </x:fill>
    <x:fill>
      <x:patternFill patternType="solid">
        <x:fgColor rgb="FFD9D9D9"/>
      </x:patternFill>
    </x:fill>
    <x:fill>
      <x:patternFill patternType="solid">
        <x:fgColor rgb="FFD9EAD3"/>
      </x:patternFill>
    </x:fill>
    <x:fill>
      <x:patternFill patternType="solid">
        <x:fgColor rgb="FFF4CCCC"/>
      </x:patternFill>
    </x:fill>
    <x:fill>
      <x:patternFill patternType="solid">
        <x:fgColor rgb="FFCFE2F3"/>
      </x:patternFill>
    </x:fill>
    <x:fill>
      <x:patternFill patternType="solid">
        <x:fgColor rgb="FFC9DAF8"/>
      </x:patternFill>
    </x:fill>
    <x:fill>
      <x:patternFill patternType="solid">
        <x:fgColor rgb="FFD9EAF7"/>
      </x:patternFill>
    </x:fill>
    <x:fill>
      <x:patternFill patternType="solid">
        <x:fgColor rgb="FFFFF2CC"/>
      </x:patternFill>
    </x:fill>
    <x:fill>
      <x:patternFill patternType="solid">
        <x:fgColor rgb="FF1F4E78"/>
      </x:patternFill>
    </x:fill>
  </x:fills>
  <x:borders count="17">
    <x:border/>
    <x:border/>
    <x:border/>
    <x:border/>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bottom style="thin">
        <x:color rgb="FFD9E2F3"/>
      </x:bottom>
    </x:border>
    <x:border>
      <x:left style="thin">
        <x:color rgb="FF000000"/>
      </x:left>
      <x:right style="thin">
        <x:color rgb="FF000000"/>
      </x:right>
      <x:top style="thin">
        <x:color rgb="FF000000"/>
      </x:top>
      <x:bottom style="thin">
        <x:color rgb="FF000000"/>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s>
  <x:cellStyleXfs count="1">
    <x:xf numFmtId="0" fontId="0" fillId="0" borderId="0" applyFont="1" applyAlignment="1"/>
  </x:cellStyleXfs>
  <x:cellXfs count="106">
    <x:xf numFmtId="0" fontId="0" fillId="0" borderId="0" xfId="0" applyFont="1" applyAlignment="1">
      <x:alignment vertical="bottom" wrapText="0"/>
    </x:xf>
    <x:xf numFmtId="0" fontId="1" fillId="0" borderId="0" xfId="0" applyFont="1"/>
    <x:xf numFmtId="0" fontId="2" fillId="2" borderId="1" xfId="0" applyFont="1" applyFill="1" applyBorder="1" applyAlignment="1">
      <x:alignment vertical="center"/>
    </x:xf>
    <x:xf numFmtId="0" fontId="2" fillId="2" borderId="1" xfId="0" applyFont="1" applyBorder="1" applyAlignment="1">
      <x:alignment vertical="top" wrapText="1"/>
    </x:xf>
    <x:xf numFmtId="0" fontId="3" fillId="0" borderId="2" xfId="0" applyFont="1" applyBorder="1"/>
    <x:xf numFmtId="0" fontId="3" fillId="0" borderId="3" xfId="0" applyFont="1" applyBorder="1"/>
    <x:xf numFmtId="0" fontId="4" fillId="3" borderId="4" xfId="0" applyFont="1" applyFill="1" applyBorder="1" applyAlignment="1">
      <x:alignment vertical="center"/>
    </x:xf>
    <x:xf numFmtId="0" fontId="5" fillId="0" borderId="0" xfId="0" applyFont="1" applyAlignment="1">
      <x:alignment vertical="top" wrapText="1"/>
    </x:xf>
    <x:xf numFmtId="0" fontId="6" fillId="2" borderId="5" xfId="0" applyFont="1" applyBorder="1" applyAlignment="1">
      <x:alignment vertical="top" wrapText="1"/>
    </x:xf>
    <x:xf numFmtId="0" fontId="6" fillId="2" borderId="5" xfId="0" applyFont="1" applyBorder="1" applyAlignment="1">
      <x:alignment vertical="top" wrapText="1"/>
    </x:xf>
    <x:xf numFmtId="0" fontId="5" fillId="0" borderId="5" xfId="0" applyFont="1" applyBorder="1" applyAlignment="1">
      <x:alignment vertical="top" wrapText="1"/>
    </x:xf>
    <x:xf numFmtId="0" fontId="6" fillId="2" borderId="5" xfId="0" applyFont="1" applyBorder="1" applyAlignment="1">
      <x:alignment vertical="top" wrapText="1"/>
    </x:xf>
    <x:xf numFmtId="0" fontId="7" fillId="0" borderId="0" xfId="0" applyFont="1" applyAlignment="1"/>
    <x:xf numFmtId="0" fontId="5" fillId="0" borderId="5" xfId="0" applyFont="1" applyBorder="1" applyAlignment="1">
      <x:alignment vertical="top" wrapText="1"/>
    </x:xf>
    <x:xf numFmtId="0" fontId="1" fillId="0" borderId="0" xfId="0" applyFont="1" applyAlignment="1"/>
    <x:xf numFmtId="164" fontId="5" fillId="0" borderId="5" xfId="0" applyNumberFormat="1" applyFont="1" applyBorder="1" applyAlignment="1">
      <x:alignment vertical="top" wrapText="1"/>
    </x:xf>
    <x:xf numFmtId="164" fontId="5" fillId="0" borderId="5" xfId="0" applyNumberFormat="1" applyFont="1" applyBorder="1" applyAlignment="1">
      <x:alignment horizontal="right" vertical="top" wrapText="1"/>
    </x:xf>
    <x:xf numFmtId="0" fontId="8" fillId="0" borderId="5" xfId="0" applyFont="1" applyBorder="1" applyAlignment="1">
      <x:alignment vertical="top" wrapText="1"/>
    </x:xf>
    <x:xf numFmtId="0" fontId="9" fillId="0" borderId="0" xfId="0" applyFont="1" applyAlignment="1"/>
    <x:xf numFmtId="0" fontId="1" fillId="4" borderId="0" xfId="0" applyFont="1" applyFill="1" applyAlignment="1"/>
    <x:xf numFmtId="0" fontId="1" fillId="5" borderId="0" xfId="0" applyFont="1" applyFill="1" applyAlignment="1"/>
    <x:xf numFmtId="0" fontId="2" fillId="2" borderId="1" xfId="0" applyFont="1" applyBorder="1" applyAlignment="1">
      <x:alignment vertical="top" wrapText="1"/>
    </x:xf>
    <x:xf numFmtId="0" fontId="4" fillId="3" borderId="1" xfId="0" applyFont="1" applyBorder="1" applyAlignment="1">
      <x:alignment vertical="top" wrapText="1"/>
    </x:xf>
    <x:xf numFmtId="0" fontId="9" fillId="0" borderId="0" xfId="0" applyFont="1" applyAlignment="1">
      <x:alignment vertical="top" wrapText="1"/>
    </x:xf>
    <x:xf numFmtId="0" fontId="5" fillId="0" borderId="0" xfId="0" applyFont="1" applyAlignment="1">
      <x:alignment horizontal="left" vertical="top" wrapText="1"/>
    </x:xf>
    <x:xf numFmtId="0" fontId="10" fillId="6" borderId="0" xfId="0" applyFont="1" applyFill="1" applyAlignment="1">
      <x:alignment vertical="top" wrapText="1"/>
    </x:xf>
    <x:xf numFmtId="0" fontId="4" fillId="3" borderId="1" xfId="0" applyFont="1" applyBorder="1" applyAlignment="1">
      <x:alignment vertical="top" wrapText="1"/>
    </x:xf>
    <x:xf numFmtId="0" fontId="6" fillId="2" borderId="5" xfId="0" applyFont="1" applyBorder="1" applyAlignment="1">
      <x:alignment horizontal="center" vertical="center" wrapText="1"/>
    </x:xf>
    <x:xf numFmtId="0" fontId="6" fillId="2" borderId="5" xfId="0" applyFont="1" applyBorder="1" applyAlignment="1">
      <x:alignment horizontal="center" vertical="center" wrapText="1"/>
    </x:xf>
    <x:xf numFmtId="0" fontId="5" fillId="0" borderId="0" xfId="0" applyFont="1" applyAlignment="1">
      <x:alignment horizontal="right" vertical="bottom"/>
    </x:xf>
    <x:xf numFmtId="0" fontId="5" fillId="0" borderId="0" xfId="0" applyFont="1" applyAlignment="1">
      <x:alignment vertical="bottom"/>
    </x:xf>
    <x:xf numFmtId="0" fontId="5" fillId="0" borderId="0" xfId="0" applyFont="1" applyAlignment="1">
      <x:alignment vertical="bottom"/>
    </x:xf>
    <x:xf numFmtId="0" fontId="5" fillId="7" borderId="5" xfId="0" applyFont="1" applyFill="1" applyBorder="1" applyAlignment="1">
      <x:alignment vertical="top" wrapText="1"/>
    </x:xf>
    <x:xf numFmtId="0" fontId="5" fillId="7" borderId="5" xfId="0" applyFont="1" applyBorder="1" applyAlignment="1">
      <x:alignment vertical="top" wrapText="1"/>
    </x:xf>
    <x:xf numFmtId="0" fontId="5" fillId="0" borderId="5" xfId="0" applyFont="1" applyBorder="1" applyAlignment="1">
      <x:alignment vertical="top" wrapText="1"/>
    </x:xf>
    <x:xf numFmtId="0" fontId="4" fillId="3" borderId="2" xfId="0" applyFont="1" applyBorder="1" applyAlignment="1">
      <x:alignment vertical="top" wrapText="1"/>
    </x:xf>
    <x:xf numFmtId="0" fontId="6" fillId="2" borderId="6" xfId="0" applyFont="1" applyBorder="1" applyAlignment="1">
      <x:alignment horizontal="center" vertical="center" wrapText="1"/>
    </x:xf>
    <x:xf numFmtId="0" fontId="6" fillId="2" borderId="6" xfId="0" applyFont="1" applyBorder="1" applyAlignment="1">
      <x:alignment horizontal="center" vertical="center" wrapText="1"/>
    </x:xf>
    <x:xf numFmtId="0" fontId="5" fillId="0" borderId="6" xfId="0" applyFont="1" applyBorder="1" applyAlignment="1">
      <x:alignment vertical="top" wrapText="1"/>
    </x:xf>
    <x:xf numFmtId="0" fontId="5" fillId="0" borderId="0" xfId="0" applyFont="1" applyAlignment="1">
      <x:alignment vertical="top" wrapText="1"/>
    </x:xf>
    <x:xf numFmtId="0" fontId="5" fillId="7" borderId="6" xfId="0" applyFont="1" applyBorder="1" applyAlignment="1">
      <x:alignment vertical="top" wrapText="1"/>
    </x:xf>
    <x:xf numFmtId="0" fontId="5" fillId="7" borderId="6" xfId="0" applyFont="1" applyBorder="1" applyAlignment="1">
      <x:alignment vertical="top" wrapText="1"/>
    </x:xf>
    <x:xf numFmtId="0" fontId="9" fillId="7" borderId="6" xfId="0" applyFont="1" applyBorder="1" applyAlignment="1">
      <x:alignment vertical="top" wrapText="1"/>
    </x:xf>
    <x:xf numFmtId="0" fontId="9" fillId="7" borderId="5" xfId="0" applyFont="1" applyBorder="1" applyAlignment="1">
      <x:alignment vertical="top" wrapText="1"/>
    </x:xf>
    <x:xf numFmtId="0" fontId="9" fillId="7" borderId="5" xfId="0" applyFont="1" applyBorder="1" applyAlignment="1">
      <x:alignment vertical="top" wrapText="1"/>
    </x:xf>
    <x:xf numFmtId="0" fontId="1" fillId="8" borderId="7" xfId="0" applyFont="1" applyFill="1" applyBorder="1" applyAlignment="1"/>
    <x:xf numFmtId="0" fontId="1" fillId="9" borderId="7" xfId="0" applyFont="1" applyFill="1" applyBorder="1"/>
    <x:xf numFmtId="0" fontId="1" fillId="10" borderId="7" xfId="0" applyFont="1" applyFill="1" applyBorder="1" applyAlignment="1"/>
    <x:xf numFmtId="0" fontId="1" fillId="10" borderId="7" xfId="0" applyFont="1" applyBorder="1"/>
    <x:xf numFmtId="0" fontId="1" fillId="11" borderId="7" xfId="0" applyFont="1" applyFill="1" applyBorder="1" applyAlignment="1"/>
    <x:xf numFmtId="0" fontId="1" fillId="11" borderId="7" xfId="0" applyFont="1" applyBorder="1"/>
    <x:xf numFmtId="0" fontId="11" fillId="7" borderId="6" xfId="0" applyFont="1" applyBorder="1" applyAlignment="1">
      <x:alignment vertical="top" wrapText="1"/>
    </x:xf>
    <x:xf numFmtId="0" fontId="11" fillId="7" borderId="8" xfId="0" applyFont="1" applyBorder="1" applyAlignment="1">
      <x:alignment vertical="top" wrapText="1"/>
    </x:xf>
    <x:xf numFmtId="0" fontId="5" fillId="0" borderId="0" xfId="0" applyFont="1" applyAlignment="1">
      <x:alignment horizontal="left" vertical="top" wrapText="1"/>
    </x:xf>
    <x:xf numFmtId="0" fontId="5" fillId="0" borderId="0" xfId="0" applyFont="1" applyAlignment="1">
      <x:alignment vertical="top" wrapText="1"/>
    </x:xf>
    <x:xf numFmtId="0" fontId="9" fillId="0" borderId="5" xfId="0" applyFont="1" applyBorder="1" applyAlignment="1">
      <x:alignment vertical="top" wrapText="1"/>
    </x:xf>
    <x:xf numFmtId="0" fontId="5" fillId="0" borderId="8" xfId="0" applyFont="1" applyBorder="1" applyAlignment="1">
      <x:alignment vertical="top" wrapText="1"/>
    </x:xf>
    <x:xf numFmtId="0" fontId="3" fillId="0" borderId="9" xfId="0" applyFont="1" applyBorder="1"/>
    <x:xf numFmtId="0" fontId="3" fillId="0" borderId="10" xfId="0" applyFont="1" applyBorder="1"/>
    <x:xf numFmtId="0" fontId="5" fillId="0" borderId="11" xfId="0" applyFont="1" applyBorder="1" applyAlignment="1">
      <x:alignment vertical="top" wrapText="1"/>
    </x:xf>
    <x:xf numFmtId="0" fontId="3" fillId="0" borderId="12" xfId="0" applyFont="1" applyBorder="1"/>
    <x:xf numFmtId="0" fontId="3" fillId="0" borderId="13" xfId="0" applyFont="1" applyBorder="1"/>
    <x:xf numFmtId="0" fontId="3" fillId="0" borderId="14" xfId="0" applyFont="1" applyBorder="1"/>
    <x:xf numFmtId="0" fontId="3" fillId="0" borderId="15" xfId="0" applyFont="1" applyBorder="1"/>
    <x:xf numFmtId="0" fontId="3" fillId="0" borderId="16" xfId="0" applyFont="1" applyBorder="1"/>
    <x:xf numFmtId="0" fontId="11" fillId="7" borderId="5" xfId="0" applyFont="1" applyBorder="1" applyAlignment="1">
      <x:alignment vertical="top" wrapText="1"/>
    </x:xf>
    <x:xf numFmtId="0" fontId="5" fillId="7" borderId="8" xfId="0" applyFont="1" applyBorder="1" applyAlignment="1">
      <x:alignment vertical="top" wrapText="1"/>
    </x:xf>
    <x:xf numFmtId="0" fontId="2" fillId="2" borderId="1" xfId="0" applyFont="1" applyBorder="1" applyAlignment="1">
      <x:alignment vertical="top" wrapText="1"/>
    </x:xf>
    <x:xf numFmtId="0" fontId="9" fillId="12" borderId="0" xfId="0" applyFont="1" applyFill="1" applyAlignment="1">
      <x:alignment vertical="top" wrapText="1"/>
    </x:xf>
    <x:xf numFmtId="0" fontId="12" fillId="6" borderId="0" xfId="0" applyFont="1" applyAlignment="1">
      <x:alignment vertical="top" wrapText="1"/>
    </x:xf>
    <x:xf numFmtId="0" fontId="10" fillId="0" borderId="0" xfId="0" applyFont="1" applyAlignment="1">
      <x:alignment vertical="top" wrapText="1"/>
    </x:xf>
    <x:xf numFmtId="0" fontId="6" fillId="2" borderId="0" xfId="0" applyFont="1" applyAlignment="1">
      <x:alignment horizontal="center" vertical="center" wrapText="1"/>
    </x:xf>
    <x:xf numFmtId="0" fontId="5" fillId="7" borderId="0" xfId="0" applyFont="1" applyAlignment="1">
      <x:alignment vertical="top" wrapText="1"/>
    </x:xf>
    <x:xf numFmtId="0" fontId="5" fillId="7" borderId="0" xfId="0" applyFont="1" applyAlignment="1">
      <x:alignment vertical="top" wrapText="1"/>
    </x:xf>
    <x:xf numFmtId="0" fontId="5" fillId="0" borderId="0" xfId="0" applyFont="1" applyAlignment="1">
      <x:alignment vertical="top"/>
    </x:xf>
    <x:xf numFmtId="0" fontId="5" fillId="0" borderId="0" xfId="0" applyFont="1" applyAlignment="1">
      <x:alignment vertical="top"/>
    </x:xf>
    <x:xf numFmtId="0" fontId="5" fillId="0" borderId="0" xfId="0" applyFont="1" applyAlignment="1">
      <x:alignment horizontal="right" vertical="bottom"/>
    </x:xf>
    <x:xf numFmtId="0" fontId="5" fillId="7" borderId="8" xfId="0" applyFont="1" applyBorder="1" applyAlignment="1">
      <x:alignment vertical="top" wrapText="1"/>
    </x:xf>
    <x:xf numFmtId="0" fontId="1" fillId="7" borderId="5" xfId="0" applyFont="1" applyBorder="1" applyAlignment="1">
      <x:alignment vertical="top" wrapText="1"/>
    </x:xf>
    <x:xf numFmtId="0" fontId="5" fillId="0" borderId="0" xfId="0" applyFont="1" applyAlignment="1">
      <x:alignment vertical="top" wrapText="1"/>
    </x:xf>
    <x:xf numFmtId="0" fontId="9" fillId="13" borderId="0" xfId="0" applyFont="1" applyFill="1" applyAlignment="1">
      <x:alignment vertical="top" wrapText="1"/>
    </x:xf>
    <x:xf numFmtId="0" fontId="1" fillId="0" borderId="0" xfId="0" applyFont="1" applyAlignment="1">
      <x:alignment vertical="top" wrapText="1"/>
    </x:xf>
    <x:xf numFmtId="0" fontId="5" fillId="6" borderId="0" xfId="0" applyFont="1" applyAlignment="1">
      <x:alignment vertical="bottom"/>
    </x:xf>
    <x:xf numFmtId="0" fontId="5" fillId="6" borderId="6" xfId="0" applyFont="1" applyBorder="1" applyAlignment="1">
      <x:alignment vertical="top" wrapText="1"/>
    </x:xf>
    <x:xf numFmtId="0" fontId="5" fillId="6" borderId="0" xfId="0" applyFont="1" applyAlignment="1">
      <x:alignment vertical="top" wrapText="1"/>
    </x:xf>
    <x:xf numFmtId="0" fontId="1" fillId="6" borderId="0" xfId="0" applyFont="1"/>
    <x:xf numFmtId="0" fontId="5" fillId="0" borderId="0" xfId="0" applyFont="1" applyAlignment="1">
      <x:alignment vertical="bottom"/>
    </x:xf>
    <x:xf numFmtId="0" fontId="5" fillId="0" borderId="6" xfId="0" applyFont="1" applyBorder="1" applyAlignment="1">
      <x:alignment vertical="top" wrapText="1"/>
    </x:xf>
    <x:xf numFmtId="0" fontId="5" fillId="0" borderId="9" xfId="0" applyFont="1" applyBorder="1" applyAlignment="1">
      <x:alignment vertical="top" wrapText="1"/>
    </x:xf>
    <x:xf numFmtId="0" fontId="5" fillId="0" borderId="10" xfId="0" applyFont="1" applyBorder="1" applyAlignment="1">
      <x:alignment vertical="top" wrapText="1"/>
    </x:xf>
    <x:xf numFmtId="0" fontId="5" fillId="6" borderId="0" xfId="0" applyFont="1" applyAlignment="1">
      <x:alignment vertical="top" wrapText="1"/>
    </x:xf>
    <x:xf numFmtId="0" fontId="0" fillId="14" borderId="0" xfId="0" applyNumberFormat="1" applyFont="1" applyFill="1" applyBorder="1" applyAlignment="1">
      <x:alignment vertical="bottom" wrapText="0"/>
    </x:xf>
    <x:xf numFmtId="0" fontId="13" fillId="14" borderId="0" xfId="0" applyNumberFormat="1" applyFont="1" applyFill="1" applyBorder="1" applyAlignment="1">
      <x:alignment vertical="bottom" wrapText="0"/>
    </x:xf>
    <x:xf numFmtId="0" fontId="13" fillId="14" borderId="5" xfId="0" applyNumberFormat="1" applyFont="1" applyFill="1" applyBorder="1" applyAlignment="1">
      <x:alignment vertical="bottom" wrapText="0"/>
    </x:xf>
    <x:xf numFmtId="0" fontId="14" fillId="0" borderId="0" xfId="0" applyNumberFormat="1" applyFont="1" applyFill="1" applyBorder="1" applyAlignment="1">
      <x:alignment vertical="bottom" wrapText="0"/>
    </x:xf>
    <x:xf numFmtId="0" fontId="14" fillId="0" borderId="0" xfId="0" applyNumberFormat="1" applyFont="1" applyFill="1" applyBorder="1" applyAlignment="1">
      <x:alignment vertical="bottom" wrapText="1"/>
    </x:xf>
    <x:xf numFmtId="0" fontId="14" fillId="0" borderId="5" xfId="0" applyNumberFormat="1" applyFont="1" applyFill="1" applyBorder="1" applyAlignment="1">
      <x:alignment vertical="bottom" wrapText="1"/>
    </x:xf>
    <x:xf numFmtId="0" fontId="14" fillId="15" borderId="5" xfId="0" applyNumberFormat="1" applyFont="1" applyFill="1" applyBorder="1" applyAlignment="1">
      <x:alignment vertical="bottom" wrapText="1"/>
    </x:xf>
    <x:xf numFmtId="0" fontId="0" fillId="15" borderId="0" xfId="0" applyNumberFormat="1" applyFont="1" applyFill="1" applyBorder="1" applyAlignment="1">
      <x:alignment vertical="bottom" wrapText="0"/>
    </x:xf>
    <x:xf numFmtId="0" fontId="14" fillId="15" borderId="0" xfId="0" applyNumberFormat="1" applyFont="1" applyFill="1" applyBorder="1" applyAlignment="1">
      <x:alignment vertical="bottom" wrapText="0"/>
    </x:xf>
    <x:xf numFmtId="0" fontId="14" fillId="15" borderId="0" xfId="0" applyNumberFormat="1" applyFont="1" applyFill="1" applyBorder="1" applyAlignment="1">
      <x:alignment vertical="bottom" wrapText="1"/>
    </x:xf>
    <x:xf numFmtId="0" fontId="0" fillId="16" borderId="0" xfId="0" applyNumberFormat="1" applyFont="1" applyFill="1" applyBorder="1" applyAlignment="1">
      <x:alignment vertical="bottom" wrapText="0"/>
    </x:xf>
    <x:xf numFmtId="0" fontId="15" fillId="16" borderId="0" xfId="0" applyNumberFormat="1" applyFont="1" applyFill="1" applyBorder="1" applyAlignment="1">
      <x:alignment vertical="bottom" wrapText="0"/>
    </x:xf>
    <x:xf numFmtId="0" fontId="15" fillId="16" borderId="0" xfId="0" applyNumberFormat="1" applyFont="1" applyFill="1" applyBorder="1" applyAlignment="1">
      <x:alignment vertical="bottom" wrapText="1"/>
    </x:xf>
    <x:xf numFmtId="0" fontId="15" fillId="16" borderId="0" xfId="0" applyNumberFormat="1" applyFont="1" applyFill="1" applyBorder="1" applyAlignment="1">
      <x:alignment horizontal="center" vertical="bottom" wrapText="1"/>
    </x:xf>
    <x:xf numFmtId="0" fontId="15" fillId="16" borderId="5" xfId="0" applyNumberFormat="1" applyFont="1" applyFill="1" applyBorder="1" applyAlignment="1">
      <x:alignment horizontal="center" vertical="bottom"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7b69f744a145b6" /><Relationship Type="http://schemas.openxmlformats.org/officeDocument/2006/relationships/theme" Target="/xl/theme/theme1.xml" Id="Rded6055770744aee" /><Relationship Type="http://schemas.openxmlformats.org/officeDocument/2006/relationships/sharedStrings" Target="/xl/sharedStrings.xml" Id="R9708d9736787412d" /><Relationship Type="http://schemas.openxmlformats.org/officeDocument/2006/relationships/worksheet" Target="/xl/worksheets/sheet1.xml" Id="Rf384daf3097448ce" /><Relationship Type="http://schemas.openxmlformats.org/officeDocument/2006/relationships/worksheet" Target="/xl/worksheets/sheet2.xml" Id="Rcf8926293af64cae" /><Relationship Type="http://schemas.openxmlformats.org/officeDocument/2006/relationships/worksheet" Target="/xl/worksheets/sheet3.xml" Id="R53bf2ea6d6f34276" /><Relationship Type="http://schemas.openxmlformats.org/officeDocument/2006/relationships/worksheet" Target="/xl/worksheets/sheet4.xml" Id="R5c12a78f7bd448a6" /><Relationship Type="http://schemas.openxmlformats.org/officeDocument/2006/relationships/worksheet" Target="/xl/worksheets/sheet5.xml" Id="Rb6c6397cbd4140be" /><Relationship Type="http://schemas.openxmlformats.org/officeDocument/2006/relationships/worksheet" Target="/xl/worksheets/sheet6.xml" Id="Rb502f7fb30444ce5" /><Relationship Type="http://schemas.openxmlformats.org/officeDocument/2006/relationships/worksheet" Target="/xl/worksheets/sheet7.xml" Id="Rfd5ee958614b4eb3" /><Relationship Type="http://schemas.openxmlformats.org/officeDocument/2006/relationships/worksheet" Target="/xl/worksheets/sheet8.xml" Id="R39a726f5e4274aa3" /><Relationship Type="http://schemas.openxmlformats.org/officeDocument/2006/relationships/worksheet" Target="/xl/worksheets/sheet9.xml" Id="R7c3ab5d572944cdb" /><Relationship Type="http://schemas.openxmlformats.org/officeDocument/2006/relationships/worksheet" Target="/xl/worksheets/sheet10.xml" Id="Rb65ef2a527c1449e" /><Relationship Type="http://schemas.openxmlformats.org/officeDocument/2006/relationships/worksheet" Target="/xl/worksheets/sheet11.xml" Id="R0f4aa1160b36454e" /><Relationship Type="http://schemas.openxmlformats.org/officeDocument/2006/relationships/worksheet" Target="/xl/worksheets/sheet12.xml" Id="R54ab9f9e9bb44578" /><Relationship Type="http://schemas.openxmlformats.org/officeDocument/2006/relationships/worksheet" Target="/xl/worksheets/sheet13.xml" Id="R5e23510fc6374565" /><Relationship Type="http://schemas.openxmlformats.org/officeDocument/2006/relationships/worksheet" Target="/xl/worksheets/sheet14.xml" Id="Rf07e3d1324174b55" /><Relationship Type="http://schemas.openxmlformats.org/officeDocument/2006/relationships/worksheet" Target="/xl/worksheets/sheet15.xml" Id="R579f311fa25f4e95" /><Relationship Type="http://schemas.openxmlformats.org/officeDocument/2006/relationships/worksheet" Target="/xl/worksheets/sheet16.xml" Id="Rfc71fcd21f7449c3" /><Relationship Type="http://schemas.openxmlformats.org/officeDocument/2006/relationships/worksheet" Target="/xl/worksheets/sheet17.xml" Id="R2a429f6044b340f1" /><Relationship Type="http://schemas.openxmlformats.org/officeDocument/2006/relationships/worksheet" Target="/xl/worksheets/sheet18.xml" Id="R953f79be22d44e29" /><Relationship Type="http://schemas.openxmlformats.org/officeDocument/2006/relationships/worksheet" Target="/xl/worksheets/sheet19.xml" Id="R2cc2644d33a14439" /><Relationship Type="http://schemas.openxmlformats.org/officeDocument/2006/relationships/worksheet" Target="/xl/worksheets/sheet20.xml" Id="R71f8ef38edc24a02" /><Relationship Type="http://schemas.openxmlformats.org/officeDocument/2006/relationships/worksheet" Target="/xl/worksheets/sheet21.xml" Id="R0e5d4896944841c8" /><Relationship Type="http://schemas.openxmlformats.org/officeDocument/2006/relationships/worksheet" Target="/xl/worksheets/sheet22.xml" Id="R316529d02ee44930" /><Relationship Type="http://schemas.openxmlformats.org/officeDocument/2006/relationships/worksheet" Target="/xl/worksheets/sheet23.xml" Id="R5b077cf840d649b5" /><Relationship Type="http://schemas.openxmlformats.org/officeDocument/2006/relationships/worksheet" Target="/xl/worksheets/sheet24.xml" Id="R7744c5d0dda1425e" /><Relationship Type="http://schemas.openxmlformats.org/officeDocument/2006/relationships/worksheet" Target="/xl/worksheets/sheet25.xml" Id="R6547c71c385c4b61" /><Relationship Type="http://schemas.openxmlformats.org/officeDocument/2006/relationships/worksheet" Target="/xl/worksheets/sheet26.xml" Id="R4c6ffa39d90e45de" /><Relationship Type="http://schemas.openxmlformats.org/officeDocument/2006/relationships/worksheet" Target="/xl/worksheets/sheet27.xml" Id="R8039e25f9f5d4146" /><Relationship Type="http://schemas.openxmlformats.org/officeDocument/2006/relationships/worksheet" Target="/xl/worksheets/sheet28.xml" Id="R0c8f9ac5210a4842" /><Relationship Type="http://schemas.openxmlformats.org/officeDocument/2006/relationships/worksheet" Target="/xl/worksheets/sheet29.xml" Id="Rd2983848cb4d4c94" /><Relationship Type="http://schemas.openxmlformats.org/officeDocument/2006/relationships/worksheet" Target="/xl/worksheets/sheet30.xml" Id="R7bc3f3a2d6b8429b" /><Relationship Type="http://schemas.openxmlformats.org/officeDocument/2006/relationships/worksheet" Target="/xl/worksheets/sheet31.xml" Id="Rfe26e1a134e2415b" /><Relationship Type="http://schemas.openxmlformats.org/officeDocument/2006/relationships/worksheet" Target="/xl/worksheets/sheet32.xml" Id="R08c288a3a38e4400" /><Relationship Type="http://schemas.openxmlformats.org/officeDocument/2006/relationships/worksheet" Target="/xl/worksheets/sheet33.xml" Id="R23aa4c5764a44e88" /><Relationship Type="http://schemas.openxmlformats.org/officeDocument/2006/relationships/worksheet" Target="/xl/worksheets/sheet34.xml" Id="R7f87658d5eb14e26" /><Relationship Type="http://schemas.openxmlformats.org/officeDocument/2006/relationships/worksheet" Target="/xl/worksheets/sheet35.xml" Id="Rf58e96b6bacf4a65" /><Relationship Type="http://schemas.openxmlformats.org/officeDocument/2006/relationships/worksheet" Target="/xl/worksheets/sheet36.xml" Id="Ra35e3dbed2324852" /><Relationship Type="http://schemas.openxmlformats.org/officeDocument/2006/relationships/worksheet" Target="/xl/worksheets/sheet37.xml" Id="Rffde15bd66344599" /><Relationship Type="http://schemas.openxmlformats.org/officeDocument/2006/relationships/worksheet" Target="/xl/worksheets/sheet38.xml" Id="R672b483ea94b4cd4" /><Relationship Type="http://schemas.openxmlformats.org/officeDocument/2006/relationships/worksheet" Target="/xl/worksheets/sheet39.xml" Id="Ra62f162a36c84034" /><Relationship Type="http://schemas.openxmlformats.org/officeDocument/2006/relationships/worksheet" Target="/xl/worksheets/sheet40.xml" Id="Rb19e63dcf800402c" /><Relationship Type="http://schemas.openxmlformats.org/officeDocument/2006/relationships/worksheet" Target="/xl/worksheets/sheet41.xml" Id="Rae440637e2564059" /><Relationship Type="http://schemas.openxmlformats.org/officeDocument/2006/relationships/worksheet" Target="/xl/worksheets/sheet42.xml" Id="Rc6c7a8aebbc440e8" /><Relationship Type="http://schemas.openxmlformats.org/officeDocument/2006/relationships/worksheet" Target="/xl/worksheets/sheet43.xml" Id="R14683376af404fc5" /><Relationship Type="http://schemas.openxmlformats.org/officeDocument/2006/relationships/worksheet" Target="/xl/worksheets/sheet44.xml" Id="R40975dbfb0f744ea" /><Relationship Type="http://schemas.openxmlformats.org/officeDocument/2006/relationships/worksheet" Target="/xl/worksheets/sheet45.xml" Id="Rdde04791a81b4fc8" /><Relationship Type="http://schemas.openxmlformats.org/officeDocument/2006/relationships/worksheet" Target="/xl/worksheets/sheet46.xml" Id="R4fd1bbb9885a4de2" /><Relationship Type="http://schemas.openxmlformats.org/officeDocument/2006/relationships/worksheet" Target="/xl/worksheets/sheet47.xml" Id="R1993fb7f68a940f4" /><Relationship Type="http://schemas.openxmlformats.org/officeDocument/2006/relationships/worksheet" Target="/xl/worksheets/sheet48.xml" Id="R1ab71b70b9f948f3" /><Relationship Type="http://schemas.openxmlformats.org/officeDocument/2006/relationships/worksheet" Target="/xl/worksheets/sheet49.xml" Id="R6295b4c3b10a4bc7" /><Relationship Type="http://schemas.openxmlformats.org/officeDocument/2006/relationships/worksheet" Target="/xl/worksheets/sheet50.xml" Id="Rbc5b0c0ed8b04b34" /><Relationship Type="http://schemas.openxmlformats.org/officeDocument/2006/relationships/worksheet" Target="/xl/worksheets/sheet51.xml" Id="R7b48e5dc3766460a" /><Relationship Type="http://schemas.openxmlformats.org/officeDocument/2006/relationships/worksheet" Target="/xl/worksheets/sheet52.xml" Id="R603484b26fbb4afa" /><Relationship Type="http://schemas.openxmlformats.org/officeDocument/2006/relationships/worksheet" Target="/xl/worksheets/sheet53.xml" Id="Rb64d38bcb9be4bd3" /><Relationship Type="http://schemas.openxmlformats.org/officeDocument/2006/relationships/worksheet" Target="/xl/worksheets/sheet54.xml" Id="R40449619d8a64d0f" /><Relationship Type="http://schemas.openxmlformats.org/officeDocument/2006/relationships/worksheet" Target="/xl/worksheets/sheet55.xml" Id="Rf366624f6e0b4dab" /><Relationship Type="http://schemas.openxmlformats.org/officeDocument/2006/relationships/worksheet" Target="/xl/worksheets/sheet56.xml" Id="Rdcb3594238904097" /><Relationship Type="http://schemas.microsoft.com/office/2017/10/relationships/person" Target="/xl/persons/person.xml" Id="R15b129c9a5534f6e" /></Relationships>
</file>

<file path=xl/persons/person.xml><?xml version="1.0" encoding="utf-8"?>
<xltc:personList xmlns:xltc="http://schemas.microsoft.com/office/spreadsheetml/2018/threadedcomments">
  <xltc:person displayName="Yuliia Zhmaieva" id="{D7DCD55F-953F-4BB4-AD84-A94AFC59AFE9}"/>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128" dT="2026-08-20T09:33:33" personId="{D7DCD55F-953F-4BB4-AD84-A94AFC59AFE9}" id="{BC2845CD-784B-445C-A4DD-093CBEDD78BF}">
    <xltc:text>Hi carolina.alessi@concurrences.com , file defect is fixed, thanks for the notification</xltc:text>
  </xltc:threadedComment>
</xltc:ThreadedComments>
</file>

<file path=xl/worksheets/_rels/sheet1.xml.rels>&#65279;<?xml version="1.0" encoding="utf-8"?><Relationships xmlns="http://schemas.openxmlformats.org/package/2006/relationships"><Relationship Type="http://schemas.openxmlformats.org/officeDocument/2006/relationships/hyperlink" Target="https://docs.google.com/spreadsheets/d/1VRbWxp2ykO4q5FEc_Y0KAG-My9fBGc-y/edit?gid=585722932" TargetMode="External" Id="Rdd946d34f2a14d57" /></Relationships>
</file>

<file path=xl/worksheets/_rels/sheet5.xml.rels>&#65279;<?xml version="1.0" encoding="utf-8"?><Relationships xmlns="http://schemas.openxmlformats.org/package/2006/relationships"><Relationship Type="http://schemas.openxmlformats.org/officeDocument/2006/relationships/comments" Target="/xl/comments1.xml" Id="Ra37e6b7991264198" /><Relationship Type="http://schemas.openxmlformats.org/officeDocument/2006/relationships/vmlDrawing" Target="/xl/drawings/vmldrawing.vml" Id="R27612be1009142bd" /></Relationships>
</file>

<file path=xl/worksheets/_rels/sheet6.xml.rels>&#65279;<?xml version="1.0" encoding="utf-8"?><Relationships xmlns="http://schemas.openxmlformats.org/package/2006/relationships"><Relationship Type="http://schemas.openxmlformats.org/officeDocument/2006/relationships/comments" Target="/xl/comments2.xml" Id="Rdbb6588008534b72" /><Relationship Type="http://schemas.openxmlformats.org/officeDocument/2006/relationships/vmlDrawing" Target="/xl/drawings/vmldrawing2.vml" Id="Rff6e39f25f9349f3" /></Relationships>
</file>

<file path=xl/worksheets/_rels/sheet7.xml.rels>&#65279;<?xml version="1.0" encoding="utf-8"?><Relationships xmlns="http://schemas.openxmlformats.org/package/2006/relationships"><Relationship Type="http://schemas.openxmlformats.org/officeDocument/2006/relationships/comments" Target="/xl/comments3.xml" Id="R9bd4fb34936740c4" /><Relationship Type="http://schemas.openxmlformats.org/officeDocument/2006/relationships/vmlDrawing" Target="/xl/drawings/vmldrawing3.vml" Id="Rbc7a12eadb0546bf" /></Relationships>
</file>

<file path=xl/worksheets/_rels/sheet8.xml.rels>&#65279;<?xml version="1.0" encoding="utf-8"?><Relationships xmlns="http://schemas.openxmlformats.org/package/2006/relationships"><Relationship Type="http://schemas.openxmlformats.org/officeDocument/2006/relationships/comments" Target="/xl/comments4.xml" Id="R93a898fc4f1140e1" /><Relationship Type="http://schemas.openxmlformats.org/officeDocument/2006/relationships/vmlDrawing" Target="/xl/drawings/vmldrawing4.vml" Id="Re0056808380e4d69" /></Relationships>
</file>

<file path=xl/worksheets/_rels/sheet9.xml.rels>&#65279;<?xml version="1.0" encoding="utf-8"?><Relationships xmlns="http://schemas.openxmlformats.org/package/2006/relationships"><Relationship Type="http://schemas.openxmlformats.org/officeDocument/2006/relationships/comments" Target="/xl/comments5.xml" Id="R88d61b7670834375" /><Relationship Type="http://schemas.openxmlformats.org/officeDocument/2006/relationships/vmlDrawing" Target="/xl/drawings/vmldrawing5.vml" Id="R2d5f83b837c9483d" /><Relationship Type="http://schemas.microsoft.com/office/2017/10/relationships/threadedComment" Target="/xl/threadedcomments/threadedcomment.xml" Id="R5ff5b67bed174b03" /></Relationships>
</file>

<file path=xl/worksheets/_rels/sheet10.xml.rels>&#65279;<?xml version="1.0" encoding="utf-8"?><Relationships xmlns="http://schemas.openxmlformats.org/package/2006/relationships"><Relationship Type="http://schemas.openxmlformats.org/officeDocument/2006/relationships/comments" Target="/xl/comments6.xml" Id="R6523bc3362b14b0b" /><Relationship Type="http://schemas.openxmlformats.org/officeDocument/2006/relationships/vmlDrawing" Target="/xl/drawings/vmldrawing6.vml" Id="Rdb6c5aee573c4759" /></Relationships>
</file>

<file path=xl/worksheets/_rels/sheet11.xml.rels>&#65279;<?xml version="1.0" encoding="utf-8"?><Relationships xmlns="http://schemas.openxmlformats.org/package/2006/relationships"><Relationship Type="http://schemas.openxmlformats.org/officeDocument/2006/relationships/comments" Target="/xl/comments7.xml" Id="R27965bd2e309421d" /><Relationship Type="http://schemas.openxmlformats.org/officeDocument/2006/relationships/vmlDrawing" Target="/xl/drawings/vmldrawing7.vml" Id="R050d441569da4a07" /></Relationships>
</file>

<file path=xl/worksheets/_rels/sheet12.xml.rels>&#65279;<?xml version="1.0" encoding="utf-8"?><Relationships xmlns="http://schemas.openxmlformats.org/package/2006/relationships"><Relationship Type="http://schemas.openxmlformats.org/officeDocument/2006/relationships/comments" Target="/xl/comments8.xml" Id="Rd601e7d99ff342b0" /><Relationship Type="http://schemas.openxmlformats.org/officeDocument/2006/relationships/vmlDrawing" Target="/xl/drawings/vmldrawing8.vml" Id="Rdbcc2bbbc0cf471e" /></Relationships>
</file>

<file path=xl/worksheets/_rels/sheet13.xml.rels>&#65279;<?xml version="1.0" encoding="utf-8"?><Relationships xmlns="http://schemas.openxmlformats.org/package/2006/relationships"><Relationship Type="http://schemas.openxmlformats.org/officeDocument/2006/relationships/comments" Target="/xl/comments9.xml" Id="R4bf7ce6895424194" /><Relationship Type="http://schemas.openxmlformats.org/officeDocument/2006/relationships/vmlDrawing" Target="/xl/drawings/vmldrawing9.vml" Id="Rbb589f00bceb412b" /></Relationships>
</file>

<file path=xl/worksheets/_rels/sheet14.xml.rels>&#65279;<?xml version="1.0" encoding="utf-8"?><Relationships xmlns="http://schemas.openxmlformats.org/package/2006/relationships"><Relationship Type="http://schemas.openxmlformats.org/officeDocument/2006/relationships/comments" Target="/xl/comments10.xml" Id="R025f289a0e794c22" /><Relationship Type="http://schemas.openxmlformats.org/officeDocument/2006/relationships/vmlDrawing" Target="/xl/drawings/vmldrawing10.vml" Id="Rebd8983f04774489" /></Relationships>
</file>

<file path=xl/worksheets/_rels/sheet15.xml.rels>&#65279;<?xml version="1.0" encoding="utf-8"?><Relationships xmlns="http://schemas.openxmlformats.org/package/2006/relationships"><Relationship Type="http://schemas.openxmlformats.org/officeDocument/2006/relationships/comments" Target="/xl/comments11.xml" Id="Rd89cab012f2c4075" /><Relationship Type="http://schemas.openxmlformats.org/officeDocument/2006/relationships/vmlDrawing" Target="/xl/drawings/vmldrawing11.vml" Id="R642408dfcfe644fb" /></Relationships>
</file>

<file path=xl/worksheets/_rels/sheet16.xml.rels>&#65279;<?xml version="1.0" encoding="utf-8"?><Relationships xmlns="http://schemas.openxmlformats.org/package/2006/relationships"><Relationship Type="http://schemas.openxmlformats.org/officeDocument/2006/relationships/comments" Target="/xl/comments12.xml" Id="R1e3cff2e7ad14221" /><Relationship Type="http://schemas.openxmlformats.org/officeDocument/2006/relationships/vmlDrawing" Target="/xl/drawings/vmldrawing12.vml" Id="R640bd31bbd05457d" /></Relationships>
</file>

<file path=xl/worksheets/_rels/sheet17.xml.rels>&#65279;<?xml version="1.0" encoding="utf-8"?><Relationships xmlns="http://schemas.openxmlformats.org/package/2006/relationships"><Relationship Type="http://schemas.openxmlformats.org/officeDocument/2006/relationships/comments" Target="/xl/comments13.xml" Id="R06a3b1e7c3724cc3" /><Relationship Type="http://schemas.openxmlformats.org/officeDocument/2006/relationships/vmlDrawing" Target="/xl/drawings/vmldrawing13.vml" Id="R380f1c87409943dd" /></Relationships>
</file>

<file path=xl/worksheets/_rels/sheet18.xml.rels>&#65279;<?xml version="1.0" encoding="utf-8"?><Relationships xmlns="http://schemas.openxmlformats.org/package/2006/relationships"><Relationship Type="http://schemas.openxmlformats.org/officeDocument/2006/relationships/comments" Target="/xl/comments14.xml" Id="R6eb77a57ca824622" /><Relationship Type="http://schemas.openxmlformats.org/officeDocument/2006/relationships/vmlDrawing" Target="/xl/drawings/vmldrawing14.vml" Id="R7c88ea7204ce4d79" /></Relationships>
</file>

<file path=xl/worksheets/_rels/sheet19.xml.rels>&#65279;<?xml version="1.0" encoding="utf-8"?><Relationships xmlns="http://schemas.openxmlformats.org/package/2006/relationships"><Relationship Type="http://schemas.openxmlformats.org/officeDocument/2006/relationships/comments" Target="/xl/comments15.xml" Id="R42831e3154c74439" /><Relationship Type="http://schemas.openxmlformats.org/officeDocument/2006/relationships/vmlDrawing" Target="/xl/drawings/vmldrawing15.vml" Id="R16762f1e49534f4e" /></Relationships>
</file>

<file path=xl/worksheets/_rels/sheet20.xml.rels>&#65279;<?xml version="1.0" encoding="utf-8"?><Relationships xmlns="http://schemas.openxmlformats.org/package/2006/relationships"><Relationship Type="http://schemas.openxmlformats.org/officeDocument/2006/relationships/comments" Target="/xl/comments16.xml" Id="R4c155b965bfa4814" /><Relationship Type="http://schemas.openxmlformats.org/officeDocument/2006/relationships/vmlDrawing" Target="/xl/drawings/vmldrawing16.vml" Id="R8a5e197c1b2248b2" /></Relationships>
</file>

<file path=xl/worksheets/_rels/sheet21.xml.rels>&#65279;<?xml version="1.0" encoding="utf-8"?><Relationships xmlns="http://schemas.openxmlformats.org/package/2006/relationships"><Relationship Type="http://schemas.openxmlformats.org/officeDocument/2006/relationships/comments" Target="/xl/comments17.xml" Id="R4351b2c6bb2a4043" /><Relationship Type="http://schemas.openxmlformats.org/officeDocument/2006/relationships/vmlDrawing" Target="/xl/drawings/vmldrawing17.vml" Id="R24e09c101c7345ff" /></Relationships>
</file>

<file path=xl/worksheets/_rels/sheet22.xml.rels>&#65279;<?xml version="1.0" encoding="utf-8"?><Relationships xmlns="http://schemas.openxmlformats.org/package/2006/relationships"><Relationship Type="http://schemas.openxmlformats.org/officeDocument/2006/relationships/comments" Target="/xl/comments18.xml" Id="R9eb5b3bb74824eb2" /><Relationship Type="http://schemas.openxmlformats.org/officeDocument/2006/relationships/vmlDrawing" Target="/xl/drawings/vmldrawing18.vml" Id="R47941b80b01c4c5b" /></Relationships>
</file>

<file path=xl/worksheets/_rels/sheet23.xml.rels>&#65279;<?xml version="1.0" encoding="utf-8"?><Relationships xmlns="http://schemas.openxmlformats.org/package/2006/relationships"><Relationship Type="http://schemas.openxmlformats.org/officeDocument/2006/relationships/comments" Target="/xl/comments19.xml" Id="R57c5aea8c7164612" /><Relationship Type="http://schemas.openxmlformats.org/officeDocument/2006/relationships/vmlDrawing" Target="/xl/drawings/vmldrawing19.vml" Id="Rf3a80948242242a3" /></Relationships>
</file>

<file path=xl/worksheets/_rels/sheet24.xml.rels>&#65279;<?xml version="1.0" encoding="utf-8"?><Relationships xmlns="http://schemas.openxmlformats.org/package/2006/relationships"><Relationship Type="http://schemas.openxmlformats.org/officeDocument/2006/relationships/comments" Target="/xl/comments20.xml" Id="Re2e70c593dd4425b" /><Relationship Type="http://schemas.openxmlformats.org/officeDocument/2006/relationships/vmlDrawing" Target="/xl/drawings/vmldrawing20.vml" Id="Rea0ae71c1242426d" /></Relationships>
</file>

<file path=xl/worksheets/_rels/sheet25.xml.rels>&#65279;<?xml version="1.0" encoding="utf-8"?><Relationships xmlns="http://schemas.openxmlformats.org/package/2006/relationships"><Relationship Type="http://schemas.openxmlformats.org/officeDocument/2006/relationships/comments" Target="/xl/comments21.xml" Id="Re55d007e3281481f" /><Relationship Type="http://schemas.openxmlformats.org/officeDocument/2006/relationships/vmlDrawing" Target="/xl/drawings/vmldrawing21.vml" Id="R6d4c8722337c4227" /></Relationships>
</file>

<file path=xl/worksheets/_rels/sheet26.xml.rels>&#65279;<?xml version="1.0" encoding="utf-8"?><Relationships xmlns="http://schemas.openxmlformats.org/package/2006/relationships"><Relationship Type="http://schemas.openxmlformats.org/officeDocument/2006/relationships/comments" Target="/xl/comments22.xml" Id="R365bac570b744696" /><Relationship Type="http://schemas.openxmlformats.org/officeDocument/2006/relationships/vmlDrawing" Target="/xl/drawings/vmldrawing22.vml" Id="R10c075ab9ce34d33" /></Relationships>
</file>

<file path=xl/worksheets/_rels/sheet27.xml.rels>&#65279;<?xml version="1.0" encoding="utf-8"?><Relationships xmlns="http://schemas.openxmlformats.org/package/2006/relationships"><Relationship Type="http://schemas.openxmlformats.org/officeDocument/2006/relationships/comments" Target="/xl/comments23.xml" Id="R7ed0dd0857ac4ac2" /><Relationship Type="http://schemas.openxmlformats.org/officeDocument/2006/relationships/vmlDrawing" Target="/xl/drawings/vmldrawing23.vml" Id="R8c3a16a225f94877" /></Relationships>
</file>

<file path=xl/worksheets/_rels/sheet28.xml.rels>&#65279;<?xml version="1.0" encoding="utf-8"?><Relationships xmlns="http://schemas.openxmlformats.org/package/2006/relationships"><Relationship Type="http://schemas.openxmlformats.org/officeDocument/2006/relationships/comments" Target="/xl/comments24.xml" Id="Rd4864ff93a964d3a" /><Relationship Type="http://schemas.openxmlformats.org/officeDocument/2006/relationships/vmlDrawing" Target="/xl/drawings/vmldrawing24.vml" Id="R6008988d59c9406c" /></Relationships>
</file>

<file path=xl/worksheets/_rels/sheet29.xml.rels>&#65279;<?xml version="1.0" encoding="utf-8"?><Relationships xmlns="http://schemas.openxmlformats.org/package/2006/relationships"><Relationship Type="http://schemas.openxmlformats.org/officeDocument/2006/relationships/comments" Target="/xl/comments25.xml" Id="Rec4c4ae3fb6a45c8" /><Relationship Type="http://schemas.openxmlformats.org/officeDocument/2006/relationships/vmlDrawing" Target="/xl/drawings/vmldrawing25.vml" Id="R8aa6a200ffa140b2" /></Relationships>
</file>

<file path=xl/worksheets/_rels/sheet30.xml.rels>&#65279;<?xml version="1.0" encoding="utf-8"?><Relationships xmlns="http://schemas.openxmlformats.org/package/2006/relationships"><Relationship Type="http://schemas.openxmlformats.org/officeDocument/2006/relationships/comments" Target="/xl/comments26.xml" Id="R9d293a6c36cd4be8" /><Relationship Type="http://schemas.openxmlformats.org/officeDocument/2006/relationships/vmlDrawing" Target="/xl/drawings/vmldrawing26.vml" Id="R305d4ead093f4267" /></Relationships>
</file>

<file path=xl/worksheets/_rels/sheet31.xml.rels>&#65279;<?xml version="1.0" encoding="utf-8"?><Relationships xmlns="http://schemas.openxmlformats.org/package/2006/relationships"><Relationship Type="http://schemas.openxmlformats.org/officeDocument/2006/relationships/comments" Target="/xl/comments27.xml" Id="R5952f09fbd2246f1" /><Relationship Type="http://schemas.openxmlformats.org/officeDocument/2006/relationships/vmlDrawing" Target="/xl/drawings/vmldrawing27.vml" Id="R6103468dea0c40b1" /></Relationships>
</file>

<file path=xl/worksheets/_rels/sheet32.xml.rels>&#65279;<?xml version="1.0" encoding="utf-8"?><Relationships xmlns="http://schemas.openxmlformats.org/package/2006/relationships"><Relationship Type="http://schemas.openxmlformats.org/officeDocument/2006/relationships/comments" Target="/xl/comments28.xml" Id="R5143542cb45d4714" /><Relationship Type="http://schemas.openxmlformats.org/officeDocument/2006/relationships/vmlDrawing" Target="/xl/drawings/vmldrawing28.vml" Id="R5b2e6e9e1e9d4be7" /></Relationships>
</file>

<file path=xl/worksheets/_rels/sheet33.xml.rels>&#65279;<?xml version="1.0" encoding="utf-8"?><Relationships xmlns="http://schemas.openxmlformats.org/package/2006/relationships"><Relationship Type="http://schemas.openxmlformats.org/officeDocument/2006/relationships/comments" Target="/xl/comments29.xml" Id="R4252e4c1ffc340c7" /><Relationship Type="http://schemas.openxmlformats.org/officeDocument/2006/relationships/vmlDrawing" Target="/xl/drawings/vmldrawing29.vml" Id="R22bd45076f024eaa" /></Relationships>
</file>

<file path=xl/worksheets/_rels/sheet34.xml.rels>&#65279;<?xml version="1.0" encoding="utf-8"?><Relationships xmlns="http://schemas.openxmlformats.org/package/2006/relationships"><Relationship Type="http://schemas.openxmlformats.org/officeDocument/2006/relationships/comments" Target="/xl/comments30.xml" Id="R90beaeb2b66e44f5" /><Relationship Type="http://schemas.openxmlformats.org/officeDocument/2006/relationships/vmlDrawing" Target="/xl/drawings/vmldrawing30.vml" Id="Rd60e7bbbfea74654" /></Relationships>
</file>

<file path=xl/worksheets/_rels/sheet35.xml.rels>&#65279;<?xml version="1.0" encoding="utf-8"?><Relationships xmlns="http://schemas.openxmlformats.org/package/2006/relationships"><Relationship Type="http://schemas.openxmlformats.org/officeDocument/2006/relationships/comments" Target="/xl/comments31.xml" Id="Rc085e5551d2b4e62" /><Relationship Type="http://schemas.openxmlformats.org/officeDocument/2006/relationships/vmlDrawing" Target="/xl/drawings/vmldrawing31.vml" Id="Rfad512a6122e418e" /></Relationships>
</file>

<file path=xl/worksheets/_rels/sheet36.xml.rels>&#65279;<?xml version="1.0" encoding="utf-8"?><Relationships xmlns="http://schemas.openxmlformats.org/package/2006/relationships"><Relationship Type="http://schemas.openxmlformats.org/officeDocument/2006/relationships/comments" Target="/xl/comments32.xml" Id="R1f62bf97506e4280" /><Relationship Type="http://schemas.openxmlformats.org/officeDocument/2006/relationships/vmlDrawing" Target="/xl/drawings/vmldrawing32.vml" Id="Ra1348d74e6734a4f" /></Relationships>
</file>

<file path=xl/worksheets/_rels/sheet37.xml.rels>&#65279;<?xml version="1.0" encoding="utf-8"?><Relationships xmlns="http://schemas.openxmlformats.org/package/2006/relationships"><Relationship Type="http://schemas.openxmlformats.org/officeDocument/2006/relationships/comments" Target="/xl/comments33.xml" Id="R67cf2d422c5340e9" /><Relationship Type="http://schemas.openxmlformats.org/officeDocument/2006/relationships/vmlDrawing" Target="/xl/drawings/vmldrawing33.vml" Id="Rf0ec0bb16196467c" /></Relationships>
</file>

<file path=xl/worksheets/_rels/sheet38.xml.rels>&#65279;<?xml version="1.0" encoding="utf-8"?><Relationships xmlns="http://schemas.openxmlformats.org/package/2006/relationships"><Relationship Type="http://schemas.openxmlformats.org/officeDocument/2006/relationships/comments" Target="/xl/comments34.xml" Id="R7ff9e035f89a42c1" /><Relationship Type="http://schemas.openxmlformats.org/officeDocument/2006/relationships/vmlDrawing" Target="/xl/drawings/vmldrawing34.vml" Id="Rbb2385cf867c4f84" /></Relationships>
</file>

<file path=xl/worksheets/_rels/sheet39.xml.rels>&#65279;<?xml version="1.0" encoding="utf-8"?><Relationships xmlns="http://schemas.openxmlformats.org/package/2006/relationships"><Relationship Type="http://schemas.openxmlformats.org/officeDocument/2006/relationships/comments" Target="/xl/comments35.xml" Id="Rbe237decbb9a42f6" /><Relationship Type="http://schemas.openxmlformats.org/officeDocument/2006/relationships/vmlDrawing" Target="/xl/drawings/vmldrawing35.vml" Id="R4040fba9b2c14250" /></Relationships>
</file>

<file path=xl/worksheets/_rels/sheet40.xml.rels>&#65279;<?xml version="1.0" encoding="utf-8"?><Relationships xmlns="http://schemas.openxmlformats.org/package/2006/relationships"><Relationship Type="http://schemas.openxmlformats.org/officeDocument/2006/relationships/comments" Target="/xl/comments36.xml" Id="R88c870c5806641ce" /><Relationship Type="http://schemas.openxmlformats.org/officeDocument/2006/relationships/vmlDrawing" Target="/xl/drawings/vmldrawing36.vml" Id="R65b015484b7a4504" /></Relationships>
</file>

<file path=xl/worksheets/_rels/sheet41.xml.rels>&#65279;<?xml version="1.0" encoding="utf-8"?><Relationships xmlns="http://schemas.openxmlformats.org/package/2006/relationships"><Relationship Type="http://schemas.openxmlformats.org/officeDocument/2006/relationships/comments" Target="/xl/comments37.xml" Id="R9c0bd010238a4822" /><Relationship Type="http://schemas.openxmlformats.org/officeDocument/2006/relationships/vmlDrawing" Target="/xl/drawings/vmldrawing37.vml" Id="Rc7e60f0393724e17" /></Relationships>
</file>

<file path=xl/worksheets/_rels/sheet42.xml.rels>&#65279;<?xml version="1.0" encoding="utf-8"?><Relationships xmlns="http://schemas.openxmlformats.org/package/2006/relationships"><Relationship Type="http://schemas.openxmlformats.org/officeDocument/2006/relationships/comments" Target="/xl/comments38.xml" Id="R0c760877d13d4a9f" /><Relationship Type="http://schemas.openxmlformats.org/officeDocument/2006/relationships/vmlDrawing" Target="/xl/drawings/vmldrawing38.vml" Id="R8436973b685441fb" /></Relationships>
</file>

<file path=xl/worksheets/_rels/sheet43.xml.rels>&#65279;<?xml version="1.0" encoding="utf-8"?><Relationships xmlns="http://schemas.openxmlformats.org/package/2006/relationships"><Relationship Type="http://schemas.openxmlformats.org/officeDocument/2006/relationships/comments" Target="/xl/comments39.xml" Id="R3be1febcec9c48e2" /><Relationship Type="http://schemas.openxmlformats.org/officeDocument/2006/relationships/vmlDrawing" Target="/xl/drawings/vmldrawing39.vml" Id="Rb6126e2128994169" /></Relationships>
</file>

<file path=xl/worksheets/_rels/sheet44.xml.rels>&#65279;<?xml version="1.0" encoding="utf-8"?><Relationships xmlns="http://schemas.openxmlformats.org/package/2006/relationships"><Relationship Type="http://schemas.openxmlformats.org/officeDocument/2006/relationships/comments" Target="/xl/comments40.xml" Id="Rc3d14c83f22a4050" /><Relationship Type="http://schemas.openxmlformats.org/officeDocument/2006/relationships/vmlDrawing" Target="/xl/drawings/vmldrawing40.vml" Id="R8af29eebd6d24aaa" /></Relationships>
</file>

<file path=xl/worksheets/_rels/sheet45.xml.rels>&#65279;<?xml version="1.0" encoding="utf-8"?><Relationships xmlns="http://schemas.openxmlformats.org/package/2006/relationships"><Relationship Type="http://schemas.openxmlformats.org/officeDocument/2006/relationships/comments" Target="/xl/comments41.xml" Id="Rfda2875f82154833" /><Relationship Type="http://schemas.openxmlformats.org/officeDocument/2006/relationships/vmlDrawing" Target="/xl/drawings/vmldrawing41.vml" Id="Rbc19c95f9b024fdf" /></Relationships>
</file>

<file path=xl/worksheets/_rels/sheet46.xml.rels>&#65279;<?xml version="1.0" encoding="utf-8"?><Relationships xmlns="http://schemas.openxmlformats.org/package/2006/relationships"><Relationship Type="http://schemas.openxmlformats.org/officeDocument/2006/relationships/comments" Target="/xl/comments42.xml" Id="R83bc1c8d87f3491d" /><Relationship Type="http://schemas.openxmlformats.org/officeDocument/2006/relationships/vmlDrawing" Target="/xl/drawings/vmldrawing42.vml" Id="R40a38341e82345ce" /></Relationships>
</file>

<file path=xl/worksheets/_rels/sheet47.xml.rels>&#65279;<?xml version="1.0" encoding="utf-8"?><Relationships xmlns="http://schemas.openxmlformats.org/package/2006/relationships"><Relationship Type="http://schemas.openxmlformats.org/officeDocument/2006/relationships/comments" Target="/xl/comments43.xml" Id="Rf073d96443ff4b54" /><Relationship Type="http://schemas.openxmlformats.org/officeDocument/2006/relationships/vmlDrawing" Target="/xl/drawings/vmldrawing43.vml" Id="Rf772049ffbd744ac" /></Relationships>
</file>

<file path=xl/worksheets/_rels/sheet48.xml.rels>&#65279;<?xml version="1.0" encoding="utf-8"?><Relationships xmlns="http://schemas.openxmlformats.org/package/2006/relationships"><Relationship Type="http://schemas.openxmlformats.org/officeDocument/2006/relationships/comments" Target="/xl/comments44.xml" Id="R2c47d2bca8824cb9" /><Relationship Type="http://schemas.openxmlformats.org/officeDocument/2006/relationships/vmlDrawing" Target="/xl/drawings/vmldrawing44.vml" Id="R0aacf401d6bd4110" /></Relationships>
</file>

<file path=xl/worksheets/_rels/sheet49.xml.rels>&#65279;<?xml version="1.0" encoding="utf-8"?><Relationships xmlns="http://schemas.openxmlformats.org/package/2006/relationships"><Relationship Type="http://schemas.openxmlformats.org/officeDocument/2006/relationships/comments" Target="/xl/comments45.xml" Id="R5adfa408e1244267" /><Relationship Type="http://schemas.openxmlformats.org/officeDocument/2006/relationships/vmlDrawing" Target="/xl/drawings/vmldrawing45.vml" Id="R421da6197fd94893" /></Relationships>
</file>

<file path=xl/worksheets/_rels/sheet50.xml.rels>&#65279;<?xml version="1.0" encoding="utf-8"?><Relationships xmlns="http://schemas.openxmlformats.org/package/2006/relationships"><Relationship Type="http://schemas.openxmlformats.org/officeDocument/2006/relationships/comments" Target="/xl/comments46.xml" Id="R70830e170c54443f" /><Relationship Type="http://schemas.openxmlformats.org/officeDocument/2006/relationships/vmlDrawing" Target="/xl/drawings/vmldrawing46.vml" Id="Rf3fbee86078d4ddb" /></Relationships>
</file>

<file path=xl/worksheets/_rels/sheet51.xml.rels>&#65279;<?xml version="1.0" encoding="utf-8"?><Relationships xmlns="http://schemas.openxmlformats.org/package/2006/relationships"><Relationship Type="http://schemas.openxmlformats.org/officeDocument/2006/relationships/comments" Target="/xl/comments47.xml" Id="R911a10057aef49b5" /><Relationship Type="http://schemas.openxmlformats.org/officeDocument/2006/relationships/vmlDrawing" Target="/xl/drawings/vmldrawing47.vml" Id="R22e0e1710b804d84" /></Relationships>
</file>

<file path=xl/worksheets/_rels/sheet52.xml.rels>&#65279;<?xml version="1.0" encoding="utf-8"?><Relationships xmlns="http://schemas.openxmlformats.org/package/2006/relationships"><Relationship Type="http://schemas.openxmlformats.org/officeDocument/2006/relationships/comments" Target="/xl/comments48.xml" Id="Ra01a0a8588fa4ea7" /><Relationship Type="http://schemas.openxmlformats.org/officeDocument/2006/relationships/vmlDrawing" Target="/xl/drawings/vmldrawing48.vml" Id="R58d7e300ec724f62" /></Relationships>
</file>

<file path=xl/worksheets/_rels/sheet53.xml.rels>&#65279;<?xml version="1.0" encoding="utf-8"?><Relationships xmlns="http://schemas.openxmlformats.org/package/2006/relationships"><Relationship Type="http://schemas.openxmlformats.org/officeDocument/2006/relationships/comments" Target="/xl/comments49.xml" Id="R22233c7e0232438e" /><Relationship Type="http://schemas.openxmlformats.org/officeDocument/2006/relationships/vmlDrawing" Target="/xl/drawings/vmldrawing49.vml" Id="R69c825caff2148cc" /></Relationships>
</file>

<file path=xl/worksheets/_rels/sheet54.xml.rels>&#65279;<?xml version="1.0" encoding="utf-8"?><Relationships xmlns="http://schemas.openxmlformats.org/package/2006/relationships"><Relationship Type="http://schemas.openxmlformats.org/officeDocument/2006/relationships/comments" Target="/xl/comments50.xml" Id="Rae0214e711b443e8" /><Relationship Type="http://schemas.openxmlformats.org/officeDocument/2006/relationships/vmlDrawing" Target="/xl/drawings/vmldrawing50.vml" Id="Re97d708b911b4327" /></Relationships>
</file>

<file path=xl/worksheets/_rels/sheet55.xml.rels>&#65279;<?xml version="1.0" encoding="utf-8"?><Relationships xmlns="http://schemas.openxmlformats.org/package/2006/relationships"><Relationship Type="http://schemas.openxmlformats.org/officeDocument/2006/relationships/comments" Target="/xl/comments51.xml" Id="R56bb2c7149024c58" /><Relationship Type="http://schemas.openxmlformats.org/officeDocument/2006/relationships/vmlDrawing" Target="/xl/drawings/vmldrawing51.vml" Id="R05a034bb297142a9" /></Relationships>
</file>

<file path=xl/worksheets/_rels/sheet56.xml.rels>&#65279;<?xml version="1.0" encoding="utf-8"?><Relationships xmlns="http://schemas.openxmlformats.org/package/2006/relationships"><Relationship Type="http://schemas.openxmlformats.org/officeDocument/2006/relationships/comments" Target="/xl/comments52.xml" Id="R4586c3f79ab64fbe" /><Relationship Type="http://schemas.openxmlformats.org/officeDocument/2006/relationships/vmlDrawing" Target="/xl/drawings/vmldrawing52.vml" Id="R67749ff183ef41bf" /></Relationships>
</file>

<file path=xl/worksheets/sheet1.xml><?xml version="1.0" encoding="utf-8"?>
<x:worksheet xmlns:x="http://schemas.openxmlformats.org/spreadsheetml/2006/main">
  <x:sheetViews>
    <x:sheetView showGridLines="0" workbookViewId="0"/>
  </x:sheetViews>
  <x:sheetFormatPr defaultColWidth="14.430000305175781" defaultRowHeight="15"/>
  <x:cols>
    <x:col min="1" max="1" width="38.56999969482422" customWidth="1"/>
    <x:col min="2" max="5" width="18" customWidth="1"/>
    <x:col min="6" max="6" width="33.709999084472656" customWidth="1"/>
    <x:col min="7" max="26" width="8.710000038146973" customWidth="1"/>
  </x:cols>
  <x:sheetData>
    <x:row r="1" ht="27.75" customHeight="1">
      <x:c r="A1" s="2" t="s">
        <x:v>0</x:v>
      </x:c>
      <x:c r="B1" s="4"/>
      <x:c r="C1" s="4"/>
      <x:c r="D1" s="4"/>
      <x:c r="E1" s="4"/>
      <x:c r="F1" s="5"/>
    </x:row>
    <x:row r="3">
      <x:c r="A3" s="6" t="s">
        <x:v>1</x:v>
      </x:c>
      <x:c r="B3" s="12" t="s">
        <x:v>2</x:v>
      </x:c>
    </x:row>
    <x:row r="5">
      <x:c r="A5" s="6" t="s">
        <x:v>3</x:v>
      </x:c>
    </x:row>
    <x:row r="6">
      <x:c r="A6" s="14" t="s">
        <x:v>4</x:v>
      </x:c>
      <x:c r="B6" s="7"/>
      <x:c r="C6" s="7"/>
      <x:c r="D6" s="7"/>
      <x:c r="E6" s="7"/>
      <x:c r="F6" s="7"/>
    </x:row>
    <x:row r="7">
      <x:c r="A7" s="14" t="s">
        <x:v>5</x:v>
      </x:c>
      <x:c r="B7" s="7"/>
      <x:c r="C7" s="7"/>
      <x:c r="D7" s="7"/>
      <x:c r="E7" s="7"/>
      <x:c r="F7" s="7"/>
    </x:row>
    <x:row r="8">
      <x:c r="A8" s="14" t="s">
        <x:v>6</x:v>
      </x:c>
      <x:c r="B8" s="7"/>
      <x:c r="C8" s="7"/>
      <x:c r="D8" s="7"/>
      <x:c r="E8" s="7"/>
      <x:c r="F8" s="7"/>
    </x:row>
    <x:row r="9">
      <x:c r="A9" s="14" t="s">
        <x:v>7</x:v>
      </x:c>
      <x:c r="B9" s="7"/>
      <x:c r="C9" s="7"/>
      <x:c r="D9" s="7"/>
      <x:c r="E9" s="7"/>
      <x:c r="F9" s="7"/>
    </x:row>
    <x:row r="10">
      <x:c r="A10" s="14" t="s">
        <x:v>8</x:v>
      </x:c>
      <x:c r="B10" s="7"/>
      <x:c r="C10" s="7"/>
      <x:c r="D10" s="7"/>
      <x:c r="E10" s="7"/>
      <x:c r="F10" s="7"/>
    </x:row>
    <x:row r="11">
      <x:c r="A11" s="14" t="s">
        <x:v>9</x:v>
      </x:c>
      <x:c r="B11" s="7"/>
      <x:c r="C11" s="7"/>
      <x:c r="D11" s="7"/>
      <x:c r="E11" s="7"/>
      <x:c r="F11" s="7"/>
    </x:row>
    <x:row r="12">
      <x:c r="A12" s="14" t="s">
        <x:v>10</x:v>
      </x:c>
    </x:row>
    <x:row r="15">
      <x:c r="A15" s="6" t="s">
        <x:v>11</x:v>
      </x:c>
    </x:row>
    <x:row r="16">
      <x:c r="A16" s="13" t="s">
        <x:v>12</x:v>
      </x:c>
      <x:c r="B16" s="15">
        <x:v>46251.0</x:v>
      </x:c>
    </x:row>
    <x:row r="17">
      <x:c r="A17" s="13" t="s">
        <x:v>13</x:v>
      </x:c>
      <x:c r="B17" s="16" t="s">
        <x:v>14</x:v>
      </x:c>
    </x:row>
    <x:row r="19">
      <x:c r="A19" s="18" t="s">
        <x:v>15</x:v>
      </x:c>
    </x:row>
    <x:row r="20">
      <x:c r="A20" s="19" t="s">
        <x:v>16</x:v>
      </x:c>
    </x:row>
    <x:row r="21">
      <x:c r="A21" s="19" t="s">
        <x:v>17</x:v>
      </x:c>
    </x:row>
    <x:row r="22" ht="15.75" customHeight="1">
      <x:c r="A22" s="19" t="s">
        <x:v>18</x:v>
      </x:c>
    </x:row>
    <x:row r="23" ht="15.75" customHeight="1">
      <x:c r="A23" s="19" t="s">
        <x:v>19</x:v>
      </x:c>
    </x:row>
    <x:row r="24" ht="15.75" customHeight="1">
      <x:c r="A24" s="19" t="s">
        <x:v>20</x:v>
      </x:c>
    </x:row>
    <x:row r="25" ht="15.75" customHeight="1">
      <x:c r="A25" s="19" t="s">
        <x:v>21</x:v>
      </x:c>
    </x:row>
    <x:row r="26" ht="15.75" customHeight="1">
      <x:c r="A26" s="19" t="s">
        <x:v>22</x:v>
      </x:c>
    </x:row>
    <x:row r="27" ht="15.75" customHeight="1">
      <x:c r="A27" s="19" t="s">
        <x:v>23</x:v>
      </x:c>
    </x:row>
    <x:row r="28" ht="15.75" customHeight="1">
      <x:c r="A28" s="19" t="s">
        <x:v>24</x:v>
      </x:c>
    </x:row>
    <x:row r="29" ht="15.75" customHeight="1">
      <x:c r="A29" s="19" t="s">
        <x:v>25</x:v>
      </x:c>
    </x:row>
    <x:row r="30" ht="15.75" customHeight="1"/>
    <x:row r="31" ht="15.75" customHeight="1">
      <x:c r="A31" s="18" t="s">
        <x:v>26</x:v>
      </x:c>
    </x:row>
    <x:row r="32" ht="15.75" customHeight="1">
      <x:c r="A32" s="19" t="s">
        <x:v>27</x:v>
      </x:c>
    </x:row>
    <x:row r="33" ht="15.75" customHeight="1">
      <x:c r="A33" s="19" t="s">
        <x:v>28</x:v>
      </x:c>
    </x:row>
    <x:row r="34" ht="15.75" customHeight="1">
      <x:c r="A34" s="19" t="s">
        <x:v>29</x:v>
      </x:c>
    </x:row>
    <x:row r="35" ht="15.75" customHeight="1">
      <x:c r="A35" s="19" t="s">
        <x:v>30</x:v>
      </x:c>
    </x:row>
    <x:row r="36" ht="15.75" customHeight="1">
      <x:c r="A36" s="19" t="s">
        <x:v>31</x:v>
      </x:c>
    </x:row>
    <x:row r="37" ht="15.75" customHeight="1">
      <x:c r="A37" s="19" t="s">
        <x:v>32</x:v>
      </x:c>
    </x:row>
    <x:row r="38" ht="15.75" customHeight="1">
      <x:c r="A38" s="19" t="s">
        <x:v>33</x:v>
      </x:c>
    </x:row>
    <x:row r="39" ht="15.75" customHeight="1">
      <x:c r="A39" s="19" t="s">
        <x:v>34</x:v>
      </x:c>
    </x:row>
    <x:row r="40" ht="15.75" customHeight="1">
      <x:c r="A40" s="19" t="s">
        <x:v>35</x:v>
      </x:c>
    </x:row>
    <x:row r="41" ht="15.75" customHeight="1">
      <x:c r="A41" s="19" t="s">
        <x:v>36</x:v>
      </x:c>
    </x:row>
    <x:row r="42" ht="15.75" customHeight="1">
      <x:c r="A42" s="19" t="s">
        <x:v>37</x:v>
      </x:c>
    </x:row>
    <x:row r="43" ht="15.75" customHeight="1">
      <x:c r="A43" s="19" t="s">
        <x:v>38</x:v>
      </x:c>
    </x:row>
    <x:row r="44" ht="15.75" customHeight="1">
      <x:c r="A44" s="19" t="s">
        <x:v>39</x:v>
      </x:c>
    </x:row>
    <x:row r="45" ht="15.75" customHeight="1">
      <x:c r="A45" s="19" t="s">
        <x:v>40</x:v>
      </x:c>
    </x:row>
    <x:row r="46" ht="15.75" customHeight="1">
      <x:c r="A46" s="19" t="s">
        <x:v>41</x:v>
      </x:c>
    </x:row>
    <x:row r="47" ht="15.75" customHeight="1">
      <x:c r="A47" s="19" t="s">
        <x:v>42</x:v>
      </x:c>
    </x:row>
    <x:row r="48" ht="15.75" customHeight="1">
      <x:c r="A48" s="19" t="s">
        <x:v>43</x:v>
      </x:c>
    </x:row>
    <x:row r="49" ht="15.75" customHeight="1">
      <x:c r="A49" s="19" t="s">
        <x:v>44</x:v>
      </x:c>
    </x:row>
    <x:row r="50" ht="15.75" customHeight="1">
      <x:c r="A50" s="19" t="s">
        <x:v>45</x:v>
      </x:c>
    </x:row>
    <x:row r="51" ht="15.75" customHeight="1">
      <x:c r="A51" s="19" t="s">
        <x:v>46</x:v>
      </x:c>
    </x:row>
    <x:row r="52" ht="15.75" customHeight="1">
      <x:c r="A52" s="19" t="s">
        <x:v>47</x:v>
      </x:c>
    </x:row>
    <x:row r="53" ht="15.75" customHeight="1">
      <x:c r="A53" s="20" t="s">
        <x:v>48</x:v>
      </x:c>
    </x:row>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sheetData>
  <x:mergeCells>
    <x:mergeCell ref="A1:F1"/>
    <x:mergeCell ref="B3:F3"/>
  </x:mergeCells>
  <x:hyperlinks>
    <x:hyperlink xmlns:r="http://schemas.openxmlformats.org/officeDocument/2006/relationships" ref="B3" r:id="Rdd946d34f2a14d57"/>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4.430000305175781" defaultRowHeight="15"/>
  <x:cols>
    <x:col min="1" max="1" width="12" customWidth="1"/>
    <x:col min="2" max="2" width="28" customWidth="1"/>
    <x:col min="3" max="3" width="14" customWidth="1"/>
    <x:col min="4" max="4" width="70" customWidth="1"/>
    <x:col min="5" max="5" width="21.43000030517578" customWidth="1"/>
    <x:col min="6" max="7" width="18" customWidth="1"/>
    <x:col min="8" max="8" width="72.86000061035156" customWidth="1"/>
    <x:col min="9" max="9" width="12" customWidth="1"/>
    <x:col min="10" max="23" width="8.710000038146973" customWidth="1"/>
  </x:cols>
  <x:sheetData>
    <x:row r="1" ht="27.75" customHeight="1">
      <x:c r="A1" s="3" t="s">
        <x:v>49</x:v>
      </x:c>
      <x:c r="B1" s="4"/>
      <x:c r="C1" s="4"/>
      <x:c r="D1" s="4"/>
      <x:c r="E1" s="4"/>
      <x:c r="F1" s="4"/>
      <x:c r="G1" s="4"/>
      <x:c r="H1" s="4"/>
      <x:c r="I1" s="5"/>
    </x:row>
    <x:row r="2">
      <x:c r="A2" s="7"/>
      <x:c r="B2" s="7"/>
      <x:c r="C2" s="7"/>
      <x:c r="D2" s="7"/>
      <x:c r="E2" s="7"/>
      <x:c r="F2" s="7"/>
      <x:c r="G2" s="7"/>
      <x:c r="H2" s="7"/>
      <x:c r="I2" s="7"/>
    </x:row>
    <x:row r="3">
      <x:c r="A3" s="9" t="s">
        <x:v>50</x:v>
      </x:c>
      <x:c r="B3" s="9" t="s">
        <x:v>51</x:v>
      </x:c>
      <x:c r="C3" s="9" t="s">
        <x:v>52</x:v>
      </x:c>
      <x:c r="D3" s="9" t="s">
        <x:v>53</x:v>
      </x:c>
      <x:c r="E3" s="9" t="s">
        <x:v>54</x:v>
      </x:c>
      <x:c r="F3" s="11" t="s">
        <x:v>55</x:v>
      </x:c>
      <x:c r="G3" s="9" t="s">
        <x:v>56</x:v>
      </x:c>
      <x:c r="H3" s="9" t="s">
        <x:v>57</x:v>
      </x:c>
      <x:c r="I3" s="9" t="s">
        <x:v>58</x:v>
      </x:c>
    </x:row>
    <x:row r="4">
      <x:c r="A4" s="10">
        <x:v>1.0</x:v>
      </x:c>
      <x:c r="B4" s="13" t="s">
        <x:v>59</x:v>
      </x:c>
      <x:c r="C4" s="13" t="s">
        <x:v>60</x:v>
      </x:c>
      <x:c r="D4" s="13" t="s">
        <x:v>61</x:v>
      </x:c>
      <x:c r="E4" s="13"/>
      <x:c r="F4" s="13"/>
      <x:c r="G4" s="13"/>
      <x:c r="H4" s="13"/>
      <x:c r="I4" s="17"/>
    </x:row>
    <x:row r="5">
      <x:c r="A5" s="10">
        <x:v>2.0</x:v>
      </x:c>
      <x:c r="B5" s="13" t="s">
        <x:v>62</x:v>
      </x:c>
      <x:c r="C5" s="13" t="s">
        <x:v>60</x:v>
      </x:c>
      <x:c r="D5" s="13" t="s">
        <x:v>63</x:v>
      </x:c>
      <x:c r="E5" s="13"/>
      <x:c r="F5" s="13"/>
      <x:c r="G5" s="13"/>
      <x:c r="H5" s="13"/>
      <x:c r="I5" s="17"/>
    </x:row>
    <x:row r="6">
      <x:c r="A6" s="10">
        <x:v>3.0</x:v>
      </x:c>
      <x:c r="B6" s="13" t="s">
        <x:v>64</x:v>
      </x:c>
      <x:c r="C6" s="13" t="s">
        <x:v>65</x:v>
      </x:c>
      <x:c r="D6" s="13" t="s">
        <x:v>66</x:v>
      </x:c>
      <x:c r="E6" s="13"/>
      <x:c r="F6" s="13"/>
      <x:c r="G6" s="13"/>
      <x:c r="H6" s="13"/>
      <x:c r="I6" s="17"/>
    </x:row>
    <x:row r="7">
      <x:c r="A7" s="10">
        <x:v>4.0</x:v>
      </x:c>
      <x:c r="B7" s="13" t="s">
        <x:v>67</x:v>
      </x:c>
      <x:c r="C7" s="13" t="s">
        <x:v>68</x:v>
      </x:c>
      <x:c r="D7" s="13" t="s">
        <x:v>69</x:v>
      </x:c>
      <x:c r="E7" s="13"/>
      <x:c r="F7" s="13"/>
      <x:c r="G7" s="13"/>
      <x:c r="H7" s="13"/>
      <x:c r="I7" s="17"/>
    </x:row>
    <x:row r="8" ht="54" customHeight="1">
      <x:c r="A8" s="10">
        <x:v>5.0</x:v>
      </x:c>
      <x:c r="B8" s="13" t="s">
        <x:v>70</x:v>
      </x:c>
      <x:c r="C8" s="13" t="s">
        <x:v>68</x:v>
      </x:c>
      <x:c r="D8" s="13" t="s">
        <x:v>71</x:v>
      </x:c>
      <x:c r="E8" s="13"/>
      <x:c r="F8" s="13"/>
      <x:c r="G8" s="13"/>
      <x:c r="H8" s="13"/>
      <x:c r="I8" s="17"/>
    </x:row>
    <x:row r="9" ht="54" customHeight="1">
      <x:c r="A9" s="10">
        <x:v>6.0</x:v>
      </x:c>
      <x:c r="B9" s="13" t="s">
        <x:v>72</x:v>
      </x:c>
      <x:c r="C9" s="13" t="s">
        <x:v>68</x:v>
      </x:c>
      <x:c r="D9" s="13" t="s">
        <x:v>73</x:v>
      </x:c>
      <x:c r="E9" s="13"/>
      <x:c r="F9" s="13"/>
      <x:c r="G9" s="13"/>
      <x:c r="H9" s="13"/>
      <x:c r="I9" s="17"/>
    </x:row>
    <x:row r="10" ht="54" customHeight="1">
      <x:c r="A10" s="10">
        <x:v>7.0</x:v>
      </x:c>
      <x:c r="B10" s="13" t="s">
        <x:v>74</x:v>
      </x:c>
      <x:c r="C10" s="13" t="s">
        <x:v>75</x:v>
      </x:c>
      <x:c r="D10" s="13" t="s">
        <x:v>76</x:v>
      </x:c>
      <x:c r="E10" s="13"/>
      <x:c r="F10" s="13"/>
      <x:c r="G10" s="13"/>
      <x:c r="H10" s="13"/>
      <x:c r="I10" s="17"/>
    </x:row>
    <x:row r="11" ht="54" customHeight="1">
      <x:c r="A11" s="10">
        <x:v>8.0</x:v>
      </x:c>
      <x:c r="B11" s="13" t="s">
        <x:v>77</x:v>
      </x:c>
      <x:c r="C11" s="13" t="s">
        <x:v>60</x:v>
      </x:c>
      <x:c r="D11" s="13" t="s">
        <x:v>78</x:v>
      </x:c>
      <x:c r="E11" s="13"/>
      <x:c r="F11" s="13"/>
      <x:c r="G11" s="13"/>
      <x:c r="H11" s="13"/>
      <x:c r="I11" s="17"/>
    </x:row>
    <x:row r="12" ht="54" customHeight="1">
      <x:c r="A12" s="10">
        <x:v>9.0</x:v>
      </x:c>
      <x:c r="B12" s="13" t="s">
        <x:v>79</x:v>
      </x:c>
      <x:c r="C12" s="13" t="s">
        <x:v>80</x:v>
      </x:c>
      <x:c r="D12" s="13" t="s">
        <x:v>81</x:v>
      </x:c>
      <x:c r="E12" s="13"/>
      <x:c r="F12" s="13"/>
      <x:c r="G12" s="13"/>
      <x:c r="H12" s="13"/>
      <x:c r="I12" s="17"/>
    </x:row>
    <x:row r="13" ht="54" customHeight="1">
      <x:c r="A13" s="10">
        <x:v>10.0</x:v>
      </x:c>
      <x:c r="B13" s="13" t="s">
        <x:v>82</x:v>
      </x:c>
      <x:c r="C13" s="13" t="s">
        <x:v>83</x:v>
      </x:c>
      <x:c r="D13" s="13" t="s">
        <x:v>84</x:v>
      </x:c>
      <x:c r="E13" s="13"/>
      <x:c r="F13" s="13"/>
      <x:c r="G13" s="13"/>
      <x:c r="H13" s="13"/>
      <x:c r="I13" s="17"/>
    </x:row>
    <x:row r="14" ht="54" customHeight="1">
      <x:c r="A14" s="10">
        <x:v>11.0</x:v>
      </x:c>
      <x:c r="B14" s="13" t="s">
        <x:v>85</x:v>
      </x:c>
      <x:c r="C14" s="13" t="s">
        <x:v>60</x:v>
      </x:c>
      <x:c r="D14" s="13" t="s">
        <x:v>86</x:v>
      </x:c>
      <x:c r="E14" s="13"/>
      <x:c r="F14" s="13"/>
      <x:c r="G14" s="13"/>
      <x:c r="H14" s="13"/>
      <x:c r="I14" s="17"/>
    </x:row>
    <x:row r="15" ht="54" customHeight="1">
      <x:c r="A15" s="10">
        <x:v>12.0</x:v>
      </x:c>
      <x:c r="B15" s="13" t="s">
        <x:v>87</x:v>
      </x:c>
      <x:c r="C15" s="13" t="s">
        <x:v>88</x:v>
      </x:c>
      <x:c r="D15" s="13" t="s">
        <x:v>89</x:v>
      </x:c>
      <x:c r="E15" s="13"/>
      <x:c r="F15" s="13"/>
      <x:c r="G15" s="13"/>
      <x:c r="H15" s="13"/>
      <x:c r="I15" s="17"/>
    </x:row>
    <x:row r="16" ht="54" customHeight="1">
      <x:c r="A16" s="10">
        <x:v>13.0</x:v>
      </x:c>
      <x:c r="B16" s="13" t="s">
        <x:v>90</x:v>
      </x:c>
      <x:c r="C16" s="13" t="s">
        <x:v>88</x:v>
      </x:c>
      <x:c r="D16" s="13" t="s">
        <x:v>91</x:v>
      </x:c>
      <x:c r="E16" s="13"/>
      <x:c r="F16" s="13"/>
      <x:c r="G16" s="13"/>
      <x:c r="H16" s="13"/>
      <x:c r="I16" s="17"/>
    </x:row>
    <x:row r="17" ht="54" customHeight="1">
      <x:c r="A17" s="10">
        <x:v>14.0</x:v>
      </x:c>
      <x:c r="B17" s="13" t="s">
        <x:v>92</x:v>
      </x:c>
      <x:c r="C17" s="13" t="s">
        <x:v>88</x:v>
      </x:c>
      <x:c r="D17" s="13" t="s">
        <x:v>93</x:v>
      </x:c>
      <x:c r="E17" s="13"/>
      <x:c r="F17" s="13"/>
      <x:c r="G17" s="13"/>
      <x:c r="H17" s="13"/>
      <x:c r="I17" s="17"/>
    </x:row>
    <x:row r="18">
      <x:c r="A18" s="10">
        <x:v>15.0</x:v>
      </x:c>
      <x:c r="B18" s="13" t="s">
        <x:v>87</x:v>
      </x:c>
      <x:c r="C18" s="13" t="s">
        <x:v>75</x:v>
      </x:c>
      <x:c r="D18" s="13" t="s">
        <x:v>94</x:v>
      </x:c>
      <x:c r="E18" s="13"/>
      <x:c r="F18" s="13"/>
      <x:c r="G18" s="13"/>
      <x:c r="H18" s="13"/>
      <x:c r="I18" s="17"/>
    </x:row>
    <x:row r="19" ht="54" customHeight="1">
      <x:c r="A19" s="10">
        <x:v>16.0</x:v>
      </x:c>
      <x:c r="B19" s="13" t="s">
        <x:v>90</x:v>
      </x:c>
      <x:c r="C19" s="13" t="s">
        <x:v>75</x:v>
      </x:c>
      <x:c r="D19" s="13" t="s">
        <x:v>95</x:v>
      </x:c>
      <x:c r="E19" s="13"/>
      <x:c r="F19" s="13"/>
      <x:c r="G19" s="13"/>
      <x:c r="H19" s="13"/>
      <x:c r="I19" s="17"/>
    </x:row>
    <x:row r="20" ht="54" customHeight="1">
      <x:c r="A20" s="10">
        <x:v>17.0</x:v>
      </x:c>
      <x:c r="B20" s="13" t="s">
        <x:v>92</x:v>
      </x:c>
      <x:c r="C20" s="13" t="s">
        <x:v>75</x:v>
      </x:c>
      <x:c r="D20" s="13" t="s">
        <x:v>96</x:v>
      </x:c>
      <x:c r="E20" s="13"/>
      <x:c r="F20" s="13"/>
      <x:c r="G20" s="13"/>
      <x:c r="H20" s="13"/>
      <x:c r="I20" s="17"/>
    </x:row>
    <x:row r="21" ht="54" customHeight="1">
      <x:c r="A21" s="10">
        <x:v>18.0</x:v>
      </x:c>
      <x:c r="B21" s="13" t="s">
        <x:v>87</x:v>
      </x:c>
      <x:c r="C21" s="13" t="s">
        <x:v>97</x:v>
      </x:c>
      <x:c r="D21" s="13" t="s">
        <x:v>98</x:v>
      </x:c>
      <x:c r="E21" s="13"/>
      <x:c r="F21" s="13"/>
      <x:c r="G21" s="13"/>
      <x:c r="H21" s="13"/>
      <x:c r="I21" s="17"/>
    </x:row>
    <x:row r="22" ht="54" customHeight="1">
      <x:c r="A22" s="10">
        <x:v>19.0</x:v>
      </x:c>
      <x:c r="B22" s="10" t="s">
        <x:v>90</x:v>
      </x:c>
      <x:c r="C22" s="10" t="s">
        <x:v>97</x:v>
      </x:c>
      <x:c r="D22" s="10" t="s">
        <x:v>99</x:v>
      </x:c>
      <x:c r="E22" s="13"/>
      <x:c r="F22" s="13"/>
      <x:c r="G22" s="13"/>
      <x:c r="H22" s="13"/>
      <x:c r="I22" s="17"/>
    </x:row>
    <x:row r="23" ht="54" customHeight="1">
      <x:c r="A23" s="10">
        <x:v>20.0</x:v>
      </x:c>
      <x:c r="B23" s="10" t="s">
        <x:v>92</x:v>
      </x:c>
      <x:c r="C23" s="10" t="s">
        <x:v>97</x:v>
      </x:c>
      <x:c r="D23" s="10" t="s">
        <x:v>100</x:v>
      </x:c>
      <x:c r="E23" s="13"/>
      <x:c r="F23" s="13"/>
      <x:c r="G23" s="13"/>
      <x:c r="H23" s="13"/>
      <x:c r="I23" s="17"/>
    </x:row>
    <x:row r="24" ht="54" customHeight="1">
      <x:c r="A24" s="34">
        <x:v>22.0</x:v>
      </x:c>
      <x:c r="B24" s="13" t="s">
        <x:v>101</x:v>
      </x:c>
      <x:c r="C24" s="13" t="s">
        <x:v>83</x:v>
      </x:c>
      <x:c r="D24" s="13" t="s">
        <x:v>102</x:v>
      </x:c>
      <x:c r="E24" s="13"/>
      <x:c r="F24" s="13"/>
      <x:c r="G24" s="13"/>
      <x:c r="H24" s="13"/>
      <x:c r="I24" s="17"/>
    </x:row>
    <x:row r="25" ht="54" customHeight="1">
      <x:c r="A25" s="34">
        <x:v>23.0</x:v>
      </x:c>
      <x:c r="B25" s="13" t="s">
        <x:v>103</x:v>
      </x:c>
      <x:c r="C25" s="13" t="s">
        <x:v>60</x:v>
      </x:c>
      <x:c r="D25" s="13" t="s">
        <x:v>104</x:v>
      </x:c>
      <x:c r="E25" s="13"/>
      <x:c r="F25" s="13"/>
      <x:c r="G25" s="13"/>
      <x:c r="H25" s="13"/>
      <x:c r="I25" s="17"/>
    </x:row>
    <x:row r="26" ht="54" customHeight="1">
      <x:c r="A26" s="34">
        <x:v>24.0</x:v>
      </x:c>
      <x:c r="B26" s="13" t="s">
        <x:v>105</x:v>
      </x:c>
      <x:c r="C26" s="13" t="s">
        <x:v>60</x:v>
      </x:c>
      <x:c r="D26" s="13" t="s">
        <x:v>106</x:v>
      </x:c>
      <x:c r="E26" s="13"/>
      <x:c r="F26" s="13"/>
      <x:c r="G26" s="13"/>
      <x:c r="H26" s="13"/>
      <x:c r="I26" s="17"/>
    </x:row>
    <x:row r="27" ht="54" customHeight="1">
      <x:c r="A27" s="34">
        <x:v>25.0</x:v>
      </x:c>
      <x:c r="B27" s="13" t="s">
        <x:v>87</x:v>
      </x:c>
      <x:c r="C27" s="13" t="s">
        <x:v>75</x:v>
      </x:c>
      <x:c r="D27" s="13" t="s">
        <x:v>107</x:v>
      </x:c>
      <x:c r="E27" s="13"/>
      <x:c r="F27" s="13"/>
      <x:c r="G27" s="13"/>
      <x:c r="H27" s="13"/>
      <x:c r="I27" s="17"/>
    </x:row>
    <x:row r="28" ht="54" customHeight="1">
      <x:c r="A28" s="34">
        <x:v>26.0</x:v>
      </x:c>
      <x:c r="B28" s="13" t="s">
        <x:v>87</x:v>
      </x:c>
      <x:c r="C28" s="13" t="s">
        <x:v>88</x:v>
      </x:c>
      <x:c r="D28" s="13" t="s">
        <x:v>108</x:v>
      </x:c>
      <x:c r="E28" s="13"/>
      <x:c r="F28" s="13"/>
      <x:c r="G28" s="13"/>
      <x:c r="H28" s="13"/>
      <x:c r="I28" s="17"/>
    </x:row>
    <x:row r="29" ht="54" customHeight="1">
      <x:c r="A29" s="34">
        <x:v>27.0</x:v>
      </x:c>
      <x:c r="B29" s="13" t="s">
        <x:v>92</x:v>
      </x:c>
      <x:c r="C29" s="13" t="s">
        <x:v>88</x:v>
      </x:c>
      <x:c r="D29" s="13" t="s">
        <x:v>109</x:v>
      </x:c>
      <x:c r="E29" s="13"/>
      <x:c r="F29" s="13"/>
      <x:c r="G29" s="13"/>
      <x:c r="H29" s="13"/>
      <x:c r="I29" s="17"/>
    </x:row>
    <x:row r="30" ht="54" customHeight="1">
      <x:c r="A30" s="34">
        <x:v>28.0</x:v>
      </x:c>
      <x:c r="B30" s="13" t="s">
        <x:v>110</x:v>
      </x:c>
      <x:c r="C30" s="13" t="s">
        <x:v>75</x:v>
      </x:c>
      <x:c r="D30" s="13" t="s">
        <x:v>111</x:v>
      </x:c>
      <x:c r="E30" s="13"/>
      <x:c r="F30" s="13"/>
      <x:c r="G30" s="13"/>
      <x:c r="H30" s="13"/>
      <x:c r="I30" s="17"/>
    </x:row>
    <x:row r="31">
      <x:c r="A31" s="34">
        <x:v>29.0</x:v>
      </x:c>
      <x:c r="B31" s="13" t="s">
        <x:v>110</x:v>
      </x:c>
      <x:c r="C31" s="13" t="s">
        <x:v>75</x:v>
      </x:c>
      <x:c r="D31" s="13" t="s">
        <x:v>112</x:v>
      </x:c>
      <x:c r="E31" s="13"/>
      <x:c r="F31" s="13"/>
      <x:c r="G31" s="13"/>
      <x:c r="H31" s="13"/>
      <x:c r="I31" s="17"/>
    </x:row>
    <x:row r="32" ht="54" customHeight="1">
      <x:c r="A32" s="34">
        <x:v>30.0</x:v>
      </x:c>
      <x:c r="B32" s="13" t="s">
        <x:v>110</x:v>
      </x:c>
      <x:c r="C32" s="13" t="s">
        <x:v>88</x:v>
      </x:c>
      <x:c r="D32" s="13" t="s">
        <x:v>113</x:v>
      </x:c>
      <x:c r="E32" s="13"/>
      <x:c r="F32" s="13"/>
      <x:c r="G32" s="13"/>
      <x:c r="H32" s="13"/>
      <x:c r="I32" s="17"/>
    </x:row>
    <x:row r="33" ht="54" customHeight="1">
      <x:c r="A33" s="34">
        <x:v>34.0</x:v>
      </x:c>
      <x:c r="B33" s="13" t="s">
        <x:v>114</x:v>
      </x:c>
      <x:c r="C33" s="13" t="s">
        <x:v>75</x:v>
      </x:c>
      <x:c r="D33" s="13" t="s">
        <x:v>115</x:v>
      </x:c>
      <x:c r="E33" s="13"/>
      <x:c r="F33" s="13"/>
      <x:c r="G33" s="13"/>
      <x:c r="H33" s="13"/>
      <x:c r="I33" s="17"/>
    </x:row>
    <x:row r="34">
      <x:c r="A34" s="34">
        <x:v>35.0</x:v>
      </x:c>
      <x:c r="B34" s="13" t="s">
        <x:v>114</x:v>
      </x:c>
      <x:c r="C34" s="13" t="s">
        <x:v>75</x:v>
      </x:c>
      <x:c r="D34" s="13" t="s">
        <x:v>116</x:v>
      </x:c>
      <x:c r="E34" s="13"/>
      <x:c r="F34" s="13"/>
      <x:c r="G34" s="13"/>
      <x:c r="H34" s="13"/>
      <x:c r="I34" s="17"/>
    </x:row>
    <x:row r="35" ht="54" customHeight="1">
      <x:c r="A35" s="34">
        <x:v>36.0</x:v>
      </x:c>
      <x:c r="B35" s="13" t="s">
        <x:v>114</x:v>
      </x:c>
      <x:c r="C35" s="13" t="s">
        <x:v>88</x:v>
      </x:c>
      <x:c r="D35" s="13" t="s">
        <x:v>117</x:v>
      </x:c>
      <x:c r="E35" s="13"/>
      <x:c r="F35" s="13"/>
      <x:c r="G35" s="13"/>
      <x:c r="H35" s="13"/>
      <x:c r="I35" s="17"/>
    </x:row>
    <x:row r="36" ht="54" customHeight="1">
      <x:c r="A36" s="34">
        <x:v>37.0</x:v>
      </x:c>
      <x:c r="B36" s="10" t="s">
        <x:v>118</x:v>
      </x:c>
      <x:c r="C36" s="10" t="s">
        <x:v>97</x:v>
      </x:c>
      <x:c r="D36" s="10" t="s">
        <x:v>119</x:v>
      </x:c>
      <x:c r="E36" s="13"/>
      <x:c r="F36" s="13"/>
      <x:c r="G36" s="13"/>
      <x:c r="H36" s="13"/>
      <x:c r="I36" s="17"/>
    </x:row>
    <x:row r="37" ht="54" customHeight="1">
      <x:c r="A37" s="34">
        <x:v>38.0</x:v>
      </x:c>
      <x:c r="B37" s="13" t="s">
        <x:v>120</x:v>
      </x:c>
      <x:c r="C37" s="13" t="s">
        <x:v>75</x:v>
      </x:c>
      <x:c r="D37" s="13" t="s">
        <x:v>121</x:v>
      </x:c>
      <x:c r="E37" s="13"/>
      <x:c r="F37" s="13"/>
      <x:c r="G37" s="13"/>
      <x:c r="H37" s="13"/>
      <x:c r="I37" s="17"/>
    </x:row>
    <x:row r="38" ht="54" customHeight="1">
      <x:c r="A38" s="34">
        <x:v>39.0</x:v>
      </x:c>
      <x:c r="B38" s="13" t="s">
        <x:v>120</x:v>
      </x:c>
      <x:c r="C38" s="13" t="s">
        <x:v>88</x:v>
      </x:c>
      <x:c r="D38" s="13" t="s">
        <x:v>122</x:v>
      </x:c>
      <x:c r="E38" s="13"/>
      <x:c r="F38" s="13"/>
      <x:c r="G38" s="13"/>
      <x:c r="H38" s="13"/>
      <x:c r="I38" s="17"/>
    </x:row>
    <x:row r="39" ht="54" customHeight="1">
      <x:c r="A39" s="34">
        <x:v>40.0</x:v>
      </x:c>
      <x:c r="B39" s="10" t="s">
        <x:v>120</x:v>
      </x:c>
      <x:c r="C39" s="10" t="s">
        <x:v>97</x:v>
      </x:c>
      <x:c r="D39" s="10" t="s">
        <x:v>123</x:v>
      </x:c>
      <x:c r="E39" s="13"/>
      <x:c r="F39" s="13"/>
      <x:c r="G39" s="13"/>
      <x:c r="H39" s="13"/>
      <x:c r="I39" s="17"/>
    </x:row>
    <x:row r="40">
      <x:c r="A40" s="34">
        <x:v>41.0</x:v>
      </x:c>
      <x:c r="B40" s="13" t="s">
        <x:v>124</x:v>
      </x:c>
      <x:c r="C40" s="13" t="s">
        <x:v>75</x:v>
      </x:c>
      <x:c r="D40" s="13" t="s">
        <x:v>125</x:v>
      </x:c>
      <x:c r="E40" s="13"/>
      <x:c r="F40" s="13"/>
      <x:c r="G40" s="13"/>
      <x:c r="H40" s="13"/>
      <x:c r="I40" s="17"/>
    </x:row>
    <x:row r="41" ht="54" customHeight="1">
      <x:c r="A41" s="34">
        <x:v>42.0</x:v>
      </x:c>
      <x:c r="B41" s="13" t="s">
        <x:v>124</x:v>
      </x:c>
      <x:c r="C41" s="13" t="s">
        <x:v>75</x:v>
      </x:c>
      <x:c r="D41" s="13" t="s">
        <x:v>126</x:v>
      </x:c>
      <x:c r="E41" s="13"/>
      <x:c r="F41" s="13"/>
      <x:c r="G41" s="13"/>
      <x:c r="H41" s="13"/>
      <x:c r="I41" s="17"/>
    </x:row>
    <x:row r="42" ht="54" customHeight="1">
      <x:c r="A42" s="34">
        <x:v>43.0</x:v>
      </x:c>
      <x:c r="B42" s="13" t="s">
        <x:v>124</x:v>
      </x:c>
      <x:c r="C42" s="13" t="s">
        <x:v>88</x:v>
      </x:c>
      <x:c r="D42" s="13" t="s">
        <x:v>127</x:v>
      </x:c>
      <x:c r="E42" s="13"/>
      <x:c r="F42" s="13"/>
      <x:c r="G42" s="13"/>
      <x:c r="H42" s="13"/>
      <x:c r="I42" s="17"/>
    </x:row>
    <x:row r="43" ht="54" customHeight="1">
      <x:c r="A43" s="34">
        <x:v>44.0</x:v>
      </x:c>
      <x:c r="B43" s="10" t="s">
        <x:v>124</x:v>
      </x:c>
      <x:c r="C43" s="10" t="s">
        <x:v>97</x:v>
      </x:c>
      <x:c r="D43" s="10" t="s">
        <x:v>128</x:v>
      </x:c>
      <x:c r="E43" s="13"/>
      <x:c r="F43" s="13"/>
      <x:c r="G43" s="13"/>
      <x:c r="H43" s="13"/>
      <x:c r="I43" s="17"/>
    </x:row>
    <x:row r="44">
      <x:c r="A44" s="34">
        <x:v>45.0</x:v>
      </x:c>
      <x:c r="B44" s="13" t="s">
        <x:v>129</x:v>
      </x:c>
      <x:c r="C44" s="13" t="s">
        <x:v>75</x:v>
      </x:c>
      <x:c r="D44" s="13" t="s">
        <x:v>130</x:v>
      </x:c>
      <x:c r="E44" s="13"/>
      <x:c r="F44" s="13"/>
      <x:c r="G44" s="13"/>
      <x:c r="H44" s="13"/>
      <x:c r="I44" s="17"/>
    </x:row>
    <x:row r="45" ht="54" customHeight="1">
      <x:c r="A45" s="34">
        <x:v>46.0</x:v>
      </x:c>
      <x:c r="B45" s="13" t="s">
        <x:v>129</x:v>
      </x:c>
      <x:c r="C45" s="13" t="s">
        <x:v>75</x:v>
      </x:c>
      <x:c r="D45" s="13" t="s">
        <x:v>131</x:v>
      </x:c>
      <x:c r="E45" s="13"/>
      <x:c r="F45" s="13"/>
      <x:c r="G45" s="13"/>
      <x:c r="H45" s="13"/>
      <x:c r="I45" s="17"/>
    </x:row>
    <x:row r="46" ht="54" customHeight="1">
      <x:c r="A46" s="34">
        <x:v>47.0</x:v>
      </x:c>
      <x:c r="B46" s="13" t="s">
        <x:v>132</x:v>
      </x:c>
      <x:c r="C46" s="13" t="s">
        <x:v>75</x:v>
      </x:c>
      <x:c r="D46" s="13" t="s">
        <x:v>133</x:v>
      </x:c>
      <x:c r="E46" s="13"/>
      <x:c r="F46" s="13"/>
      <x:c r="G46" s="13"/>
      <x:c r="H46" s="13"/>
      <x:c r="I46" s="17"/>
    </x:row>
    <x:row r="47" ht="54" customHeight="1">
      <x:c r="A47" s="34">
        <x:v>48.0</x:v>
      </x:c>
      <x:c r="B47" s="13" t="s">
        <x:v>132</x:v>
      </x:c>
      <x:c r="C47" s="13" t="s">
        <x:v>75</x:v>
      </x:c>
      <x:c r="D47" s="13" t="s">
        <x:v>134</x:v>
      </x:c>
      <x:c r="E47" s="13"/>
      <x:c r="F47" s="13"/>
      <x:c r="G47" s="13"/>
      <x:c r="H47" s="13"/>
      <x:c r="I47" s="17"/>
    </x:row>
    <x:row r="48" ht="54" customHeight="1">
      <x:c r="A48" s="34">
        <x:v>49.0</x:v>
      </x:c>
      <x:c r="B48" s="13" t="s">
        <x:v>132</x:v>
      </x:c>
      <x:c r="C48" s="13" t="s">
        <x:v>88</x:v>
      </x:c>
      <x:c r="D48" s="13" t="s">
        <x:v>135</x:v>
      </x:c>
      <x:c r="E48" s="13"/>
      <x:c r="F48" s="13"/>
      <x:c r="G48" s="13"/>
      <x:c r="H48" s="13"/>
      <x:c r="I48" s="17"/>
    </x:row>
    <x:row r="49" ht="54" customHeight="1">
      <x:c r="A49" s="34">
        <x:v>50.0</x:v>
      </x:c>
      <x:c r="B49" s="10" t="s">
        <x:v>132</x:v>
      </x:c>
      <x:c r="C49" s="10" t="s">
        <x:v>97</x:v>
      </x:c>
      <x:c r="D49" s="10" t="s">
        <x:v>136</x:v>
      </x:c>
      <x:c r="E49" s="13"/>
      <x:c r="F49" s="13"/>
      <x:c r="G49" s="13"/>
      <x:c r="H49" s="13"/>
      <x:c r="I49" s="17"/>
    </x:row>
    <x:row r="50" ht="54" customHeight="1">
      <x:c r="A50" s="34">
        <x:v>51.0</x:v>
      </x:c>
      <x:c r="B50" s="13" t="s">
        <x:v>90</x:v>
      </x:c>
      <x:c r="C50" s="13" t="s">
        <x:v>75</x:v>
      </x:c>
      <x:c r="D50" s="13" t="s">
        <x:v>137</x:v>
      </x:c>
      <x:c r="E50" s="13"/>
      <x:c r="F50" s="13"/>
      <x:c r="G50" s="13"/>
      <x:c r="H50" s="13"/>
      <x:c r="I50" s="17"/>
    </x:row>
    <x:row r="51" ht="54" customHeight="1">
      <x:c r="A51" s="34">
        <x:v>52.0</x:v>
      </x:c>
      <x:c r="B51" s="13" t="s">
        <x:v>87</x:v>
      </x:c>
      <x:c r="C51" s="13" t="s">
        <x:v>88</x:v>
      </x:c>
      <x:c r="D51" s="13" t="s">
        <x:v>138</x:v>
      </x:c>
      <x:c r="E51" s="13"/>
      <x:c r="F51" s="13"/>
      <x:c r="G51" s="13"/>
      <x:c r="H51" s="13"/>
      <x:c r="I51" s="17"/>
    </x:row>
    <x:row r="52">
      <x:c r="A52" s="34">
        <x:v>53.0</x:v>
      </x:c>
      <x:c r="B52" s="13" t="s">
        <x:v>139</x:v>
      </x:c>
      <x:c r="C52" s="13" t="s">
        <x:v>75</x:v>
      </x:c>
      <x:c r="D52" s="13" t="s">
        <x:v>140</x:v>
      </x:c>
      <x:c r="E52" s="13"/>
      <x:c r="F52" s="13"/>
      <x:c r="G52" s="13"/>
      <x:c r="H52" s="13"/>
      <x:c r="I52" s="17"/>
    </x:row>
    <x:row r="53" ht="54" customHeight="1">
      <x:c r="A53" s="34">
        <x:v>54.0</x:v>
      </x:c>
      <x:c r="B53" s="13" t="s">
        <x:v>139</x:v>
      </x:c>
      <x:c r="C53" s="13" t="s">
        <x:v>75</x:v>
      </x:c>
      <x:c r="D53" s="13" t="s">
        <x:v>141</x:v>
      </x:c>
      <x:c r="E53" s="13"/>
      <x:c r="F53" s="13"/>
      <x:c r="G53" s="13"/>
      <x:c r="H53" s="13"/>
      <x:c r="I53" s="17"/>
    </x:row>
    <x:row r="54" ht="54" customHeight="1">
      <x:c r="A54" s="34">
        <x:v>55.0</x:v>
      </x:c>
      <x:c r="B54" s="13" t="s">
        <x:v>87</x:v>
      </x:c>
      <x:c r="C54" s="13" t="s">
        <x:v>97</x:v>
      </x:c>
      <x:c r="D54" s="13" t="s">
        <x:v>142</x:v>
      </x:c>
      <x:c r="E54" s="13"/>
      <x:c r="F54" s="13"/>
      <x:c r="G54" s="13"/>
      <x:c r="H54" s="13"/>
      <x:c r="I54" s="17"/>
    </x:row>
    <x:row r="55" ht="54" customHeight="1">
      <x:c r="A55" s="34">
        <x:v>56.0</x:v>
      </x:c>
      <x:c r="B55" s="13" t="s">
        <x:v>124</x:v>
      </x:c>
      <x:c r="C55" s="13" t="s">
        <x:v>97</x:v>
      </x:c>
      <x:c r="D55" s="13" t="s">
        <x:v>143</x:v>
      </x:c>
      <x:c r="E55" s="13"/>
      <x:c r="F55" s="13"/>
      <x:c r="G55" s="13"/>
      <x:c r="H55" s="13"/>
      <x:c r="I55" s="17"/>
    </x:row>
    <x:row r="56" ht="15.75" customHeight="1"/>
    <x:row r="57" ht="15.75" customHeight="1"/>
    <x:row r="58" ht="15.75" customHeight="1">
      <x:c r="B58" s="45" t="s">
        <x:v>144</x:v>
      </x:c>
      <x:c r="C58" s="46" t="n">
        <x:f>COUNTIF(E:E,"Review completed")</x:f>
        <x:v>0</x:v>
      </x:c>
    </x:row>
    <x:row r="59" ht="15.75" customHeight="1">
      <x:c r="B59" s="47" t="s">
        <x:v>145</x:v>
      </x:c>
      <x:c r="C59" s="48" t="n">
        <x:f>COUNTIFS(E:E,"Review completed",F:F,"Yes")</x:f>
        <x:v>0</x:v>
      </x:c>
    </x:row>
    <x:row r="60" ht="15.75" customHeight="1">
      <x:c r="B60" s="49" t="s">
        <x:v>146</x:v>
      </x:c>
      <x:c r="C60" s="50" t="n">
        <x:f>COUNTIFS(E:E,"Review completed",F:F,"No")</x:f>
        <x:v>0</x:v>
      </x:c>
    </x:row>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sheetData>
  <x:mergeCells>
    <x:mergeCell ref="A1:I1"/>
  </x:mergeCell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26" width="8.710000038146973" customWidth="1"/>
  </x:cols>
  <x:sheetData>
    <x:row r="1">
      <x:c r="A1" s="1" t="s">
        <x:v>147</x:v>
      </x:c>
      <x:c r="B1" s="1" t="s">
        <x:v>148</x:v>
      </x:c>
      <x:c r="C1" s="1" t="s">
        <x:v>149</x:v>
      </x:c>
      <x:c r="D1" s="1" t="s">
        <x:v>150</x:v>
      </x:c>
      <x:c r="E1" s="1" t="s">
        <x:v>151</x:v>
      </x:c>
      <x:c r="F1" s="1" t="s">
        <x:v>152</x:v>
      </x:c>
      <x:c r="G1" s="1" t="s">
        <x:v>153</x:v>
      </x:c>
      <x:c r="H1" s="1" t="s">
        <x:v>154</x:v>
      </x:c>
    </x:row>
    <x:row r="2">
      <x:c r="A2" s="1" t="s">
        <x:v>155</x:v>
      </x:c>
      <x:c r="B2" s="1" t="s">
        <x:v>156</x:v>
      </x:c>
      <x:c r="C2" s="1" t="s">
        <x:v>157</x:v>
      </x:c>
      <x:c r="D2" s="1" t="s">
        <x:v>158</x:v>
      </x:c>
      <x:c r="E2" s="1" t="s">
        <x:v>159</x:v>
      </x:c>
      <x:c r="F2" s="1" t="s">
        <x:v>160</x:v>
      </x:c>
      <x:c r="G2" s="1" t="s">
        <x:v>155</x:v>
      </x:c>
      <x:c r="H2" s="1" t="s">
        <x:v>161</x:v>
      </x:c>
    </x:row>
    <x:row r="3">
      <x:c r="A3" s="1" t="s">
        <x:v>162</x:v>
      </x:c>
      <x:c r="B3" s="1" t="s">
        <x:v>163</x:v>
      </x:c>
      <x:c r="C3" s="1" t="s">
        <x:v>164</x:v>
      </x:c>
      <x:c r="D3" s="1" t="s">
        <x:v>165</x:v>
      </x:c>
      <x:c r="E3" s="1" t="s">
        <x:v>166</x:v>
      </x:c>
      <x:c r="F3" s="1" t="s">
        <x:v>167</x:v>
      </x:c>
      <x:c r="G3" s="1" t="s">
        <x:v>162</x:v>
      </x:c>
      <x:c r="H3" s="1" t="s">
        <x:v>168</x:v>
      </x:c>
    </x:row>
    <x:row r="4">
      <x:c r="B4" s="1" t="s">
        <x:v>169</x:v>
      </x:c>
      <x:c r="C4" s="1" t="s">
        <x:v>170</x:v>
      </x:c>
      <x:c r="D4" s="1" t="s">
        <x:v>171</x:v>
      </x:c>
      <x:c r="E4" s="1" t="s">
        <x:v>172</x:v>
      </x:c>
      <x:c r="F4" s="1" t="s">
        <x:v>173</x:v>
      </x:c>
      <x:c r="G4" s="1" t="s">
        <x:v>174</x:v>
      </x:c>
      <x:c r="H4" s="1" t="s">
        <x:v>175</x:v>
      </x:c>
    </x:row>
    <x:row r="5">
      <x:c r="B5" s="1" t="s">
        <x:v>176</x:v>
      </x:c>
      <x:c r="D5" s="1" t="s">
        <x:v>177</x:v>
      </x:c>
      <x:c r="E5" s="1" t="s">
        <x:v>178</x:v>
      </x:c>
      <x:c r="F5" s="1" t="s">
        <x:v>179</x:v>
      </x:c>
      <x:c r="H5" s="1" t="s">
        <x:v>180</x:v>
      </x:c>
    </x:row>
    <x:row r="6">
      <x:c r="D6" s="1" t="s">
        <x:v>181</x:v>
      </x:c>
      <x:c r="E6" s="1" t="s">
        <x:v>182</x:v>
      </x:c>
      <x:c r="H6" s="1" t="s">
        <x:v>183</x:v>
      </x:c>
    </x:row>
    <x:row r="7">
      <x:c r="D7" s="1" t="s">
        <x:v>184</x:v>
      </x:c>
      <x:c r="E7" s="1" t="s">
        <x:v>185</x:v>
      </x:c>
    </x:row>
    <x:row r="8">
      <x:c r="E8" s="1" t="s">
        <x:v>179</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4.430000305175781" defaultRowHeight="15"/>
  <x:cols>
    <x:col min="1" max="1" width="14.140000343322754" customWidth="1"/>
    <x:col min="2" max="2" width="15.140000343322754" customWidth="1"/>
    <x:col min="3" max="3" width="17.709999084472656" customWidth="1"/>
    <x:col min="4" max="5" width="24.709999084472656" customWidth="1"/>
    <x:col min="6" max="20" width="8.710000038146973" customWidth="1"/>
  </x:cols>
  <x:sheetData>
    <x:row r="1">
      <x:c r="A1" s="3" t="s">
        <x:v>186</x:v>
      </x:c>
      <x:c r="B1" s="4"/>
      <x:c r="C1" s="4"/>
      <x:c r="D1" s="4"/>
      <x:c r="E1" s="5"/>
    </x:row>
    <x:row r="2">
      <x:c r="A2" s="7" t="s">
        <x:v>187</x:v>
      </x:c>
    </x:row>
    <x:row r="3">
      <x:c r="A3" s="7"/>
      <x:c r="B3" s="7"/>
      <x:c r="C3" s="7"/>
      <x:c r="D3" s="7"/>
      <x:c r="E3" s="7"/>
    </x:row>
    <x:row r="4">
      <x:c r="A4" s="8" t="s">
        <x:v>50</x:v>
      </x:c>
      <x:c r="B4" s="8" t="s">
        <x:v>188</x:v>
      </x:c>
      <x:c r="C4" s="8" t="s">
        <x:v>189</x:v>
      </x:c>
      <x:c r="D4" s="8" t="s">
        <x:v>190</x:v>
      </x:c>
      <x:c r="E4" s="8" t="s">
        <x:v>191</x:v>
      </x:c>
    </x:row>
    <x:row r="5">
      <x:c r="A5" s="10">
        <x:v>1.0</x:v>
      </x:c>
      <x:c r="B5" s="13" t="n">
        <x:f>COUNTA('Q01'!B16:B35)</x:f>
        <x:v>0</x:v>
      </x:c>
      <x:c r="C5" s="13" t="n">
        <x:f>COUNTIF('Q01'!D16:D35,"Supports claim")</x:f>
        <x:v>0</x:v>
      </x:c>
      <x:c r="D5" s="13" t="n">
        <x:f>COUNTIF('Q01'!D16:D35,"Partially supports claim")</x:f>
        <x:v>0</x:v>
      </x:c>
      <x:c r="E5" s="13" t="n">
        <x:f>COUNTIF('Q01'!D16:D35,"Does not support claim")</x:f>
        <x:v>0</x:v>
      </x:c>
    </x:row>
    <x:row r="6">
      <x:c r="A6" s="10">
        <x:v>2.0</x:v>
      </x:c>
      <x:c r="B6" s="13" t="n">
        <x:f>COUNTA('Q02'!B16:B35)</x:f>
        <x:v>0</x:v>
      </x:c>
      <x:c r="C6" s="13" t="n">
        <x:f>COUNTIF('Q02'!D16:D35,"Supports claim")</x:f>
        <x:v>0</x:v>
      </x:c>
      <x:c r="D6" s="13" t="n">
        <x:f>COUNTIF('Q02'!D16:D35,"Partially supports claim")</x:f>
        <x:v>0</x:v>
      </x:c>
      <x:c r="E6" s="13" t="n">
        <x:f>COUNTIF('Q02'!D16:D35,"Does not support claim")</x:f>
        <x:v>0</x:v>
      </x:c>
    </x:row>
    <x:row r="7">
      <x:c r="A7" s="10">
        <x:v>3.0</x:v>
      </x:c>
      <x:c r="B7" s="13" t="n">
        <x:f>COUNTA('Q03'!B16:B35)</x:f>
        <x:v>0</x:v>
      </x:c>
      <x:c r="C7" s="13" t="n">
        <x:f>COUNTIF('Q03'!D16:D35,"Supports claim")</x:f>
        <x:v>0</x:v>
      </x:c>
      <x:c r="D7" s="13" t="n">
        <x:f>COUNTIF('Q03'!D16:D35,"Partially supports claim")</x:f>
        <x:v>0</x:v>
      </x:c>
      <x:c r="E7" s="13" t="n">
        <x:f>COUNTIF('Q03'!D16:D35,"Does not support claim")</x:f>
        <x:v>0</x:v>
      </x:c>
    </x:row>
    <x:row r="8">
      <x:c r="A8" s="10">
        <x:v>4.0</x:v>
      </x:c>
      <x:c r="B8" s="13" t="n">
        <x:f>COUNTA('Q04'!B16:B35)</x:f>
        <x:v>0</x:v>
      </x:c>
      <x:c r="C8" s="13" t="n">
        <x:f>COUNTIF('Q04'!D16:D35,"Supports claim")</x:f>
        <x:v>0</x:v>
      </x:c>
      <x:c r="D8" s="13" t="n">
        <x:f>COUNTIF('Q04'!D16:D35,"Partially supports claim")</x:f>
        <x:v>0</x:v>
      </x:c>
      <x:c r="E8" s="13" t="n">
        <x:f>COUNTIF('Q04'!D16:D35,"Does not support claim")</x:f>
        <x:v>0</x:v>
      </x:c>
    </x:row>
    <x:row r="9">
      <x:c r="A9" s="10">
        <x:v>5.0</x:v>
      </x:c>
      <x:c r="B9" s="13" t="n">
        <x:f>COUNTA('Q05'!B16:B35)</x:f>
        <x:v>0</x:v>
      </x:c>
      <x:c r="C9" s="13" t="n">
        <x:f>COUNTIF('Q05'!D16:D35,"Supports claim")</x:f>
        <x:v>0</x:v>
      </x:c>
      <x:c r="D9" s="13" t="n">
        <x:f>COUNTIF('Q05'!D16:D35,"Partially supports claim")</x:f>
        <x:v>0</x:v>
      </x:c>
      <x:c r="E9" s="13" t="n">
        <x:f>COUNTIF('Q05'!D16:D35,"Does not support claim")</x:f>
        <x:v>0</x:v>
      </x:c>
    </x:row>
    <x:row r="10">
      <x:c r="A10" s="10">
        <x:v>6.0</x:v>
      </x:c>
      <x:c r="B10" s="13" t="n">
        <x:f>COUNTA('Q06'!B16:B35)</x:f>
        <x:v>0</x:v>
      </x:c>
      <x:c r="C10" s="13" t="n">
        <x:f>COUNTIF('Q06'!D16:D35,"Supports claim")</x:f>
        <x:v>0</x:v>
      </x:c>
      <x:c r="D10" s="13" t="n">
        <x:f>COUNTIF('Q06'!D16:D35,"Partially supports claim")</x:f>
        <x:v>0</x:v>
      </x:c>
      <x:c r="E10" s="13" t="n">
        <x:f>COUNTIF('Q06'!D16:D35,"Does not support claim")</x:f>
        <x:v>0</x:v>
      </x:c>
    </x:row>
    <x:row r="11">
      <x:c r="A11" s="10">
        <x:v>7.0</x:v>
      </x:c>
      <x:c r="B11" s="13" t="n">
        <x:f>COUNTA('Q07'!B16:B35)</x:f>
        <x:v>0</x:v>
      </x:c>
      <x:c r="C11" s="13" t="n">
        <x:f>COUNTIF('Q07'!D16:D35,"Supports claim")</x:f>
        <x:v>0</x:v>
      </x:c>
      <x:c r="D11" s="13" t="n">
        <x:f>COUNTIF('Q07'!D16:D35,"Partially supports claim")</x:f>
        <x:v>0</x:v>
      </x:c>
      <x:c r="E11" s="13" t="n">
        <x:f>COUNTIF('Q07'!D16:D35,"Does not support claim")</x:f>
        <x:v>0</x:v>
      </x:c>
    </x:row>
    <x:row r="12">
      <x:c r="A12" s="10">
        <x:v>8.0</x:v>
      </x:c>
      <x:c r="B12" s="13" t="n">
        <x:f>COUNTA('Q08'!B16:B35)</x:f>
        <x:v>0</x:v>
      </x:c>
      <x:c r="C12" s="13" t="n">
        <x:f>COUNTIF('Q08'!D16:D35,"Supports claim")</x:f>
        <x:v>0</x:v>
      </x:c>
      <x:c r="D12" s="13" t="n">
        <x:f>COUNTIF('Q08'!D16:D35,"Partially supports claim")</x:f>
        <x:v>0</x:v>
      </x:c>
      <x:c r="E12" s="13" t="n">
        <x:f>COUNTIF('Q08'!D16:D35,"Does not support claim")</x:f>
        <x:v>0</x:v>
      </x:c>
    </x:row>
    <x:row r="13">
      <x:c r="A13" s="10">
        <x:v>9.0</x:v>
      </x:c>
      <x:c r="B13" s="13" t="n">
        <x:f>COUNTA('Q09'!B16:B35)</x:f>
        <x:v>0</x:v>
      </x:c>
      <x:c r="C13" s="13" t="n">
        <x:f>COUNTIF('Q09'!D16:D35,"Supports claim")</x:f>
        <x:v>0</x:v>
      </x:c>
      <x:c r="D13" s="13" t="n">
        <x:f>COUNTIF('Q09'!D16:D35,"Partially supports claim")</x:f>
        <x:v>0</x:v>
      </x:c>
      <x:c r="E13" s="13" t="n">
        <x:f>COUNTIF('Q09'!D16:D35,"Does not support claim")</x:f>
        <x:v>0</x:v>
      </x:c>
    </x:row>
    <x:row r="14">
      <x:c r="A14" s="10">
        <x:v>10.0</x:v>
      </x:c>
      <x:c r="B14" s="13" t="n">
        <x:f>COUNTA('Q10'!B16:B35)</x:f>
        <x:v>0</x:v>
      </x:c>
      <x:c r="C14" s="13" t="n">
        <x:f>COUNTIF('Q10'!D16:D35,"Supports claim")</x:f>
        <x:v>0</x:v>
      </x:c>
      <x:c r="D14" s="13" t="n">
        <x:f>COUNTIF('Q10'!D16:D35,"Partially supports claim")</x:f>
        <x:v>0</x:v>
      </x:c>
      <x:c r="E14" s="13" t="n">
        <x:f>COUNTIF('Q10'!D16:D35,"Does not support claim")</x:f>
        <x:v>0</x:v>
      </x:c>
    </x:row>
    <x:row r="15">
      <x:c r="A15" s="10">
        <x:v>11.0</x:v>
      </x:c>
      <x:c r="B15" s="13" t="n">
        <x:f>COUNTA('Q11'!B16:B35)</x:f>
        <x:v>0</x:v>
      </x:c>
      <x:c r="C15" s="13" t="n">
        <x:f>COUNTIF('Q11'!D16:D35,"Supports claim")</x:f>
        <x:v>0</x:v>
      </x:c>
      <x:c r="D15" s="13" t="n">
        <x:f>COUNTIF('Q11'!D16:D35,"Partially supports claim")</x:f>
        <x:v>0</x:v>
      </x:c>
      <x:c r="E15" s="13" t="n">
        <x:f>COUNTIF('Q11'!D16:D35,"Does not support claim")</x:f>
        <x:v>0</x:v>
      </x:c>
    </x:row>
    <x:row r="16">
      <x:c r="A16" s="10">
        <x:v>12.0</x:v>
      </x:c>
      <x:c r="B16" s="13" t="n">
        <x:f>COUNTA('Q12'!B16:B35)</x:f>
        <x:v>0</x:v>
      </x:c>
      <x:c r="C16" s="13" t="n">
        <x:f>COUNTIF('Q12'!D16:D35,"Supports claim")</x:f>
        <x:v>0</x:v>
      </x:c>
      <x:c r="D16" s="13" t="n">
        <x:f>COUNTIF('Q12'!D16:D35,"Partially supports claim")</x:f>
        <x:v>0</x:v>
      </x:c>
      <x:c r="E16" s="13" t="n">
        <x:f>COUNTIF('Q12'!D16:D35,"Does not support claim")</x:f>
        <x:v>0</x:v>
      </x:c>
    </x:row>
    <x:row r="17">
      <x:c r="A17" s="10">
        <x:v>13.0</x:v>
      </x:c>
      <x:c r="B17" s="13" t="n">
        <x:f>COUNTA('Q13'!B16:B35)</x:f>
        <x:v>0</x:v>
      </x:c>
      <x:c r="C17" s="13" t="n">
        <x:f>COUNTIF('Q13'!D16:D35,"Supports claim")</x:f>
        <x:v>0</x:v>
      </x:c>
      <x:c r="D17" s="13" t="n">
        <x:f>COUNTIF('Q13'!D16:D35,"Partially supports claim")</x:f>
        <x:v>0</x:v>
      </x:c>
      <x:c r="E17" s="13" t="n">
        <x:f>COUNTIF('Q13'!D16:D35,"Does not support claim")</x:f>
        <x:v>0</x:v>
      </x:c>
    </x:row>
    <x:row r="18">
      <x:c r="A18" s="10">
        <x:v>14.0</x:v>
      </x:c>
      <x:c r="B18" s="13" t="n">
        <x:f>COUNTA('Q14'!B16:B35)</x:f>
        <x:v>0</x:v>
      </x:c>
      <x:c r="C18" s="13" t="n">
        <x:f>COUNTIF('Q14'!D16:D35,"Supports claim")</x:f>
        <x:v>0</x:v>
      </x:c>
      <x:c r="D18" s="13" t="n">
        <x:f>COUNTIF('Q14'!D16:D35,"Partially supports claim")</x:f>
        <x:v>0</x:v>
      </x:c>
      <x:c r="E18" s="13" t="n">
        <x:f>COUNTIF('Q14'!D16:D35,"Does not support claim")</x:f>
        <x:v>0</x:v>
      </x:c>
    </x:row>
    <x:row r="19">
      <x:c r="A19" s="10">
        <x:v>15.0</x:v>
      </x:c>
      <x:c r="B19" s="13" t="n">
        <x:f>COUNTA('Q15'!B16:B35)</x:f>
        <x:v>0</x:v>
      </x:c>
      <x:c r="C19" s="13" t="n">
        <x:f>COUNTIF('Q15'!D16:D35,"Supports claim")</x:f>
        <x:v>0</x:v>
      </x:c>
      <x:c r="D19" s="13" t="n">
        <x:f>COUNTIF('Q15'!D16:D35,"Partially supports claim")</x:f>
        <x:v>0</x:v>
      </x:c>
      <x:c r="E19" s="13" t="n">
        <x:f>COUNTIF('Q15'!D16:D35,"Does not support claim")</x:f>
        <x:v>0</x:v>
      </x:c>
    </x:row>
    <x:row r="20">
      <x:c r="A20" s="10">
        <x:v>16.0</x:v>
      </x:c>
      <x:c r="B20" s="13" t="n">
        <x:f>COUNTA('Q16'!B16:B35)</x:f>
        <x:v>0</x:v>
      </x:c>
      <x:c r="C20" s="13" t="n">
        <x:f>COUNTIF('Q16'!D16:D35,"Supports claim")</x:f>
        <x:v>0</x:v>
      </x:c>
      <x:c r="D20" s="13" t="n">
        <x:f>COUNTIF('Q16'!D16:D35,"Partially supports claim")</x:f>
        <x:v>0</x:v>
      </x:c>
      <x:c r="E20" s="13" t="n">
        <x:f>COUNTIF('Q16'!D16:D35,"Does not support claim")</x:f>
        <x:v>0</x:v>
      </x:c>
    </x:row>
    <x:row r="21" ht="15.75" customHeight="1">
      <x:c r="A21" s="10">
        <x:v>17.0</x:v>
      </x:c>
      <x:c r="B21" s="13" t="n">
        <x:f>COUNTA('Q17'!B16:B35)</x:f>
        <x:v>0</x:v>
      </x:c>
      <x:c r="C21" s="13" t="n">
        <x:f>COUNTIF('Q17'!D16:D35,"Supports claim")</x:f>
        <x:v>0</x:v>
      </x:c>
      <x:c r="D21" s="13" t="n">
        <x:f>COUNTIF('Q17'!D16:D35,"Partially supports claim")</x:f>
        <x:v>0</x:v>
      </x:c>
      <x:c r="E21" s="13" t="n">
        <x:f>COUNTIF('Q17'!D16:D35,"Does not support claim")</x:f>
        <x:v>0</x:v>
      </x:c>
    </x:row>
    <x:row r="22" ht="15.75" customHeight="1">
      <x:c r="A22" s="10">
        <x:v>18.0</x:v>
      </x:c>
      <x:c r="B22" s="13" t="n">
        <x:f>COUNTA('Q18'!B16:B35)</x:f>
        <x:v>0</x:v>
      </x:c>
      <x:c r="C22" s="13" t="n">
        <x:f>COUNTIF('Q18'!D16:D35,"Supports claim")</x:f>
        <x:v>0</x:v>
      </x:c>
      <x:c r="D22" s="13" t="n">
        <x:f>COUNTIF('Q18'!D16:D35,"Partially supports claim")</x:f>
        <x:v>0</x:v>
      </x:c>
      <x:c r="E22" s="13" t="n">
        <x:f>COUNTIF('Q18'!D16:D35,"Does not support claim")</x:f>
        <x:v>0</x:v>
      </x:c>
    </x:row>
    <x:row r="23" ht="15.75" customHeight="1">
      <x:c r="A23" s="10">
        <x:v>19.0</x:v>
      </x:c>
      <x:c r="B23" s="13" t="n">
        <x:f>COUNTA('Q19'!B16:B35)</x:f>
        <x:v>0</x:v>
      </x:c>
      <x:c r="C23" s="13" t="n">
        <x:f>COUNTIF('Q19'!D16:D35,"Supports claim")</x:f>
        <x:v>0</x:v>
      </x:c>
      <x:c r="D23" s="13" t="n">
        <x:f>COUNTIF('Q19'!D16:D35,"Partially supports claim")</x:f>
        <x:v>0</x:v>
      </x:c>
      <x:c r="E23" s="13" t="n">
        <x:f>COUNTIF('Q19'!D16:D35,"Does not support claim")</x:f>
        <x:v>0</x:v>
      </x:c>
    </x:row>
    <x:row r="24" ht="15.75" customHeight="1">
      <x:c r="A24" s="10">
        <x:v>20.0</x:v>
      </x:c>
      <x:c r="B24" s="13" t="n">
        <x:f>COUNTA('Q20'!B16:B35)</x:f>
        <x:v>0</x:v>
      </x:c>
      <x:c r="C24" s="13" t="n">
        <x:f>COUNTIF('Q20'!D16:D35,"Supports claim")</x:f>
        <x:v>0</x:v>
      </x:c>
      <x:c r="D24" s="13" t="n">
        <x:f>COUNTIF('Q20'!D16:D35,"Partially supports claim")</x:f>
        <x:v>0</x:v>
      </x:c>
      <x:c r="E24" s="13" t="n">
        <x:f>COUNTIF('Q20'!D16:D35,"Does not support claim")</x:f>
        <x:v>0</x:v>
      </x:c>
    </x:row>
    <x:row r="25" ht="15.75" customHeight="1">
      <x:c r="A25" s="34">
        <x:v>22.0</x:v>
      </x:c>
      <x:c r="B25" s="13" t="n">
        <x:f>COUNTA('Q22'!B16:B35)</x:f>
        <x:v>0</x:v>
      </x:c>
      <x:c r="C25" s="13" t="n">
        <x:f>COUNTIF('Q22'!D16:D35,"Supports claim")</x:f>
        <x:v>0</x:v>
      </x:c>
      <x:c r="D25" s="13" t="n">
        <x:f>COUNTIF('Q22'!D16:D35,"Partially supports claim")</x:f>
        <x:v>0</x:v>
      </x:c>
      <x:c r="E25" s="13" t="n">
        <x:f>COUNTIF('Q22'!D16:D35,"Does not support claim")</x:f>
        <x:v>0</x:v>
      </x:c>
    </x:row>
    <x:row r="26" ht="15.75" customHeight="1">
      <x:c r="A26" s="34">
        <x:v>23.0</x:v>
      </x:c>
      <x:c r="B26" s="13" t="n">
        <x:f>COUNTA('Q23'!B16:B35)</x:f>
        <x:v>0</x:v>
      </x:c>
      <x:c r="C26" s="13" t="n">
        <x:f>COUNTIF('Q23'!D16:D35,"Supports claim")</x:f>
        <x:v>0</x:v>
      </x:c>
      <x:c r="D26" s="13" t="n">
        <x:f>COUNTIF('Q23'!D16:D35,"Partially supports claim")</x:f>
        <x:v>0</x:v>
      </x:c>
      <x:c r="E26" s="13" t="n">
        <x:f>COUNTIF('Q23'!D16:D35,"Does not support claim")</x:f>
        <x:v>0</x:v>
      </x:c>
    </x:row>
    <x:row r="27" ht="15.75" customHeight="1">
      <x:c r="A27" s="34">
        <x:v>24.0</x:v>
      </x:c>
      <x:c r="B27" s="13" t="n">
        <x:f>COUNTA('Q24'!B16:B35)</x:f>
        <x:v>0</x:v>
      </x:c>
      <x:c r="C27" s="13" t="n">
        <x:f>COUNTIF('Q24'!D16:D35,"Supports claim")</x:f>
        <x:v>0</x:v>
      </x:c>
      <x:c r="D27" s="13" t="n">
        <x:f>COUNTIF('Q24'!D16:D35,"Partially supports claim")</x:f>
        <x:v>0</x:v>
      </x:c>
      <x:c r="E27" s="13" t="n">
        <x:f>COUNTIF('Q24'!D16:D35,"Does not support claim")</x:f>
        <x:v>0</x:v>
      </x:c>
    </x:row>
    <x:row r="28" ht="15.75" customHeight="1">
      <x:c r="A28" s="34">
        <x:v>25.0</x:v>
      </x:c>
      <x:c r="B28" s="13" t="n">
        <x:f>COUNTA('Q25'!B16:B35)</x:f>
        <x:v>0</x:v>
      </x:c>
      <x:c r="C28" s="13" t="n">
        <x:f>COUNTIF('Q25'!D16:D35,"Supports claim")</x:f>
        <x:v>0</x:v>
      </x:c>
      <x:c r="D28" s="13" t="n">
        <x:f>COUNTIF('Q25'!D16:D35,"Partially supports claim")</x:f>
        <x:v>0</x:v>
      </x:c>
      <x:c r="E28" s="13" t="n">
        <x:f>COUNTIF('Q25'!D16:D35,"Does not support claim")</x:f>
        <x:v>0</x:v>
      </x:c>
    </x:row>
    <x:row r="29" ht="15.75" customHeight="1">
      <x:c r="A29" s="34">
        <x:v>26.0</x:v>
      </x:c>
      <x:c r="B29" s="13" t="n">
        <x:f>COUNTA('Q26'!B16:B35)</x:f>
        <x:v>0</x:v>
      </x:c>
      <x:c r="C29" s="13" t="n">
        <x:f>COUNTIF('Q26'!D16:D35,"Supports claim")</x:f>
        <x:v>0</x:v>
      </x:c>
      <x:c r="D29" s="13" t="n">
        <x:f>COUNTIF('Q26'!D16:D35,"Partially supports claim")</x:f>
        <x:v>0</x:v>
      </x:c>
      <x:c r="E29" s="13" t="n">
        <x:f>COUNTIF('Q26'!D16:D35,"Does not support claim")</x:f>
        <x:v>0</x:v>
      </x:c>
    </x:row>
    <x:row r="30" ht="15.75" customHeight="1">
      <x:c r="A30" s="34">
        <x:v>27.0</x:v>
      </x:c>
      <x:c r="B30" s="13" t="n">
        <x:f>COUNTA('Q27'!B16:B35)</x:f>
        <x:v>0</x:v>
      </x:c>
      <x:c r="C30" s="13" t="n">
        <x:f>COUNTIF('Q27'!D16:D35,"Supports claim")</x:f>
        <x:v>0</x:v>
      </x:c>
      <x:c r="D30" s="13" t="n">
        <x:f>COUNTIF('Q27'!D16:D35,"Partially supports claim")</x:f>
        <x:v>0</x:v>
      </x:c>
      <x:c r="E30" s="13" t="n">
        <x:f>COUNTIF('Q27'!D16:D35,"Does not support claim")</x:f>
        <x:v>0</x:v>
      </x:c>
    </x:row>
    <x:row r="31" ht="15.75" customHeight="1">
      <x:c r="A31" s="34">
        <x:v>28.0</x:v>
      </x:c>
      <x:c r="B31" s="13" t="n">
        <x:f>COUNTA('Q28'!B16:B35)</x:f>
        <x:v>0</x:v>
      </x:c>
      <x:c r="C31" s="13" t="n">
        <x:f>COUNTIF('Q28'!D16:D35,"Supports claim")</x:f>
        <x:v>0</x:v>
      </x:c>
      <x:c r="D31" s="13" t="n">
        <x:f>COUNTIF('Q28'!D16:D35,"Partially supports claim")</x:f>
        <x:v>0</x:v>
      </x:c>
      <x:c r="E31" s="13" t="n">
        <x:f>COUNTIF('Q28'!D16:D35,"Does not support claim")</x:f>
        <x:v>0</x:v>
      </x:c>
    </x:row>
    <x:row r="32" ht="15.75" customHeight="1">
      <x:c r="A32" s="34">
        <x:v>29.0</x:v>
      </x:c>
      <x:c r="B32" s="13" t="n">
        <x:f>COUNTA('Q29'!B16:B35)</x:f>
        <x:v>0</x:v>
      </x:c>
      <x:c r="C32" s="13" t="n">
        <x:f>COUNTIF('Q29'!D16:D35,"Supports claim")</x:f>
        <x:v>0</x:v>
      </x:c>
      <x:c r="D32" s="13" t="n">
        <x:f>COUNTIF('Q29'!D16:D35,"Partially supports claim")</x:f>
        <x:v>0</x:v>
      </x:c>
      <x:c r="E32" s="13" t="n">
        <x:f>COUNTIF('Q29'!D16:D35,"Does not support claim")</x:f>
        <x:v>0</x:v>
      </x:c>
    </x:row>
    <x:row r="33" ht="15.75" customHeight="1">
      <x:c r="A33" s="34">
        <x:v>30.0</x:v>
      </x:c>
      <x:c r="B33" s="13" t="n">
        <x:f>COUNTA('Q30'!B16:B35)</x:f>
        <x:v>0</x:v>
      </x:c>
      <x:c r="C33" s="13" t="n">
        <x:f>COUNTIF('Q30'!D16:D35,"Supports claim")</x:f>
        <x:v>0</x:v>
      </x:c>
      <x:c r="D33" s="13" t="n">
        <x:f>COUNTIF('Q30'!D16:D35,"Partially supports claim")</x:f>
        <x:v>0</x:v>
      </x:c>
      <x:c r="E33" s="13" t="n">
        <x:f>COUNTIF('Q30'!D16:D35,"Does not support claim")</x:f>
        <x:v>0</x:v>
      </x:c>
    </x:row>
    <x:row r="34" ht="15.75" customHeight="1">
      <x:c r="A34" s="34">
        <x:v>34.0</x:v>
      </x:c>
      <x:c r="B34" s="13" t="n">
        <x:f>COUNTA('Q34'!B16:B35)</x:f>
        <x:v>0</x:v>
      </x:c>
      <x:c r="C34" s="13" t="n">
        <x:f>COUNTIF('Q34'!D16:D35,"Supports claim")</x:f>
        <x:v>0</x:v>
      </x:c>
      <x:c r="D34" s="13" t="n">
        <x:f>COUNTIF('Q34'!D16:D35,"Partially supports claim")</x:f>
        <x:v>0</x:v>
      </x:c>
      <x:c r="E34" s="13" t="n">
        <x:f>COUNTIF('Q34'!D16:D35,"Does not support claim")</x:f>
        <x:v>0</x:v>
      </x:c>
    </x:row>
    <x:row r="35" ht="15.75" customHeight="1">
      <x:c r="A35" s="34">
        <x:v>35.0</x:v>
      </x:c>
      <x:c r="B35" s="13" t="n">
        <x:f>COUNTA('Q35'!B16:B35)</x:f>
        <x:v>0</x:v>
      </x:c>
      <x:c r="C35" s="13" t="n">
        <x:f>COUNTIF('Q35'!D16:D35,"Supports claim")</x:f>
        <x:v>0</x:v>
      </x:c>
      <x:c r="D35" s="13" t="n">
        <x:f>COUNTIF('Q35'!D16:D35,"Partially supports claim")</x:f>
        <x:v>0</x:v>
      </x:c>
      <x:c r="E35" s="13" t="n">
        <x:f>COUNTIF('Q35'!D16:D35,"Does not support claim")</x:f>
        <x:v>0</x:v>
      </x:c>
    </x:row>
    <x:row r="36" ht="15.75" customHeight="1">
      <x:c r="A36" s="34">
        <x:v>36.0</x:v>
      </x:c>
      <x:c r="B36" s="13" t="n">
        <x:f>COUNTA('Q36'!B16:B35)</x:f>
        <x:v>0</x:v>
      </x:c>
      <x:c r="C36" s="13" t="n">
        <x:f>COUNTIF('Q36'!D16:D35,"Supports claim")</x:f>
        <x:v>0</x:v>
      </x:c>
      <x:c r="D36" s="13" t="n">
        <x:f>COUNTIF('Q36'!D16:D35,"Partially supports claim")</x:f>
        <x:v>0</x:v>
      </x:c>
      <x:c r="E36" s="13" t="n">
        <x:f>COUNTIF('Q36'!D16:D35,"Does not support claim")</x:f>
        <x:v>0</x:v>
      </x:c>
    </x:row>
    <x:row r="37" ht="15.75" customHeight="1">
      <x:c r="A37" s="34">
        <x:v>37.0</x:v>
      </x:c>
      <x:c r="B37" s="13" t="n">
        <x:f>COUNTA('Q37'!B16:B35)</x:f>
        <x:v>0</x:v>
      </x:c>
      <x:c r="C37" s="13" t="n">
        <x:f>COUNTIF('Q37'!D16:D35,"Supports claim")</x:f>
        <x:v>0</x:v>
      </x:c>
      <x:c r="D37" s="13" t="n">
        <x:f>COUNTIF('Q37'!D16:D35,"Partially supports claim")</x:f>
        <x:v>0</x:v>
      </x:c>
      <x:c r="E37" s="13" t="n">
        <x:f>COUNTIF('Q37'!D16:D35,"Does not support claim")</x:f>
        <x:v>0</x:v>
      </x:c>
    </x:row>
    <x:row r="38" ht="15.75" customHeight="1">
      <x:c r="A38" s="34">
        <x:v>38.0</x:v>
      </x:c>
      <x:c r="B38" s="13" t="n">
        <x:f>COUNTA('Q38'!B16:B35)</x:f>
        <x:v>0</x:v>
      </x:c>
      <x:c r="C38" s="13" t="n">
        <x:f>COUNTIF('Q38'!D16:D35,"Supports claim")</x:f>
        <x:v>0</x:v>
      </x:c>
      <x:c r="D38" s="13" t="n">
        <x:f>COUNTIF('Q38'!D16:D35,"Partially supports claim")</x:f>
        <x:v>0</x:v>
      </x:c>
      <x:c r="E38" s="13" t="n">
        <x:f>COUNTIF('Q38'!D16:D35,"Does not support claim")</x:f>
        <x:v>0</x:v>
      </x:c>
    </x:row>
    <x:row r="39" ht="15.75" customHeight="1">
      <x:c r="A39" s="34">
        <x:v>39.0</x:v>
      </x:c>
      <x:c r="B39" s="13" t="n">
        <x:f>COUNTA('Q39'!B16:B35)</x:f>
        <x:v>0</x:v>
      </x:c>
      <x:c r="C39" s="13" t="n">
        <x:f>COUNTIF('Q39'!D16:D35,"Supports claim")</x:f>
        <x:v>0</x:v>
      </x:c>
      <x:c r="D39" s="13" t="n">
        <x:f>COUNTIF('Q39'!D16:D35,"Partially supports claim")</x:f>
        <x:v>0</x:v>
      </x:c>
      <x:c r="E39" s="13" t="n">
        <x:f>COUNTIF('Q39'!D16:D35,"Does not support claim")</x:f>
        <x:v>0</x:v>
      </x:c>
    </x:row>
    <x:row r="40" ht="15.75" customHeight="1">
      <x:c r="A40" s="34">
        <x:v>40.0</x:v>
      </x:c>
      <x:c r="B40" s="13" t="n">
        <x:f>COUNTA('Q40'!B16:B35)</x:f>
        <x:v>0</x:v>
      </x:c>
      <x:c r="C40" s="13" t="n">
        <x:f>COUNTIF('Q40'!D16:D35,"Supports claim")</x:f>
        <x:v>0</x:v>
      </x:c>
      <x:c r="D40" s="13" t="n">
        <x:f>COUNTIF('Q40'!D16:D35,"Partially supports claim")</x:f>
        <x:v>0</x:v>
      </x:c>
      <x:c r="E40" s="13" t="n">
        <x:f>COUNTIF('Q40'!D16:D35,"Does not support claim")</x:f>
        <x:v>0</x:v>
      </x:c>
    </x:row>
    <x:row r="41" ht="15.75" customHeight="1">
      <x:c r="A41" s="34">
        <x:v>41.0</x:v>
      </x:c>
      <x:c r="B41" s="13" t="n">
        <x:f>COUNTA('Q41'!B16:B35)</x:f>
        <x:v>0</x:v>
      </x:c>
      <x:c r="C41" s="13" t="n">
        <x:f>COUNTIF('Q41'!D16:D35,"Supports claim")</x:f>
        <x:v>0</x:v>
      </x:c>
      <x:c r="D41" s="13" t="n">
        <x:f>COUNTIF('Q41'!D16:D35,"Partially supports claim")</x:f>
        <x:v>0</x:v>
      </x:c>
      <x:c r="E41" s="13" t="n">
        <x:f>COUNTIF('Q41'!D16:D35,"Does not support claim")</x:f>
        <x:v>0</x:v>
      </x:c>
    </x:row>
    <x:row r="42" ht="15.75" customHeight="1">
      <x:c r="A42" s="34">
        <x:v>42.0</x:v>
      </x:c>
      <x:c r="B42" s="13" t="n">
        <x:f>COUNTA('Q42'!B16:B35)</x:f>
        <x:v>0</x:v>
      </x:c>
      <x:c r="C42" s="13" t="n">
        <x:f>COUNTIF('Q42'!D16:D35,"Supports claim")</x:f>
        <x:v>0</x:v>
      </x:c>
      <x:c r="D42" s="13" t="n">
        <x:f>COUNTIF('Q42'!D16:D35,"Partially supports claim")</x:f>
        <x:v>0</x:v>
      </x:c>
      <x:c r="E42" s="13" t="n">
        <x:f>COUNTIF('Q42'!D16:D35,"Does not support claim")</x:f>
        <x:v>0</x:v>
      </x:c>
    </x:row>
    <x:row r="43" ht="15.75" customHeight="1">
      <x:c r="A43" s="34">
        <x:v>43.0</x:v>
      </x:c>
      <x:c r="B43" s="13" t="n">
        <x:f>COUNTA('Q43'!B16:B35)</x:f>
        <x:v>0</x:v>
      </x:c>
      <x:c r="C43" s="13" t="n">
        <x:f>COUNTIF('Q43'!D16:D35,"Supports claim")</x:f>
        <x:v>0</x:v>
      </x:c>
      <x:c r="D43" s="13" t="n">
        <x:f>COUNTIF('Q43'!D16:D35,"Partially supports claim")</x:f>
        <x:v>0</x:v>
      </x:c>
      <x:c r="E43" s="13" t="n">
        <x:f>COUNTIF('Q43'!D16:D35,"Does not support claim")</x:f>
        <x:v>0</x:v>
      </x:c>
    </x:row>
    <x:row r="44" ht="15.75" customHeight="1">
      <x:c r="A44" s="34">
        <x:v>44.0</x:v>
      </x:c>
      <x:c r="B44" s="13" t="n">
        <x:f>COUNTA('Q44'!B16:B35)</x:f>
        <x:v>0</x:v>
      </x:c>
      <x:c r="C44" s="13" t="n">
        <x:f>COUNTIF('Q44'!D16:D35,"Supports claim")</x:f>
        <x:v>0</x:v>
      </x:c>
      <x:c r="D44" s="13" t="n">
        <x:f>COUNTIF('Q44'!D16:D35,"Partially supports claim")</x:f>
        <x:v>0</x:v>
      </x:c>
      <x:c r="E44" s="13" t="n">
        <x:f>COUNTIF('Q44'!D16:D35,"Does not support claim")</x:f>
        <x:v>0</x:v>
      </x:c>
    </x:row>
    <x:row r="45" ht="15.75" customHeight="1">
      <x:c r="A45" s="34">
        <x:v>45.0</x:v>
      </x:c>
      <x:c r="B45" s="13" t="n">
        <x:f>COUNTA('Q45'!B16:B35)</x:f>
        <x:v>0</x:v>
      </x:c>
      <x:c r="C45" s="13" t="n">
        <x:f>COUNTIF('Q45'!D16:D35,"Supports claim")</x:f>
        <x:v>0</x:v>
      </x:c>
      <x:c r="D45" s="13" t="n">
        <x:f>COUNTIF('Q45'!D16:D35,"Partially supports claim")</x:f>
        <x:v>0</x:v>
      </x:c>
      <x:c r="E45" s="13" t="n">
        <x:f>COUNTIF('Q45'!D16:D35,"Does not support claim")</x:f>
        <x:v>0</x:v>
      </x:c>
    </x:row>
    <x:row r="46" ht="15.75" customHeight="1">
      <x:c r="A46" s="34">
        <x:v>46.0</x:v>
      </x:c>
      <x:c r="B46" s="13" t="n">
        <x:f>COUNTA('Q46'!B16:B35)</x:f>
        <x:v>0</x:v>
      </x:c>
      <x:c r="C46" s="13" t="n">
        <x:f>COUNTIF('Q46'!D16:D35,"Supports claim")</x:f>
        <x:v>0</x:v>
      </x:c>
      <x:c r="D46" s="13" t="n">
        <x:f>COUNTIF('Q46'!D16:D35,"Partially supports claim")</x:f>
        <x:v>0</x:v>
      </x:c>
      <x:c r="E46" s="13" t="n">
        <x:f>COUNTIF('Q46'!D16:D35,"Does not support claim")</x:f>
        <x:v>0</x:v>
      </x:c>
    </x:row>
    <x:row r="47" ht="15.75" customHeight="1">
      <x:c r="A47" s="34">
        <x:v>47.0</x:v>
      </x:c>
      <x:c r="B47" s="13" t="n">
        <x:f>COUNTA('Q47'!B16:B35)</x:f>
        <x:v>0</x:v>
      </x:c>
      <x:c r="C47" s="13" t="n">
        <x:f>COUNTIF('Q47'!D16:D35,"Supports claim")</x:f>
        <x:v>0</x:v>
      </x:c>
      <x:c r="D47" s="13" t="n">
        <x:f>COUNTIF('Q47'!D16:D35,"Partially supports claim")</x:f>
        <x:v>0</x:v>
      </x:c>
      <x:c r="E47" s="13" t="n">
        <x:f>COUNTIF('Q47'!D16:D35,"Does not support claim")</x:f>
        <x:v>0</x:v>
      </x:c>
    </x:row>
    <x:row r="48" ht="15.75" customHeight="1">
      <x:c r="A48" s="34">
        <x:v>48.0</x:v>
      </x:c>
      <x:c r="B48" s="13" t="n">
        <x:f>COUNTA('Q48'!B16:B35)</x:f>
        <x:v>0</x:v>
      </x:c>
      <x:c r="C48" s="13" t="n">
        <x:f>COUNTIF('Q48'!D16:D35,"Supports claim")</x:f>
        <x:v>0</x:v>
      </x:c>
      <x:c r="D48" s="13" t="n">
        <x:f>COUNTIF('Q48'!D16:D35,"Partially supports claim")</x:f>
        <x:v>0</x:v>
      </x:c>
      <x:c r="E48" s="13" t="n">
        <x:f>COUNTIF('Q48'!D16:D35,"Does not support claim")</x:f>
        <x:v>0</x:v>
      </x:c>
    </x:row>
    <x:row r="49" ht="15.75" customHeight="1">
      <x:c r="A49" s="34">
        <x:v>49.0</x:v>
      </x:c>
      <x:c r="B49" s="13" t="n">
        <x:f>COUNTA('Q49'!B16:B35)</x:f>
        <x:v>0</x:v>
      </x:c>
      <x:c r="C49" s="13" t="n">
        <x:f>COUNTIF('Q49'!D16:D35,"Supports claim")</x:f>
        <x:v>0</x:v>
      </x:c>
      <x:c r="D49" s="13" t="n">
        <x:f>COUNTIF('Q49'!D16:D35,"Partially supports claim")</x:f>
        <x:v>0</x:v>
      </x:c>
      <x:c r="E49" s="13" t="n">
        <x:f>COUNTIF('Q49'!D16:D35,"Does not support claim")</x:f>
        <x:v>0</x:v>
      </x:c>
    </x:row>
    <x:row r="50" ht="15.75" customHeight="1">
      <x:c r="A50" s="34">
        <x:v>50.0</x:v>
      </x:c>
      <x:c r="B50" s="13" t="n">
        <x:f>COUNTA('Q50'!B16:B35)</x:f>
        <x:v>0</x:v>
      </x:c>
      <x:c r="C50" s="13" t="n">
        <x:f>COUNTIF('Q50'!D16:D35,"Supports claim")</x:f>
        <x:v>0</x:v>
      </x:c>
      <x:c r="D50" s="13" t="n">
        <x:f>COUNTIF('Q50'!D16:D35,"Partially supports claim")</x:f>
        <x:v>0</x:v>
      </x:c>
      <x:c r="E50" s="13" t="n">
        <x:f>COUNTIF('Q50'!D16:D35,"Does not support claim")</x:f>
        <x:v>0</x:v>
      </x:c>
    </x:row>
    <x:row r="51" ht="15.75" customHeight="1">
      <x:c r="A51" s="34">
        <x:v>51.0</x:v>
      </x:c>
      <x:c r="B51" s="13" t="n">
        <x:f>COUNTA('Q51'!B16:B35)</x:f>
        <x:v>0</x:v>
      </x:c>
      <x:c r="C51" s="13" t="n">
        <x:f>COUNTIF('Q51'!D16:D35,"Supports claim")</x:f>
        <x:v>0</x:v>
      </x:c>
      <x:c r="D51" s="13" t="n">
        <x:f>COUNTIF('Q51'!D16:D35,"Partially supports claim")</x:f>
        <x:v>0</x:v>
      </x:c>
      <x:c r="E51" s="13" t="n">
        <x:f>COUNTIF('Q51'!D16:D35,"Does not support claim")</x:f>
        <x:v>0</x:v>
      </x:c>
    </x:row>
    <x:row r="52" ht="15.75" customHeight="1">
      <x:c r="A52" s="34">
        <x:v>52.0</x:v>
      </x:c>
      <x:c r="B52" s="13" t="n">
        <x:f>COUNTA('Q52'!B16:B35)</x:f>
        <x:v>0</x:v>
      </x:c>
      <x:c r="C52" s="13" t="n">
        <x:f>COUNTIF('Q52'!D16:D35,"Supports claim")</x:f>
        <x:v>0</x:v>
      </x:c>
      <x:c r="D52" s="13" t="n">
        <x:f>COUNTIF('Q52'!D16:D35,"Partially supports claim")</x:f>
        <x:v>0</x:v>
      </x:c>
      <x:c r="E52" s="13" t="n">
        <x:f>COUNTIF('Q52'!D16:D35,"Does not support claim")</x:f>
        <x:v>0</x:v>
      </x:c>
    </x:row>
    <x:row r="53" ht="15.75" customHeight="1">
      <x:c r="A53" s="34">
        <x:v>53.0</x:v>
      </x:c>
      <x:c r="B53" s="13" t="n">
        <x:f>COUNTA('Q53'!B16:B35)</x:f>
        <x:v>0</x:v>
      </x:c>
      <x:c r="C53" s="13" t="n">
        <x:f>COUNTIF('Q53'!D16:D35,"Supports claim")</x:f>
        <x:v>0</x:v>
      </x:c>
      <x:c r="D53" s="13" t="n">
        <x:f>COUNTIF('Q53'!D16:D35,"Partially supports claim")</x:f>
        <x:v>0</x:v>
      </x:c>
      <x:c r="E53" s="13" t="n">
        <x:f>COUNTIF('Q53'!D16:D35,"Does not support claim")</x:f>
        <x:v>0</x:v>
      </x:c>
    </x:row>
    <x:row r="54" ht="15.75" customHeight="1">
      <x:c r="A54" s="34">
        <x:v>54.0</x:v>
      </x:c>
      <x:c r="B54" s="13" t="n">
        <x:f>COUNTA('Q54'!B16:B35)</x:f>
        <x:v>0</x:v>
      </x:c>
      <x:c r="C54" s="13" t="n">
        <x:f>COUNTIF('Q54'!D16:D35,"Supports claim")</x:f>
        <x:v>0</x:v>
      </x:c>
      <x:c r="D54" s="13" t="n">
        <x:f>COUNTIF('Q54'!D16:D35,"Partially supports claim")</x:f>
        <x:v>0</x:v>
      </x:c>
      <x:c r="E54" s="13" t="n">
        <x:f>COUNTIF('Q54'!D16:D35,"Does not support claim")</x:f>
        <x:v>0</x:v>
      </x:c>
    </x:row>
    <x:row r="55" ht="15.75" customHeight="1">
      <x:c r="A55" s="34">
        <x:v>55.0</x:v>
      </x:c>
      <x:c r="B55" s="13" t="n">
        <x:f>COUNTA('Q55'!B16:B35)</x:f>
        <x:v>0</x:v>
      </x:c>
      <x:c r="C55" s="13" t="n">
        <x:f>COUNTIF('Q55'!D16:D35,"Supports claim")</x:f>
        <x:v>0</x:v>
      </x:c>
      <x:c r="D55" s="13" t="n">
        <x:f>COUNTIF('Q55'!D16:D35,"Partially supports claim")</x:f>
        <x:v>0</x:v>
      </x:c>
      <x:c r="E55" s="13" t="n">
        <x:f>COUNTIF('Q55'!D16:D35,"Does not support claim")</x:f>
        <x:v>0</x:v>
      </x:c>
    </x:row>
    <x:row r="56" ht="15.75" customHeight="1">
      <x:c r="A56" s="34">
        <x:v>56.0</x:v>
      </x:c>
      <x:c r="B56" s="13" t="n">
        <x:f>COUNTA('Q56'!B16:B35)</x:f>
        <x:v>0</x:v>
      </x:c>
      <x:c r="C56" s="13" t="n">
        <x:f>COUNTIF('Q56'!D16:D35,"Supports claim")</x:f>
        <x:v>0</x:v>
      </x:c>
      <x:c r="D56" s="13" t="n">
        <x:f>COUNTIF('Q56'!D16:D35,"Partially supports claim")</x:f>
        <x:v>0</x:v>
      </x:c>
      <x:c r="E56" s="13" t="n">
        <x:f>COUNTIF('Q56'!D16:D35,"Does not support claim")</x:f>
        <x:v>0</x:v>
      </x:c>
    </x:row>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7.86000061035156" customWidth="1"/>
    <x:col min="3" max="3" width="65.43000030517578" customWidth="1"/>
    <x:col min="4" max="4" width="18" customWidth="1"/>
    <x:col min="5" max="5" width="58.709999084472656" customWidth="1"/>
    <x:col min="6" max="6" width="30" customWidth="1"/>
    <x:col min="7" max="7" width="17.56999969482422" customWidth="1"/>
    <x:col min="8" max="8" width="34" customWidth="1"/>
    <x:col min="9" max="9" width="18" customWidth="1"/>
    <x:col min="10" max="10" width="63.709999084472656" customWidth="1"/>
    <x:col min="11" max="11" width="30" customWidth="1"/>
    <x:col min="12" max="27" width="8.710000038146973" customWidth="1"/>
  </x:cols>
  <x:sheetData>
    <x:row r="1" ht="27.75" customHeight="1">
      <x:c r="A1" s="21" t="s">
        <x:v>192</x:v>
      </x:c>
      <x:c r="B1" s="4"/>
      <x:c r="C1" s="4"/>
      <x:c r="D1" s="4"/>
      <x:c r="E1" s="4"/>
      <x:c r="F1" s="4"/>
      <x:c r="G1" s="4"/>
      <x:c r="H1" s="4"/>
      <x:c r="I1" s="5"/>
    </x:row>
    <x:row r="2">
      <x:c r="A2" s="22" t="s">
        <x:v>193</x:v>
      </x:c>
      <x:c r="B2" s="4"/>
      <x:c r="C2" s="4"/>
      <x:c r="D2" s="4"/>
      <x:c r="E2" s="4"/>
      <x:c r="F2" s="4"/>
      <x:c r="G2" s="4"/>
      <x:c r="H2" s="4"/>
      <x:c r="I2" s="5"/>
    </x:row>
    <x:row r="3" hidden="1">
      <x:c r="A3" s="23" t="s">
        <x:v>50</x:v>
      </x:c>
      <x:c r="B3" s="24">
        <x:v>15.0</x:v>
      </x:c>
    </x:row>
    <x:row r="4" hidden="1">
      <x:c r="A4" s="23" t="s">
        <x:v>51</x:v>
      </x:c>
      <x:c r="B4" s="7" t="s">
        <x:v>87</x:v>
      </x:c>
    </x:row>
    <x:row r="5" hidden="1">
      <x:c r="A5" s="23" t="s">
        <x:v>52</x:v>
      </x:c>
      <x:c r="B5" s="7" t="s">
        <x:v>75</x:v>
      </x:c>
    </x:row>
    <x:row r="6" hidden="1">
      <x:c r="A6" s="23" t="s">
        <x:v>194</x:v>
      </x:c>
      <x:c r="B6" s="7" t="s">
        <x:v>195</x:v>
      </x:c>
    </x:row>
    <x:row r="7" hidden="1">
      <x:c r="A7" s="23" t="s">
        <x:v>196</x:v>
      </x:c>
      <x:c r="B7" s="7" t="s">
        <x:v>197</x:v>
      </x:c>
    </x:row>
    <x:row r="8">
      <x:c r="A8" s="23" t="s">
        <x:v>53</x:v>
      </x:c>
      <x:c r="B8" s="7" t="s">
        <x:v>94</x:v>
      </x:c>
    </x:row>
    <x:row r="9">
      <x:c r="A9" s="23" t="s">
        <x:v>198</x:v>
      </x:c>
      <x:c r="B9" s="7"/>
      <x:c r="C9" s="23" t="s">
        <x:v>199</x:v>
      </x:c>
      <x:c r="D9" s="7"/>
      <x:c r="E9" s="23"/>
      <x:c r="F9" s="7"/>
      <x:c r="G9" s="23"/>
      <x:c r="H9" s="23"/>
      <x:c r="I9" s="7"/>
    </x:row>
    <x:row r="10">
      <x:c r="A10" s="22"/>
      <x:c r="B10" s="4"/>
      <x:c r="C10" s="4"/>
      <x:c r="D10" s="4"/>
      <x:c r="E10" s="4"/>
      <x:c r="F10" s="4"/>
      <x:c r="G10" s="4"/>
      <x:c r="H10" s="4"/>
      <x:c r="I10" s="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15.75" customHeight="1"/>
    <x:row r="152" ht="15.75" customHeight="1"/>
    <x:row r="153" ht="15.75" customHeight="1"/>
    <x:row r="154" ht="54"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sheetData>
  <x:mergeCells>
    <x:mergeCell ref="A1:I1"/>
    <x:mergeCell ref="A2:I2"/>
    <x:mergeCell ref="B3:I3"/>
    <x:mergeCell ref="B4:I4"/>
    <x:mergeCell ref="B5:I5"/>
    <x:mergeCell ref="B6:I6"/>
    <x:mergeCell ref="B7:I7"/>
    <x:mergeCell ref="B8:I8"/>
    <x:mergeCell ref="A10:I10"/>
    <x:mergeCell ref="A11:J11"/>
    <x:mergeCell ref="A13:J13"/>
    <x:mergeCell ref="A14:J14"/>
    <x:mergeCell ref="A37:J37"/>
    <x:mergeCell ref="A141:B141"/>
  </x:mergeCells>
  <x:dataValidations count="10">
    <x:dataValidation type="list" allowBlank="1" showErrorMessage="1" sqref="B128">
      <x:formula1>"Carolina,Arthur,Jeanne"</x:formula1>
    </x:dataValidation>
    <x:dataValidation type="list" allowBlank="1" showErrorMessage="1" sqref="I14:I113 D117:D125">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1">
      <x:formula1>"Review completed,Review is required"</x:formula1>
    </x:dataValidation>
    <x:dataValidation type="list" allowBlank="1" showErrorMessage="1" sqref="B129">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27612be1009142bd"/>
</x:worksheet>
</file>

<file path=xl/worksheets/sheet6.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1.709999084472656" customWidth="1"/>
    <x:col min="3" max="3" width="39.709999084472656" customWidth="1"/>
    <x:col min="4" max="4" width="18" customWidth="1"/>
    <x:col min="5" max="5" width="49" customWidth="1"/>
    <x:col min="6" max="6" width="49.290000915527344" customWidth="1"/>
    <x:col min="7" max="7" width="30" customWidth="1"/>
    <x:col min="8" max="8" width="34" customWidth="1"/>
    <x:col min="9" max="10" width="18" customWidth="1"/>
    <x:col min="11" max="11" width="30" customWidth="1"/>
    <x:col min="12" max="27" width="8.710000038146973" customWidth="1"/>
  </x:cols>
  <x:sheetData>
    <x:row r="1" ht="27.75" customHeight="1">
      <x:c r="A1" s="21" t="s">
        <x:v>200</x:v>
      </x:c>
      <x:c r="B1" s="4"/>
      <x:c r="C1" s="4"/>
      <x:c r="D1" s="4"/>
      <x:c r="E1" s="4"/>
      <x:c r="F1" s="4"/>
      <x:c r="G1" s="4"/>
      <x:c r="H1" s="4"/>
      <x:c r="I1" s="5"/>
    </x:row>
    <x:row r="2" hidden="1">
      <x:c r="A2" s="22" t="s">
        <x:v>193</x:v>
      </x:c>
      <x:c r="B2" s="4"/>
      <x:c r="C2" s="4"/>
      <x:c r="D2" s="4"/>
      <x:c r="E2" s="4"/>
      <x:c r="F2" s="4"/>
      <x:c r="G2" s="4"/>
      <x:c r="H2" s="4"/>
      <x:c r="I2" s="5"/>
    </x:row>
    <x:row r="3" hidden="1">
      <x:c r="A3" s="23" t="s">
        <x:v>50</x:v>
      </x:c>
      <x:c r="B3" s="24">
        <x:v>16.0</x:v>
      </x:c>
    </x:row>
    <x:row r="4" hidden="1">
      <x:c r="A4" s="23" t="s">
        <x:v>51</x:v>
      </x:c>
      <x:c r="B4" s="7" t="s">
        <x:v>90</x:v>
      </x:c>
    </x:row>
    <x:row r="5" hidden="1">
      <x:c r="A5" s="23" t="s">
        <x:v>52</x:v>
      </x:c>
      <x:c r="B5" s="7" t="s">
        <x:v>75</x:v>
      </x:c>
    </x:row>
    <x:row r="6" hidden="1">
      <x:c r="A6" s="23" t="s">
        <x:v>194</x:v>
      </x:c>
      <x:c r="B6" s="7" t="s">
        <x:v>195</x:v>
      </x:c>
    </x:row>
    <x:row r="7" hidden="1">
      <x:c r="A7" s="23" t="s">
        <x:v>196</x:v>
      </x:c>
      <x:c r="B7" s="7" t="s">
        <x:v>197</x:v>
      </x:c>
    </x:row>
    <x:row r="8">
      <x:c r="A8" s="23" t="s">
        <x:v>53</x:v>
      </x:c>
      <x:c r="B8" s="7" t="s">
        <x:v>95</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c r="K93" s="32"/>
      <x:c r="L93" s="32"/>
    </x:row>
    <x:row r="94">
      <x:c r="A94" s="96"/>
      <x:c r="B94" s="96"/>
      <x:c r="C94" s="96"/>
      <x:c r="D94" s="96"/>
      <x:c r="E94" s="96"/>
      <x:c r="F94" s="96"/>
      <x:c r="G94" s="96"/>
      <x:c r="H94" s="97"/>
      <x:c r="I94" s="97"/>
      <x:c r="J94" s="97"/>
      <x:c r="K94" s="32"/>
      <x:c r="L94" s="32"/>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15.75" customHeight="1"/>
    <x:row r="152" ht="15.75" customHeight="1"/>
    <x:row r="153" ht="15.75" customHeight="1"/>
    <x:row r="154" ht="54" customHeight="1"/>
    <x:row r="155" ht="15.75" customHeight="1"/>
    <x:row r="156" ht="15.75" customHeight="1"/>
    <x:row r="157" ht="15.75" customHeight="1"/>
    <x:row r="158" ht="15.75" customHeight="1"/>
    <x:row r="159" ht="15.75" customHeight="1"/>
    <x:row r="160" ht="15.75" customHeight="1">
      <x:c r="A160"/>
      <x:c r="B160"/>
      <x:c r="C160"/>
      <x:c r="D160"/>
      <x:c r="E160"/>
      <x:c r="F160"/>
      <x:c r="G160"/>
      <x:c r="H160"/>
      <x:c r="I160"/>
      <x:c r="J160"/>
      <x:c r="K160" s="7"/>
    </x:row>
    <x:row r="161" ht="15.75" customHeight="1">
      <x:c r="A161"/>
      <x:c r="B161"/>
      <x:c r="C161"/>
      <x:c r="D161"/>
      <x:c r="E161"/>
      <x:c r="F161"/>
      <x:c r="G161"/>
      <x:c r="H161"/>
      <x:c r="I161"/>
      <x:c r="J161"/>
      <x:c r="K161" s="7"/>
    </x:row>
    <x:row r="162" ht="54" customHeight="1">
      <x:c r="A162"/>
      <x:c r="B162"/>
      <x:c r="C162"/>
      <x:c r="D162"/>
      <x:c r="E162"/>
      <x:c r="F162"/>
      <x:c r="G162"/>
      <x:c r="H162"/>
      <x:c r="I162"/>
      <x:c r="J162"/>
      <x:c r="K162" s="7"/>
    </x:row>
    <x:row r="163" ht="15.75" customHeight="1">
      <x:c r="A163"/>
      <x:c r="B163"/>
      <x:c r="C163"/>
      <x:c r="D163"/>
      <x:c r="E163"/>
      <x:c r="F163"/>
      <x:c r="G163"/>
      <x:c r="H163"/>
      <x:c r="I163"/>
      <x:c r="J163"/>
      <x:c r="K163" s="7"/>
    </x:row>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sheetData>
  <x:mergeCells>
    <x:mergeCell ref="B8:I8"/>
    <x:mergeCell ref="A10:K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28">
      <x:formula1>"Carolina,Arthur,Jeanne"</x:formula1>
    </x:dataValidation>
    <x:dataValidation type="list" allowBlank="1" showErrorMessage="1" sqref="I14:I113 D117:D125">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1">
      <x:formula1>"Review completed,Review is required"</x:formula1>
    </x:dataValidation>
    <x:dataValidation type="list" allowBlank="1" showErrorMessage="1" sqref="B129">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ff6e39f25f9349f3"/>
</x:worksheet>
</file>

<file path=xl/worksheets/sheet7.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71.43000030517578" customWidth="1"/>
    <x:col min="3" max="3" width="54.56999969482422" customWidth="1"/>
    <x:col min="4" max="4" width="18" customWidth="1"/>
    <x:col min="5" max="5" width="61.290000915527344" customWidth="1"/>
    <x:col min="6" max="7" width="30" customWidth="1"/>
    <x:col min="8" max="8" width="34" customWidth="1"/>
    <x:col min="9" max="10" width="18" customWidth="1"/>
    <x:col min="11" max="11" width="30" customWidth="1"/>
    <x:col min="12" max="27" width="8.710000038146973" customWidth="1"/>
  </x:cols>
  <x:sheetData>
    <x:row r="1" ht="27.75" customHeight="1">
      <x:c r="A1" s="21" t="s">
        <x:v>201</x:v>
      </x:c>
      <x:c r="B1" s="4"/>
      <x:c r="C1" s="4"/>
      <x:c r="D1" s="4"/>
      <x:c r="E1" s="4"/>
      <x:c r="F1" s="4"/>
      <x:c r="G1" s="4"/>
      <x:c r="H1" s="4"/>
      <x:c r="I1" s="5"/>
    </x:row>
    <x:row r="2" hidden="1">
      <x:c r="A2" s="22" t="s">
        <x:v>193</x:v>
      </x:c>
      <x:c r="B2" s="4"/>
      <x:c r="C2" s="4"/>
      <x:c r="D2" s="4"/>
      <x:c r="E2" s="4"/>
      <x:c r="F2" s="4"/>
      <x:c r="G2" s="4"/>
      <x:c r="H2" s="4"/>
      <x:c r="I2" s="5"/>
    </x:row>
    <x:row r="3" hidden="1">
      <x:c r="A3" s="23" t="s">
        <x:v>50</x:v>
      </x:c>
      <x:c r="B3" s="24">
        <x:v>17.0</x:v>
      </x:c>
    </x:row>
    <x:row r="4" hidden="1">
      <x:c r="A4" s="23" t="s">
        <x:v>51</x:v>
      </x:c>
      <x:c r="B4" s="7" t="s">
        <x:v>92</x:v>
      </x:c>
    </x:row>
    <x:row r="5" hidden="1">
      <x:c r="A5" s="23" t="s">
        <x:v>52</x:v>
      </x:c>
      <x:c r="B5" s="7" t="s">
        <x:v>75</x:v>
      </x:c>
    </x:row>
    <x:row r="6" hidden="1">
      <x:c r="A6" s="23" t="s">
        <x:v>194</x:v>
      </x:c>
      <x:c r="B6" s="7" t="s">
        <x:v>195</x:v>
      </x:c>
    </x:row>
    <x:row r="7" hidden="1">
      <x:c r="A7" s="23" t="s">
        <x:v>196</x:v>
      </x:c>
      <x:c r="B7" s="7" t="s">
        <x:v>197</x:v>
      </x:c>
    </x:row>
    <x:row r="8">
      <x:c r="A8" s="23" t="s">
        <x:v>53</x:v>
      </x:c>
      <x:c r="B8" s="7" t="s">
        <x:v>96</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15.75" customHeight="1"/>
    <x:row r="151" ht="15.75" customHeight="1"/>
    <x:row r="152" ht="15.75" customHeight="1"/>
    <x:row r="153" ht="54" customHeight="1"/>
    <x:row r="154" ht="15.75" customHeight="1"/>
    <x:row r="155" ht="15.75" customHeight="1"/>
    <x:row r="156" ht="15.75" customHeight="1"/>
    <x:row r="157" ht="15.75" customHeight="1"/>
    <x:row r="158" ht="15.75" customHeight="1"/>
    <x:row r="159" ht="15.75" customHeight="1">
      <x:c r="A159"/>
      <x:c r="B159"/>
      <x:c r="C159"/>
      <x:c r="D159"/>
      <x:c r="E159"/>
      <x:c r="F159"/>
      <x:c r="G159"/>
      <x:c r="H159"/>
      <x:c r="I159"/>
      <x:c r="J159"/>
      <x:c r="K159" s="7"/>
    </x:row>
    <x:row r="160" ht="15.75" customHeight="1">
      <x:c r="A160"/>
      <x:c r="B160"/>
      <x:c r="C160"/>
      <x:c r="D160"/>
      <x:c r="E160"/>
      <x:c r="F160"/>
      <x:c r="G160"/>
      <x:c r="H160"/>
      <x:c r="I160"/>
      <x:c r="J160"/>
      <x:c r="K160" s="7"/>
    </x:row>
    <x:row r="161" ht="54" customHeight="1">
      <x:c r="A161"/>
      <x:c r="B161"/>
      <x:c r="C161"/>
      <x:c r="D161"/>
      <x:c r="E161"/>
      <x:c r="F161"/>
      <x:c r="G161"/>
      <x:c r="H161"/>
      <x:c r="I161"/>
      <x:c r="J161"/>
      <x:c r="K161" s="7"/>
    </x:row>
    <x:row r="162" ht="15.75" customHeight="1">
      <x:c r="A162"/>
      <x:c r="B162"/>
      <x:c r="C162"/>
      <x:c r="D162"/>
      <x:c r="E162"/>
      <x:c r="F162"/>
      <x:c r="G162"/>
      <x:c r="H162"/>
      <x:c r="I162"/>
      <x:c r="J162"/>
      <x:c r="K162" s="7"/>
    </x:row>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sheetData>
  <x:mergeCells>
    <x:mergeCell ref="B8:I8"/>
    <x:mergeCell ref="A10:K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27">
      <x:formula1>"Carolina,Arthur,Jeanne"</x:formula1>
    </x:dataValidation>
    <x:dataValidation type="list" allowBlank="1" showErrorMessage="1" sqref="I14:I113 D117:D124">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0">
      <x:formula1>"Review completed,Review is required"</x:formula1>
    </x:dataValidation>
    <x:dataValidation type="list" allowBlank="1" showErrorMessage="1" sqref="B128">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bc7a12eadb0546bf"/>
</x:worksheet>
</file>

<file path=xl/worksheets/sheet8.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75.70999908447266" customWidth="1"/>
    <x:col min="3" max="3" width="57.56999969482422" customWidth="1"/>
    <x:col min="4" max="4" width="18" customWidth="1"/>
    <x:col min="5" max="5" width="68.70999908447266" customWidth="1"/>
    <x:col min="6" max="7" width="30" customWidth="1"/>
    <x:col min="8" max="8" width="34" customWidth="1"/>
    <x:col min="9" max="10" width="18" customWidth="1"/>
    <x:col min="11" max="11" width="30" customWidth="1"/>
    <x:col min="12" max="27" width="8.710000038146973" customWidth="1"/>
  </x:cols>
  <x:sheetData>
    <x:row r="1" ht="27.75" customHeight="1">
      <x:c r="A1" s="21" t="s">
        <x:v>202</x:v>
      </x:c>
      <x:c r="B1" s="4"/>
      <x:c r="C1" s="4"/>
      <x:c r="D1" s="4"/>
      <x:c r="E1" s="4"/>
      <x:c r="F1" s="4"/>
      <x:c r="G1" s="4"/>
      <x:c r="H1" s="4"/>
      <x:c r="I1" s="5"/>
    </x:row>
    <x:row r="2" hidden="1">
      <x:c r="A2" s="22" t="s">
        <x:v>193</x:v>
      </x:c>
      <x:c r="B2" s="4"/>
      <x:c r="C2" s="4"/>
      <x:c r="D2" s="4"/>
      <x:c r="E2" s="4"/>
      <x:c r="F2" s="4"/>
      <x:c r="G2" s="4"/>
      <x:c r="H2" s="4"/>
      <x:c r="I2" s="5"/>
    </x:row>
    <x:row r="3" hidden="1">
      <x:c r="A3" s="23" t="s">
        <x:v>50</x:v>
      </x:c>
      <x:c r="B3" s="53">
        <x:v>25.0</x:v>
      </x:c>
    </x:row>
    <x:row r="4" hidden="1">
      <x:c r="A4" s="23" t="s">
        <x:v>51</x:v>
      </x:c>
      <x:c r="B4" s="7" t="s">
        <x:v>87</x:v>
      </x:c>
    </x:row>
    <x:row r="5" hidden="1">
      <x:c r="A5" s="23" t="s">
        <x:v>52</x:v>
      </x:c>
      <x:c r="B5" s="7" t="s">
        <x:v>88</x:v>
      </x:c>
    </x:row>
    <x:row r="6" hidden="1">
      <x:c r="A6" s="23" t="s">
        <x:v>194</x:v>
      </x:c>
      <x:c r="B6" s="7" t="s">
        <x:v>195</x:v>
      </x:c>
    </x:row>
    <x:row r="7" hidden="1">
      <x:c r="A7" s="23" t="s">
        <x:v>196</x:v>
      </x:c>
      <x:c r="B7" s="7" t="s">
        <x:v>197</x:v>
      </x:c>
    </x:row>
    <x:row r="8">
      <x:c r="A8" s="23" t="s">
        <x:v>53</x:v>
      </x:c>
      <x:c r="B8" s="54" t="s">
        <x:v>107</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15.75" customHeight="1"/>
    <x:row r="157" ht="15.75" customHeight="1"/>
    <x:row r="158" ht="15.75" customHeight="1"/>
    <x:row r="159" ht="54" customHeight="1"/>
    <x:row r="160" ht="15.75" customHeight="1"/>
    <x:row r="161" ht="15.75" customHeight="1"/>
    <x:row r="162" ht="15.75" customHeight="1"/>
    <x:row r="163" ht="15.75" customHeight="1"/>
    <x:row r="164" ht="15.75" customHeight="1"/>
    <x:row r="165" ht="15.75" customHeight="1">
      <x:c r="A165"/>
      <x:c r="B165"/>
      <x:c r="C165"/>
      <x:c r="D165"/>
      <x:c r="E165"/>
      <x:c r="F165"/>
      <x:c r="G165"/>
      <x:c r="H165"/>
      <x:c r="I165"/>
      <x:c r="J165"/>
      <x:c r="K165" s="7"/>
    </x:row>
    <x:row r="166" ht="15.75" customHeight="1">
      <x:c r="A166"/>
      <x:c r="B166"/>
      <x:c r="C166"/>
      <x:c r="D166"/>
      <x:c r="E166"/>
      <x:c r="F166"/>
      <x:c r="G166"/>
      <x:c r="H166"/>
      <x:c r="I166"/>
      <x:c r="J166"/>
      <x:c r="K166" s="7"/>
    </x:row>
    <x:row r="167" ht="54" customHeight="1">
      <x:c r="A167"/>
      <x:c r="B167"/>
      <x:c r="C167"/>
      <x:c r="D167"/>
      <x:c r="E167"/>
      <x:c r="F167"/>
      <x:c r="G167"/>
      <x:c r="H167"/>
      <x:c r="I167"/>
      <x:c r="J167"/>
      <x:c r="K167" s="7"/>
    </x:row>
    <x:row r="168" ht="15.75" customHeight="1">
      <x:c r="A168"/>
      <x:c r="B168"/>
      <x:c r="C168"/>
      <x:c r="D168"/>
      <x:c r="E168"/>
      <x:c r="F168"/>
      <x:c r="G168"/>
      <x:c r="H168"/>
      <x:c r="I168"/>
      <x:c r="J168"/>
      <x:c r="K168" s="7"/>
    </x:row>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sheetData>
  <x:mergeCells>
    <x:mergeCell ref="B8:I8"/>
    <x:mergeCell ref="A10:K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33">
      <x:formula1>"Carolina,Arthur,Jeanne"</x:formula1>
    </x:dataValidation>
    <x:dataValidation type="list" allowBlank="1" showErrorMessage="1" sqref="I14:I113 D117:D130">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6">
      <x:formula1>"Review completed,Review is required"</x:formula1>
    </x:dataValidation>
    <x:dataValidation type="list" allowBlank="1" showErrorMessage="1" sqref="B134">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e0056808380e4d69"/>
</x:worksheet>
</file>

<file path=xl/worksheets/sheet9.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57.86000061035156" customWidth="1"/>
    <x:col min="3" max="3" width="43.709999084472656" customWidth="1"/>
    <x:col min="4" max="4" width="18" customWidth="1"/>
    <x:col min="5" max="5" width="60.13999938964844" customWidth="1"/>
    <x:col min="6" max="7" width="30" customWidth="1"/>
    <x:col min="8" max="8" width="34" customWidth="1"/>
    <x:col min="9" max="10" width="18" customWidth="1"/>
    <x:col min="11" max="11" width="30" customWidth="1"/>
    <x:col min="12" max="27" width="8.710000038146973" customWidth="1"/>
  </x:cols>
  <x:sheetData>
    <x:row r="1" ht="27.75" customHeight="1">
      <x:c r="A1" s="21" t="s">
        <x:v>203</x:v>
      </x:c>
      <x:c r="B1" s="4"/>
      <x:c r="C1" s="4"/>
      <x:c r="D1" s="4"/>
      <x:c r="E1" s="4"/>
      <x:c r="F1" s="4"/>
      <x:c r="G1" s="4"/>
      <x:c r="H1" s="4"/>
      <x:c r="I1" s="5"/>
    </x:row>
    <x:row r="2" hidden="1">
      <x:c r="A2" s="22" t="s">
        <x:v>193</x:v>
      </x:c>
      <x:c r="B2" s="4"/>
      <x:c r="C2" s="4"/>
      <x:c r="D2" s="4"/>
      <x:c r="E2" s="4"/>
      <x:c r="F2" s="4"/>
      <x:c r="G2" s="4"/>
      <x:c r="H2" s="4"/>
      <x:c r="I2" s="5"/>
    </x:row>
    <x:row r="3" hidden="1">
      <x:c r="A3" s="23" t="s">
        <x:v>50</x:v>
      </x:c>
      <x:c r="B3" s="53">
        <x:v>29.0</x:v>
      </x:c>
    </x:row>
    <x:row r="4" hidden="1">
      <x:c r="A4" s="23" t="s">
        <x:v>51</x:v>
      </x:c>
      <x:c r="B4" s="7" t="s">
        <x:v>110</x:v>
      </x:c>
    </x:row>
    <x:row r="5" hidden="1">
      <x:c r="A5" s="23" t="s">
        <x:v>52</x:v>
      </x:c>
      <x:c r="B5" s="7" t="s">
        <x:v>88</x:v>
      </x:c>
    </x:row>
    <x:row r="6" hidden="1">
      <x:c r="A6" s="23" t="s">
        <x:v>194</x:v>
      </x:c>
      <x:c r="B6" s="7" t="s">
        <x:v>204</x:v>
      </x:c>
    </x:row>
    <x:row r="7" hidden="1">
      <x:c r="A7" s="23" t="s">
        <x:v>196</x:v>
      </x:c>
      <x:c r="B7" s="7" t="s">
        <x:v>197</x:v>
      </x:c>
    </x:row>
    <x:row r="8">
      <x:c r="A8" s="23" t="s">
        <x:v>53</x:v>
      </x:c>
      <x:c r="B8" s="54" t="s">
        <x:v>112</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x:c r="B158"/>
      <x:c r="C158"/>
      <x:c r="D158"/>
      <x:c r="E158"/>
      <x:c r="F158"/>
      <x:c r="G158"/>
      <x:c r="H158"/>
      <x:c r="I158"/>
      <x:c r="J158"/>
      <x:c r="K158" s="7"/>
    </x:row>
    <x:row r="159" ht="15.75" customHeight="1">
      <x:c r="A159"/>
      <x:c r="B159"/>
      <x:c r="C159"/>
      <x:c r="D159"/>
      <x:c r="E159"/>
      <x:c r="F159"/>
      <x:c r="G159"/>
      <x:c r="H159"/>
      <x:c r="I159"/>
      <x:c r="J159"/>
      <x:c r="K159" s="7"/>
    </x:row>
    <x:row r="160" ht="54" customHeight="1">
      <x:c r="A160"/>
      <x:c r="B160"/>
      <x:c r="C160"/>
      <x:c r="D160"/>
      <x:c r="E160"/>
      <x:c r="F160"/>
      <x:c r="G160"/>
      <x:c r="H160"/>
      <x:c r="I160"/>
      <x:c r="J160"/>
      <x:c r="K160" s="7"/>
    </x:row>
    <x:row r="161" ht="15.75" customHeight="1">
      <x:c r="A161"/>
      <x:c r="B161"/>
      <x:c r="C161"/>
      <x:c r="D161"/>
      <x:c r="E161"/>
      <x:c r="F161"/>
      <x:c r="G161"/>
      <x:c r="H161"/>
      <x:c r="I161"/>
      <x:c r="J161"/>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B8:I8"/>
    <x:mergeCell ref="A10:K10"/>
    <x:mergeCell ref="A1:I1"/>
    <x:mergeCell ref="A2:I2"/>
    <x:mergeCell ref="B3:I3"/>
    <x:mergeCell ref="B4:I4"/>
    <x:mergeCell ref="B5:I5"/>
    <x:mergeCell ref="B6:I6"/>
    <x:mergeCell ref="B7:I7"/>
    <x:mergeCell ref="A11:J11"/>
    <x:mergeCell ref="A13:J13"/>
    <x:mergeCell ref="A14:J14"/>
    <x:mergeCell ref="A37:J37"/>
    <x:mergeCell ref="A141:B141"/>
  </x:mergeCells>
  <x:dataValidations count="7">
    <x:dataValidation type="list" allowBlank="1" showErrorMessage="1" sqref="B129">
      <x:formula1>"Review completed,Review is required"</x:formula1>
    </x:dataValidation>
    <x:dataValidation type="list" allowBlank="1" showErrorMessage="1" sqref="B127">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2d5f83b837c9483d"/>
</x:worksheet>
</file>

<file path=xl/worksheets/sheet10.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3.86000061035156" customWidth="1"/>
    <x:col min="3" max="3" width="43.290000915527344" customWidth="1"/>
    <x:col min="4" max="4" width="18" customWidth="1"/>
    <x:col min="5" max="5" width="66.29000091552734" customWidth="1"/>
    <x:col min="6" max="6" width="21.709999084472656" customWidth="1"/>
    <x:col min="7" max="7" width="20.43000030517578" customWidth="1"/>
    <x:col min="8" max="8" width="34" customWidth="1"/>
    <x:col min="9" max="10" width="18" customWidth="1"/>
    <x:col min="11" max="11" width="30" customWidth="1"/>
    <x:col min="12" max="27" width="8.710000038146973" customWidth="1"/>
  </x:cols>
  <x:sheetData>
    <x:row r="1" ht="27.75" customHeight="1">
      <x:c r="A1" s="21" t="s">
        <x:v>205</x:v>
      </x:c>
      <x:c r="B1" s="4"/>
      <x:c r="C1" s="4"/>
      <x:c r="D1" s="4"/>
      <x:c r="E1" s="4"/>
      <x:c r="F1" s="4"/>
      <x:c r="G1" s="4"/>
      <x:c r="H1" s="4"/>
      <x:c r="I1" s="5"/>
    </x:row>
    <x:row r="2" hidden="1">
      <x:c r="A2" s="22" t="s">
        <x:v>193</x:v>
      </x:c>
      <x:c r="B2" s="4"/>
      <x:c r="C2" s="4"/>
      <x:c r="D2" s="4"/>
      <x:c r="E2" s="4"/>
      <x:c r="F2" s="4"/>
      <x:c r="G2" s="4"/>
      <x:c r="H2" s="4"/>
      <x:c r="I2" s="5"/>
    </x:row>
    <x:row r="3" hidden="1">
      <x:c r="A3" s="23" t="s">
        <x:v>50</x:v>
      </x:c>
      <x:c r="B3" s="53">
        <x:v>35.0</x:v>
      </x:c>
    </x:row>
    <x:row r="4" hidden="1">
      <x:c r="A4" s="23" t="s">
        <x:v>51</x:v>
      </x:c>
      <x:c r="B4" s="7" t="s">
        <x:v>120</x:v>
      </x:c>
    </x:row>
    <x:row r="5" hidden="1">
      <x:c r="A5" s="23" t="s">
        <x:v>52</x:v>
      </x:c>
      <x:c r="B5" s="7" t="s">
        <x:v>88</x:v>
      </x:c>
    </x:row>
    <x:row r="6" hidden="1">
      <x:c r="A6" s="23" t="s">
        <x:v>194</x:v>
      </x:c>
      <x:c r="B6" s="7" t="s">
        <x:v>204</x:v>
      </x:c>
    </x:row>
    <x:row r="7" hidden="1">
      <x:c r="A7" s="23" t="s">
        <x:v>196</x:v>
      </x:c>
      <x:c r="B7" s="7" t="s">
        <x:v>197</x:v>
      </x:c>
    </x:row>
    <x:row r="8">
      <x:c r="A8" s="23" t="s">
        <x:v>53</x:v>
      </x:c>
      <x:c r="B8" s="54" t="s">
        <x:v>116</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15.75" customHeight="1"/>
    <x:row r="155" ht="15.75" customHeight="1"/>
    <x:row r="156" ht="15.75" customHeight="1"/>
    <x:row r="157" ht="54" customHeight="1"/>
    <x:row r="158" ht="15.75" customHeight="1"/>
    <x:row r="159" ht="15.75" customHeight="1"/>
    <x:row r="160" ht="15.75" customHeight="1"/>
    <x:row r="161" ht="15.75" customHeight="1"/>
    <x:row r="162" ht="15.75" customHeight="1"/>
    <x:row r="163" ht="15.75" customHeight="1">
      <x:c r="A163"/>
      <x:c r="B163"/>
      <x:c r="C163"/>
      <x:c r="D163"/>
      <x:c r="E163"/>
      <x:c r="F163"/>
      <x:c r="G163"/>
      <x:c r="H163"/>
      <x:c r="I163"/>
      <x:c r="J163"/>
      <x:c r="K163" s="7"/>
    </x:row>
    <x:row r="164" ht="15.75" customHeight="1">
      <x:c r="A164"/>
      <x:c r="B164"/>
      <x:c r="C164"/>
      <x:c r="D164"/>
      <x:c r="E164"/>
      <x:c r="F164"/>
      <x:c r="G164"/>
      <x:c r="H164"/>
      <x:c r="I164"/>
      <x:c r="J164"/>
      <x:c r="K164" s="7"/>
    </x:row>
    <x:row r="165" ht="54" customHeight="1">
      <x:c r="A165"/>
      <x:c r="B165"/>
      <x:c r="C165"/>
      <x:c r="D165"/>
      <x:c r="E165"/>
      <x:c r="F165"/>
      <x:c r="G165"/>
      <x:c r="H165"/>
      <x:c r="I165"/>
      <x:c r="J165"/>
      <x:c r="K165" s="7"/>
    </x:row>
    <x:row r="166" ht="15.75" customHeight="1">
      <x:c r="A166"/>
      <x:c r="B166"/>
      <x:c r="C166"/>
      <x:c r="D166"/>
      <x:c r="E166"/>
      <x:c r="F166"/>
      <x:c r="G166"/>
      <x:c r="H166"/>
      <x:c r="I166"/>
      <x:c r="J166"/>
      <x:c r="K166" s="7"/>
    </x:row>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sheetData>
  <x:mergeCells>
    <x:mergeCell ref="B8:I8"/>
    <x:mergeCell ref="A10:K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31">
      <x:formula1>"Carolina,Arthur,Jeanne"</x:formula1>
    </x:dataValidation>
    <x:dataValidation type="list" allowBlank="1" showErrorMessage="1" sqref="I14:I113 D117:D128">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4">
      <x:formula1>"Review completed,Review is required"</x:formula1>
    </x:dataValidation>
    <x:dataValidation type="list" allowBlank="1" showErrorMessage="1" sqref="B132">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db6c5aee573c4759"/>
</x:worksheet>
</file>

<file path=xl/worksheets/sheet11.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54.86000061035156" customWidth="1"/>
    <x:col min="3" max="3" width="43.86000061035156" customWidth="1"/>
    <x:col min="4" max="4" width="18" customWidth="1"/>
    <x:col min="5" max="5" width="82" customWidth="1"/>
    <x:col min="6" max="7" width="30" customWidth="1"/>
    <x:col min="8" max="8" width="34" customWidth="1"/>
    <x:col min="9" max="10" width="18" customWidth="1"/>
    <x:col min="11" max="11" width="30" customWidth="1"/>
    <x:col min="12" max="27" width="8.710000038146973" customWidth="1"/>
  </x:cols>
  <x:sheetData>
    <x:row r="1" ht="27.75" customHeight="1">
      <x:c r="A1" s="21" t="s">
        <x:v>206</x:v>
      </x:c>
      <x:c r="B1" s="4"/>
      <x:c r="C1" s="4"/>
      <x:c r="D1" s="4"/>
      <x:c r="E1" s="4"/>
      <x:c r="F1" s="4"/>
      <x:c r="G1" s="4"/>
      <x:c r="H1" s="4"/>
      <x:c r="I1" s="5"/>
    </x:row>
    <x:row r="2" hidden="1">
      <x:c r="A2" s="22" t="s">
        <x:v>193</x:v>
      </x:c>
      <x:c r="B2" s="4"/>
      <x:c r="C2" s="4"/>
      <x:c r="D2" s="4"/>
      <x:c r="E2" s="4"/>
      <x:c r="F2" s="4"/>
      <x:c r="G2" s="4"/>
      <x:c r="H2" s="4"/>
      <x:c r="I2" s="5"/>
    </x:row>
    <x:row r="3" hidden="1">
      <x:c r="A3" s="23" t="s">
        <x:v>50</x:v>
      </x:c>
      <x:c r="B3" s="53">
        <x:v>41.0</x:v>
      </x:c>
    </x:row>
    <x:row r="4" hidden="1">
      <x:c r="A4" s="23" t="s">
        <x:v>51</x:v>
      </x:c>
      <x:c r="B4" s="7" t="s">
        <x:v>129</x:v>
      </x:c>
    </x:row>
    <x:row r="5" hidden="1">
      <x:c r="A5" s="23" t="s">
        <x:v>52</x:v>
      </x:c>
      <x:c r="B5" s="7" t="s">
        <x:v>75</x:v>
      </x:c>
    </x:row>
    <x:row r="6" hidden="1">
      <x:c r="A6" s="23" t="s">
        <x:v>194</x:v>
      </x:c>
      <x:c r="B6" s="7" t="s">
        <x:v>195</x:v>
      </x:c>
    </x:row>
    <x:row r="7" hidden="1">
      <x:c r="A7" s="23" t="s">
        <x:v>196</x:v>
      </x:c>
      <x:c r="B7" s="7" t="s">
        <x:v>197</x:v>
      </x:c>
    </x:row>
    <x:row r="8">
      <x:c r="A8" s="23" t="s">
        <x:v>53</x:v>
      </x:c>
      <x:c r="B8" s="54" t="s">
        <x:v>125</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ht="54" customHeight="1">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15.75" customHeight="1"/>
    <x:row r="149" ht="15.75" customHeight="1"/>
    <x:row r="150" ht="15.75" customHeight="1"/>
    <x:row r="151" ht="54" customHeight="1"/>
    <x:row r="152" ht="15.75" customHeight="1"/>
    <x:row r="153" ht="15.75" customHeight="1"/>
    <x:row r="154" ht="15.75" customHeight="1"/>
    <x:row r="155" ht="15.75" customHeight="1"/>
    <x:row r="156" ht="15.75" customHeight="1"/>
    <x:row r="157" ht="15.75" customHeight="1">
      <x:c r="A157"/>
      <x:c r="B157"/>
      <x:c r="C157"/>
      <x:c r="D157"/>
      <x:c r="E157"/>
      <x:c r="F157"/>
      <x:c r="G157"/>
      <x:c r="H157"/>
      <x:c r="I157"/>
      <x:c r="J157"/>
      <x:c r="K157" s="7"/>
    </x:row>
    <x:row r="158" ht="15.75" customHeight="1">
      <x:c r="A158"/>
      <x:c r="B158"/>
      <x:c r="C158"/>
      <x:c r="D158"/>
      <x:c r="E158"/>
      <x:c r="F158"/>
      <x:c r="G158"/>
      <x:c r="H158"/>
      <x:c r="I158"/>
      <x:c r="J158"/>
      <x:c r="K158" s="7"/>
    </x:row>
    <x:row r="159" ht="54" customHeight="1">
      <x:c r="A159"/>
      <x:c r="B159"/>
      <x:c r="C159"/>
      <x:c r="D159"/>
      <x:c r="E159"/>
      <x:c r="F159"/>
      <x:c r="G159"/>
      <x:c r="H159"/>
      <x:c r="I159"/>
      <x:c r="J159"/>
      <x:c r="K159" s="7"/>
    </x:row>
    <x:row r="160" ht="15.75" customHeight="1">
      <x:c r="A160"/>
      <x:c r="B160"/>
      <x:c r="C160"/>
      <x:c r="D160"/>
      <x:c r="E160"/>
      <x:c r="F160"/>
      <x:c r="G160"/>
      <x:c r="H160"/>
      <x:c r="I160"/>
      <x:c r="J160"/>
      <x:c r="K160" s="7"/>
    </x:row>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sheetData>
  <x:mergeCells>
    <x:mergeCell ref="B8:I8"/>
    <x:mergeCell ref="A10:K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25">
      <x:formula1>"Carolina,Arthur,Jeanne"</x:formula1>
    </x:dataValidation>
    <x:dataValidation type="list" allowBlank="1" showErrorMessage="1" sqref="I14:I113 D117:D122">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8">
      <x:formula1>"Review completed,Review is required"</x:formula1>
    </x:dataValidation>
    <x:dataValidation type="list" allowBlank="1" showErrorMessage="1" sqref="B126">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050d441569da4a07"/>
</x:worksheet>
</file>

<file path=xl/worksheets/sheet12.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76" customWidth="1"/>
    <x:col min="3" max="3" width="67.70999908447266" customWidth="1"/>
    <x:col min="4" max="4" width="18" customWidth="1"/>
    <x:col min="5" max="5" width="90.56999969482422" customWidth="1"/>
    <x:col min="6" max="7" width="30" customWidth="1"/>
    <x:col min="8" max="8" width="34" customWidth="1"/>
    <x:col min="9" max="10" width="18" customWidth="1"/>
    <x:col min="11" max="11" width="30" customWidth="1"/>
    <x:col min="12" max="27" width="8.710000038146973" customWidth="1"/>
  </x:cols>
  <x:sheetData>
    <x:row r="1" ht="27.75" customHeight="1">
      <x:c r="A1" s="21" t="s">
        <x:v>207</x:v>
      </x:c>
      <x:c r="B1" s="4"/>
      <x:c r="C1" s="4"/>
      <x:c r="D1" s="4"/>
      <x:c r="E1" s="4"/>
      <x:c r="F1" s="4"/>
      <x:c r="G1" s="4"/>
      <x:c r="H1" s="4"/>
      <x:c r="I1" s="5"/>
    </x:row>
    <x:row r="2" hidden="1">
      <x:c r="A2" s="22" t="s">
        <x:v>193</x:v>
      </x:c>
      <x:c r="B2" s="4"/>
      <x:c r="C2" s="4"/>
      <x:c r="D2" s="4"/>
      <x:c r="E2" s="4"/>
      <x:c r="F2" s="4"/>
      <x:c r="G2" s="4"/>
      <x:c r="H2" s="4"/>
      <x:c r="I2" s="5"/>
    </x:row>
    <x:row r="3" hidden="1">
      <x:c r="A3" s="23" t="s">
        <x:v>50</x:v>
      </x:c>
      <x:c r="B3" s="53">
        <x:v>45.0</x:v>
      </x:c>
    </x:row>
    <x:row r="4" hidden="1">
      <x:c r="A4" s="23" t="s">
        <x:v>51</x:v>
      </x:c>
      <x:c r="B4" s="7" t="s">
        <x:v>132</x:v>
      </x:c>
    </x:row>
    <x:row r="5" hidden="1">
      <x:c r="A5" s="23" t="s">
        <x:v>52</x:v>
      </x:c>
      <x:c r="B5" s="7" t="s">
        <x:v>88</x:v>
      </x:c>
    </x:row>
    <x:row r="6" hidden="1">
      <x:c r="A6" s="23" t="s">
        <x:v>194</x:v>
      </x:c>
      <x:c r="B6" s="7" t="s">
        <x:v>204</x:v>
      </x:c>
    </x:row>
    <x:row r="7" hidden="1">
      <x:c r="A7" s="23" t="s">
        <x:v>196</x:v>
      </x:c>
      <x:c r="B7" s="7" t="s">
        <x:v>197</x:v>
      </x:c>
    </x:row>
    <x:row r="8">
      <x:c r="A8" s="23" t="s">
        <x:v>53</x:v>
      </x:c>
      <x:c r="B8" s="54" t="s">
        <x:v>130</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15.75" customHeight="1"/>
    <x:row r="152" ht="15.75" customHeight="1"/>
    <x:row r="153" ht="15.75" customHeight="1"/>
    <x:row r="154" ht="54" customHeight="1"/>
    <x:row r="155" ht="15.75" customHeight="1"/>
    <x:row r="156" ht="15.75" customHeight="1"/>
    <x:row r="157" ht="15.75" customHeight="1"/>
    <x:row r="158" ht="15.75" customHeight="1"/>
    <x:row r="159" ht="15.75" customHeight="1"/>
    <x:row r="160" ht="15.75" customHeight="1">
      <x:c r="A160"/>
      <x:c r="B160"/>
      <x:c r="C160"/>
      <x:c r="D160"/>
      <x:c r="E160"/>
      <x:c r="F160"/>
      <x:c r="G160"/>
      <x:c r="H160"/>
      <x:c r="I160"/>
      <x:c r="J160"/>
      <x:c r="K160" s="7"/>
    </x:row>
    <x:row r="161" ht="15.75" customHeight="1">
      <x:c r="A161"/>
      <x:c r="B161"/>
      <x:c r="C161"/>
      <x:c r="D161"/>
      <x:c r="E161"/>
      <x:c r="F161"/>
      <x:c r="G161"/>
      <x:c r="H161"/>
      <x:c r="I161"/>
      <x:c r="J161"/>
      <x:c r="K161" s="7"/>
    </x:row>
    <x:row r="162" ht="54" customHeight="1">
      <x:c r="A162"/>
      <x:c r="B162"/>
      <x:c r="C162"/>
      <x:c r="D162"/>
      <x:c r="E162"/>
      <x:c r="F162"/>
      <x:c r="G162"/>
      <x:c r="H162"/>
      <x:c r="I162"/>
      <x:c r="J162"/>
      <x:c r="K162" s="7"/>
    </x:row>
    <x:row r="163" ht="15.75" customHeight="1">
      <x:c r="A163"/>
      <x:c r="B163"/>
      <x:c r="C163"/>
      <x:c r="D163"/>
      <x:c r="E163"/>
      <x:c r="F163"/>
      <x:c r="G163"/>
      <x:c r="H163"/>
      <x:c r="I163"/>
      <x:c r="J163"/>
      <x:c r="K163" s="7"/>
    </x:row>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sheetData>
  <x:mergeCells>
    <x:mergeCell ref="B8:I8"/>
    <x:mergeCell ref="A10:K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28">
      <x:formula1>"Carolina,Arthur,Jeanne"</x:formula1>
    </x:dataValidation>
    <x:dataValidation type="list" allowBlank="1" showErrorMessage="1" sqref="I14:I113 D117:D125">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1">
      <x:formula1>"Review completed,Review is required"</x:formula1>
    </x:dataValidation>
    <x:dataValidation type="list" allowBlank="1" showErrorMessage="1" sqref="B129">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dbcc2bbbc0cf471e"/>
</x:worksheet>
</file>

<file path=xl/worksheets/sheet13.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52.290000915527344" customWidth="1"/>
    <x:col min="3" max="3" width="39.56999969482422" customWidth="1"/>
    <x:col min="4" max="4" width="18" customWidth="1"/>
    <x:col min="5" max="5" width="57.13999938964844" customWidth="1"/>
    <x:col min="6" max="7" width="30" customWidth="1"/>
    <x:col min="8" max="8" width="34" customWidth="1"/>
    <x:col min="9" max="10" width="18" customWidth="1"/>
    <x:col min="11" max="11" width="30" customWidth="1"/>
    <x:col min="12" max="27" width="8.710000038146973" customWidth="1"/>
  </x:cols>
  <x:sheetData>
    <x:row r="1" ht="27.75" customHeight="1">
      <x:c r="A1" s="67" t="s">
        <x:v>208</x:v>
      </x:c>
      <x:c r="B1" s="4"/>
      <x:c r="C1" s="4"/>
      <x:c r="D1" s="4"/>
      <x:c r="E1" s="4"/>
      <x:c r="F1" s="4"/>
      <x:c r="G1" s="4"/>
      <x:c r="H1" s="4"/>
      <x:c r="I1" s="5"/>
    </x:row>
    <x:row r="2" hidden="1">
      <x:c r="A2" s="22" t="s">
        <x:v>193</x:v>
      </x:c>
      <x:c r="B2" s="4"/>
      <x:c r="C2" s="4"/>
      <x:c r="D2" s="4"/>
      <x:c r="E2" s="4"/>
      <x:c r="F2" s="4"/>
      <x:c r="G2" s="4"/>
      <x:c r="H2" s="4"/>
      <x:c r="I2" s="5"/>
    </x:row>
    <x:row r="3" hidden="1">
      <x:c r="A3" s="23" t="s">
        <x:v>50</x:v>
      </x:c>
      <x:c r="B3" s="53">
        <x:v>49.0</x:v>
      </x:c>
    </x:row>
    <x:row r="4" hidden="1">
      <x:c r="A4" s="23" t="s">
        <x:v>51</x:v>
      </x:c>
      <x:c r="B4" s="7" t="s">
        <x:v>139</x:v>
      </x:c>
    </x:row>
    <x:row r="5" hidden="1">
      <x:c r="A5" s="23" t="s">
        <x:v>52</x:v>
      </x:c>
      <x:c r="B5" s="7" t="s">
        <x:v>75</x:v>
      </x:c>
    </x:row>
    <x:row r="6" hidden="1">
      <x:c r="A6" s="23" t="s">
        <x:v>194</x:v>
      </x:c>
      <x:c r="B6" s="7" t="s">
        <x:v>195</x:v>
      </x:c>
    </x:row>
    <x:row r="7" hidden="1">
      <x:c r="A7" s="23" t="s">
        <x:v>196</x:v>
      </x:c>
      <x:c r="B7" s="7" t="s">
        <x:v>197</x:v>
      </x:c>
    </x:row>
    <x:row r="8">
      <x:c r="A8" s="23" t="s">
        <x:v>53</x:v>
      </x:c>
      <x:c r="B8" s="7" t="s">
        <x:v>140</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15.75" customHeight="1"/>
    <x:row r="152" ht="15.75" customHeight="1"/>
    <x:row r="153" ht="15.75" customHeight="1"/>
    <x:row r="154" ht="54" customHeight="1"/>
    <x:row r="155" ht="15.75" customHeight="1"/>
    <x:row r="156" ht="15.75" customHeight="1"/>
    <x:row r="157" ht="15.75" customHeight="1"/>
    <x:row r="158" ht="15.75" customHeight="1"/>
    <x:row r="159" ht="15.75" customHeight="1"/>
    <x:row r="160" ht="15.75" customHeight="1">
      <x:c r="A160"/>
      <x:c r="B160"/>
      <x:c r="C160"/>
      <x:c r="D160"/>
      <x:c r="E160"/>
      <x:c r="F160"/>
      <x:c r="G160"/>
      <x:c r="H160"/>
      <x:c r="I160"/>
      <x:c r="J160"/>
      <x:c r="K160" s="7"/>
    </x:row>
    <x:row r="161" ht="15.75" customHeight="1">
      <x:c r="A161"/>
      <x:c r="B161"/>
      <x:c r="C161"/>
      <x:c r="D161"/>
      <x:c r="E161"/>
      <x:c r="F161"/>
      <x:c r="G161"/>
      <x:c r="H161"/>
      <x:c r="I161"/>
      <x:c r="J161"/>
      <x:c r="K161" s="7"/>
    </x:row>
    <x:row r="162" ht="54" customHeight="1">
      <x:c r="A162"/>
      <x:c r="B162"/>
      <x:c r="C162"/>
      <x:c r="D162"/>
      <x:c r="E162"/>
      <x:c r="F162"/>
      <x:c r="G162"/>
      <x:c r="H162"/>
      <x:c r="I162"/>
      <x:c r="J162"/>
      <x:c r="K162" s="7"/>
    </x:row>
    <x:row r="163" ht="15.75" customHeight="1">
      <x:c r="A163"/>
      <x:c r="B163"/>
      <x:c r="C163"/>
      <x:c r="D163"/>
      <x:c r="E163"/>
      <x:c r="F163"/>
      <x:c r="G163"/>
      <x:c r="H163"/>
      <x:c r="I163"/>
      <x:c r="J163"/>
      <x:c r="K163" s="7"/>
    </x:row>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sheetData>
  <x:mergeCells>
    <x:mergeCell ref="B8:I8"/>
    <x:mergeCell ref="A10:K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28">
      <x:formula1>"Carolina,Arthur,Jeanne"</x:formula1>
    </x:dataValidation>
    <x:dataValidation type="list" allowBlank="1" showErrorMessage="1" sqref="I14:I113 D117:D125">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1">
      <x:formula1>"Review completed,Review is required"</x:formula1>
    </x:dataValidation>
    <x:dataValidation type="list" allowBlank="1" showErrorMessage="1" sqref="B129">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bb589f00bceb412b"/>
</x:worksheet>
</file>

<file path=xl/worksheets/sheet14.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1.43000030517578" customWidth="1"/>
    <x:col min="3" max="3" width="31.860000610351562" customWidth="1"/>
    <x:col min="4" max="4" width="18" customWidth="1"/>
    <x:col min="5" max="5" width="81" customWidth="1"/>
    <x:col min="6" max="7" width="30" customWidth="1"/>
    <x:col min="8" max="8" width="34" customWidth="1"/>
    <x:col min="9" max="10" width="18" customWidth="1"/>
    <x:col min="11" max="11" width="30" customWidth="1"/>
    <x:col min="12" max="27" width="8.710000038146973" customWidth="1"/>
  </x:cols>
  <x:sheetData>
    <x:row r="1" ht="23.25" customHeight="1">
      <x:c r="A1" s="67" t="s">
        <x:v>209</x:v>
      </x:c>
      <x:c r="B1" s="4"/>
      <x:c r="C1" s="4"/>
      <x:c r="D1" s="4"/>
      <x:c r="E1" s="4"/>
      <x:c r="F1" s="4"/>
      <x:c r="G1" s="4"/>
      <x:c r="H1" s="4"/>
      <x:c r="I1" s="5"/>
    </x:row>
    <x:row r="2" hidden="1">
      <x:c r="A2" s="22" t="s">
        <x:v>193</x:v>
      </x:c>
      <x:c r="B2" s="4"/>
      <x:c r="C2" s="4"/>
      <x:c r="D2" s="4"/>
      <x:c r="E2" s="4"/>
      <x:c r="F2" s="4"/>
      <x:c r="G2" s="4"/>
      <x:c r="H2" s="4"/>
      <x:c r="I2" s="5"/>
    </x:row>
    <x:row r="3" hidden="1">
      <x:c r="A3" s="23" t="s">
        <x:v>50</x:v>
      </x:c>
      <x:c r="B3" s="53">
        <x:v>27.0</x:v>
      </x:c>
    </x:row>
    <x:row r="4" hidden="1">
      <x:c r="A4" s="23" t="s">
        <x:v>51</x:v>
      </x:c>
      <x:c r="B4" s="7" t="s">
        <x:v>110</x:v>
      </x:c>
    </x:row>
    <x:row r="5" hidden="1">
      <x:c r="A5" s="23" t="s">
        <x:v>52</x:v>
      </x:c>
      <x:c r="B5" s="7" t="s">
        <x:v>75</x:v>
      </x:c>
    </x:row>
    <x:row r="6" hidden="1">
      <x:c r="A6" s="23" t="s">
        <x:v>194</x:v>
      </x:c>
      <x:c r="B6" s="7" t="s">
        <x:v>195</x:v>
      </x:c>
    </x:row>
    <x:row r="7" hidden="1">
      <x:c r="A7" s="23" t="s">
        <x:v>196</x:v>
      </x:c>
      <x:c r="B7" s="7" t="s">
        <x:v>197</x:v>
      </x:c>
    </x:row>
    <x:row r="8">
      <x:c r="A8" s="23" t="s">
        <x:v>53</x:v>
      </x:c>
      <x:c r="B8" s="7" t="s">
        <x:v>111</x:v>
      </x:c>
    </x:row>
    <x:row r="9">
      <x:c r="A9" s="22" t="s">
        <x:v>210</x:v>
      </x:c>
      <x:c r="B9" s="4"/>
      <x:c r="C9" s="4"/>
      <x:c r="D9" s="4"/>
      <x:c r="E9" s="4"/>
      <x:c r="F9" s="4"/>
      <x:c r="G9" s="4"/>
      <x:c r="H9" s="4"/>
      <x:c r="I9" s="4"/>
      <x:c r="J9" s="4"/>
      <x:c r="K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hidden="1">
      <x:c r="A12" s="96" t="str">
        <x:v>Run ID</x:v>
      </x:c>
      <x:c r="B12" s="97" t="str"/>
      <x:c r="C12" s="96" t="str">
        <x:v>Run date</x:v>
      </x:c>
      <x:c r="D12" s="97" t="str"/>
      <x:c r="E12" s="96" t="str">
        <x:v>Model / prompt version</x:v>
      </x:c>
      <x:c r="F12" s="97" t="str"/>
      <x:c r="G12" s="96" t="str">
        <x:v>Corpus snapshot</x:v>
      </x:c>
      <x:c r="H12" s="97" t="str"/>
      <x:c r="I12"/>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ht="54" customHeight="1">
      <x:c r="A127" s="96"/>
      <x:c r="B127" s="96"/>
      <x:c r="C127" s="96"/>
      <x:c r="D127" s="96"/>
      <x:c r="E127" s="96"/>
      <x:c r="F127" s="96"/>
      <x:c r="G127" s="96"/>
      <x:c r="H127" s="97"/>
      <x:c r="I127" s="97"/>
      <x:c r="J127" s="97"/>
    </x:row>
    <x:row r="128" ht="54" customHeight="1">
      <x:c r="A128" s="96"/>
      <x:c r="B128" s="96"/>
      <x:c r="C128" s="96"/>
      <x:c r="D128" s="96"/>
      <x:c r="E128" s="96"/>
      <x:c r="F128" s="96"/>
      <x:c r="G128" s="96"/>
      <x:c r="H128" s="97"/>
      <x:c r="I128" s="97"/>
      <x:c r="J128" s="97"/>
    </x:row>
    <x:row r="129" ht="54" customHeight="1">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15.75" customHeight="1"/>
    <x:row r="147" ht="15.75" customHeight="1"/>
    <x:row r="148" ht="15.75" customHeight="1"/>
    <x:row r="149" ht="54"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sheetData>
  <x:mergeCells>
    <x:mergeCell ref="B8:I8"/>
    <x:mergeCell ref="A9:K9"/>
    <x:mergeCell ref="A10:K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23">
      <x:formula1>"Carolina,Arthur,Jeanne"</x:formula1>
    </x:dataValidation>
    <x:dataValidation type="list" allowBlank="1" showErrorMessage="1" sqref="I16:I115 D119:D120">
      <x:formula1>"Supports claim,Partially supports claim,Does not support claim"</x:formula1>
    </x:dataValidation>
    <x:dataValidation type="list" allowBlank="1" showErrorMessage="1" sqref="H16:H115">
      <x:formula1>"Yes,No,Partially,Unknown"</x:formula1>
    </x:dataValidation>
    <x:dataValidation type="list" allowBlank="1" showErrorMessage="1" sqref="B126">
      <x:formula1>"Review completed,Review is required"</x:formula1>
    </x:dataValidation>
    <x:dataValidation type="list" allowBlank="1" showErrorMessage="1" sqref="B124">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ebd8983f04774489"/>
</x:worksheet>
</file>

<file path=xl/worksheets/sheet15.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1.569999694824219" customWidth="1"/>
    <x:col min="2" max="2" width="47.13999938964844" customWidth="1"/>
    <x:col min="3" max="3" width="34" customWidth="1"/>
    <x:col min="4" max="4" width="24" customWidth="1"/>
    <x:col min="5" max="5" width="65.43000030517578" customWidth="1"/>
    <x:col min="6" max="7" width="25.43000030517578" customWidth="1"/>
    <x:col min="8" max="8" width="27.139999389648438" customWidth="1"/>
    <x:col min="9" max="9" width="30" customWidth="1"/>
    <x:col min="10" max="10" width="30.43000030517578" customWidth="1"/>
    <x:col min="11" max="11" width="21.56999969482422" customWidth="1"/>
    <x:col min="12" max="27" width="8.710000038146973" customWidth="1"/>
  </x:cols>
  <x:sheetData>
    <x:row r="1" ht="27.75" customHeight="1">
      <x:c r="A1" s="3" t="s">
        <x:v>211</x:v>
      </x:c>
      <x:c r="B1" s="4"/>
      <x:c r="C1" s="4"/>
      <x:c r="D1" s="4"/>
      <x:c r="E1" s="4"/>
      <x:c r="F1" s="4"/>
      <x:c r="G1" s="4"/>
      <x:c r="H1" s="4"/>
      <x:c r="I1" s="4"/>
      <x:c r="J1" s="4"/>
      <x:c r="K1" s="5"/>
    </x:row>
    <x:row r="2" hidden="1">
      <x:c r="A2" s="22" t="s">
        <x:v>193</x:v>
      </x:c>
      <x:c r="B2" s="4"/>
      <x:c r="C2" s="4"/>
      <x:c r="D2" s="4"/>
      <x:c r="E2" s="4"/>
      <x:c r="F2" s="4"/>
      <x:c r="G2" s="4"/>
      <x:c r="H2" s="4"/>
      <x:c r="I2" s="4"/>
      <x:c r="J2" s="4"/>
      <x:c r="K2" s="5"/>
    </x:row>
    <x:row r="3" hidden="1">
      <x:c r="A3" s="23" t="s">
        <x:v>50</x:v>
      </x:c>
      <x:c r="B3" s="24"/>
      <x:c r="C3" s="24">
        <x:v>1.0</x:v>
      </x:c>
    </x:row>
    <x:row r="4" hidden="1">
      <x:c r="A4" s="23" t="s">
        <x:v>51</x:v>
      </x:c>
      <x:c r="B4" s="7"/>
      <x:c r="C4" s="7" t="s">
        <x:v>59</x:v>
      </x:c>
    </x:row>
    <x:row r="5" hidden="1">
      <x:c r="A5" s="23" t="s">
        <x:v>52</x:v>
      </x:c>
      <x:c r="B5" s="7"/>
      <x:c r="C5" s="7" t="s">
        <x:v>60</x:v>
      </x:c>
    </x:row>
    <x:row r="6" hidden="1">
      <x:c r="A6" s="23" t="s">
        <x:v>194</x:v>
      </x:c>
      <x:c r="B6" s="7"/>
      <x:c r="C6" s="7" t="s">
        <x:v>195</x:v>
      </x:c>
    </x:row>
    <x:row r="7" hidden="1">
      <x:c r="A7" s="23" t="s">
        <x:v>196</x:v>
      </x:c>
      <x:c r="B7" s="7"/>
      <x:c r="C7" s="7" t="s">
        <x:v>197</x:v>
      </x:c>
    </x:row>
    <x:row r="8">
      <x:c r="A8" s="23" t="s">
        <x:v>53</x:v>
      </x:c>
      <x:c r="B8" s="7" t="s">
        <x:v>61</x:v>
      </x:c>
    </x:row>
    <x:row r="9">
      <x:c r="A9" s="22" t="s">
        <x:v>210</x:v>
      </x:c>
      <x:c r="B9" s="4"/>
      <x:c r="C9" s="4"/>
      <x:c r="D9" s="4"/>
      <x:c r="E9" s="4"/>
      <x:c r="F9" s="4"/>
      <x:c r="G9" s="4"/>
      <x:c r="H9" s="4"/>
      <x:c r="I9" s="4"/>
      <x:c r="J9" s="4"/>
      <x:c r="K9" s="5"/>
    </x:row>
    <x:row r="10">
      <x:c r="A10" s="70"/>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c r="K11" s="7"/>
    </x:row>
    <x:row r="12">
      <x:c r="A12" s="96" t="str">
        <x:v>Run ID</x:v>
      </x:c>
      <x:c r="B12" s="97" t="str"/>
      <x:c r="C12" s="96" t="str">
        <x:v>Run date</x:v>
      </x:c>
      <x:c r="D12" s="97" t="str"/>
      <x:c r="E12" s="96" t="str">
        <x:v>Model / prompt version</x:v>
      </x:c>
      <x:c r="F12" s="97" t="str"/>
      <x:c r="G12" s="96" t="str">
        <x:v>Corpus snapshot</x:v>
      </x:c>
      <x:c r="H12" s="97" t="str"/>
      <x:c r="I12"/>
      <x:c r="J12"/>
      <x:c r="K12" s="5"/>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ht="15.75" customHeight="1">
      <x:c r="A114" s="96"/>
      <x:c r="B114" s="96"/>
      <x:c r="C114" s="96"/>
      <x:c r="D114" s="96"/>
      <x:c r="E114" s="96"/>
      <x:c r="F114" s="96"/>
      <x:c r="G114" s="96"/>
      <x:c r="H114" s="97"/>
      <x:c r="I114" s="97"/>
      <x:c r="J114" s="97"/>
      <x:c r="K114" s="7"/>
    </x:row>
    <x:row r="115" ht="15.75" customHeight="1">
      <x:c r="A115" s="96"/>
      <x:c r="B115" s="96"/>
      <x:c r="C115" s="96"/>
      <x:c r="D115" s="96"/>
      <x:c r="E115" s="96"/>
      <x:c r="F115" s="96"/>
      <x:c r="G115" s="96"/>
      <x:c r="H115" s="97"/>
      <x:c r="I115" s="97"/>
      <x:c r="J115" s="97"/>
      <x:c r="K115" s="7"/>
    </x:row>
    <x:row r="116" ht="15.75" customHeight="1">
      <x:c r="A116" s="96"/>
      <x:c r="B116" s="96"/>
      <x:c r="C116" s="96"/>
      <x:c r="D116" s="96"/>
      <x:c r="E116" s="96"/>
      <x:c r="F116" s="96"/>
      <x:c r="G116" s="96"/>
      <x:c r="H116" s="97"/>
      <x:c r="I116" s="97"/>
      <x:c r="J116" s="97"/>
      <x:c r="K116" s="7"/>
    </x:row>
    <x:row r="117">
      <x:c r="A117" s="96"/>
      <x:c r="B117" s="96"/>
      <x:c r="C117" s="96"/>
      <x:c r="D117" s="96"/>
      <x:c r="E117" s="96"/>
      <x:c r="F117" s="96"/>
      <x:c r="G117" s="96"/>
      <x:c r="H117" s="97"/>
      <x:c r="I117" s="97"/>
      <x:c r="J117" s="97"/>
      <x:c r="K117" s="7"/>
    </x:row>
    <x:row r="118">
      <x:c r="A118" s="96"/>
      <x:c r="B118" s="96"/>
      <x:c r="C118" s="96"/>
      <x:c r="D118" s="96"/>
      <x:c r="E118" s="96"/>
      <x:c r="F118" s="96"/>
      <x:c r="G118" s="96"/>
      <x:c r="H118" s="97"/>
      <x:c r="I118" s="97"/>
      <x:c r="J118" s="97"/>
      <x:c r="K118" s="7"/>
    </x:row>
    <x:row r="119">
      <x:c r="A119" s="96"/>
      <x:c r="B119" s="96"/>
      <x:c r="C119" s="96"/>
      <x:c r="D119" s="96"/>
      <x:c r="E119" s="96"/>
      <x:c r="F119" s="96"/>
      <x:c r="G119" s="96"/>
      <x:c r="H119" s="97"/>
      <x:c r="I119" s="97"/>
      <x:c r="J119" s="97"/>
      <x:c r="K119" s="7"/>
    </x:row>
    <x:row r="120">
      <x:c r="A120" s="96"/>
      <x:c r="B120" s="96"/>
      <x:c r="C120" s="96"/>
      <x:c r="D120" s="96"/>
      <x:c r="E120" s="96"/>
      <x:c r="F120" s="96"/>
      <x:c r="G120" s="96"/>
      <x:c r="H120" s="97"/>
      <x:c r="I120" s="97"/>
      <x:c r="J120" s="97"/>
      <x:c r="K120" s="7"/>
    </x:row>
    <x:row r="121">
      <x:c r="A121" s="96"/>
      <x:c r="B121" s="96"/>
      <x:c r="C121" s="96"/>
      <x:c r="D121" s="96"/>
      <x:c r="E121" s="96"/>
      <x:c r="F121" s="96"/>
      <x:c r="G121" s="96"/>
      <x:c r="H121" s="97"/>
      <x:c r="I121" s="97"/>
      <x:c r="J121" s="97"/>
      <x:c r="K121" s="7"/>
    </x:row>
    <x:row r="122">
      <x:c r="A122" s="96"/>
      <x:c r="B122" s="96"/>
      <x:c r="C122" s="96"/>
      <x:c r="D122" s="96"/>
      <x:c r="E122" s="96"/>
      <x:c r="F122" s="96"/>
      <x:c r="G122" s="96"/>
      <x:c r="H122" s="97"/>
      <x:c r="I122" s="97"/>
      <x:c r="J122" s="97"/>
      <x:c r="K122" s="7"/>
    </x:row>
    <x:row r="123">
      <x:c r="A123" s="96"/>
      <x:c r="B123" s="96"/>
      <x:c r="C123" s="96"/>
      <x:c r="D123" s="96"/>
      <x:c r="E123" s="96"/>
      <x:c r="F123" s="96"/>
      <x:c r="G123" s="96"/>
      <x:c r="H123" s="97"/>
      <x:c r="I123" s="97"/>
      <x:c r="J123" s="97"/>
      <x:c r="K123" s="7"/>
    </x:row>
    <x:row r="124">
      <x:c r="A124" s="96"/>
      <x:c r="B124" s="96"/>
      <x:c r="C124" s="96"/>
      <x:c r="D124" s="96"/>
      <x:c r="E124" s="96"/>
      <x:c r="F124" s="96"/>
      <x:c r="G124" s="96"/>
      <x:c r="H124" s="97"/>
      <x:c r="I124" s="97"/>
      <x:c r="J124" s="97"/>
      <x:c r="K124" s="7"/>
    </x:row>
    <x:row r="125">
      <x:c r="A125" s="96"/>
      <x:c r="B125" s="96"/>
      <x:c r="C125" s="96"/>
      <x:c r="D125" s="96"/>
      <x:c r="E125" s="96"/>
      <x:c r="F125" s="96"/>
      <x:c r="G125" s="96"/>
      <x:c r="H125" s="97"/>
      <x:c r="I125" s="97"/>
      <x:c r="J125" s="97"/>
      <x:c r="K125" s="7"/>
    </x:row>
    <x:row r="126">
      <x:c r="A126" s="96"/>
      <x:c r="B126" s="96"/>
      <x:c r="C126" s="96"/>
      <x:c r="D126" s="96"/>
      <x:c r="E126" s="96"/>
      <x:c r="F126" s="96"/>
      <x:c r="G126" s="96"/>
      <x:c r="H126" s="97"/>
      <x:c r="I126" s="97"/>
      <x:c r="J126" s="97"/>
      <x:c r="K126" s="7"/>
    </x:row>
    <x:row r="127">
      <x:c r="A127" s="96"/>
      <x:c r="B127" s="96"/>
      <x:c r="C127" s="96"/>
      <x:c r="D127" s="96"/>
      <x:c r="E127" s="96"/>
      <x:c r="F127" s="96"/>
      <x:c r="G127" s="96"/>
      <x:c r="H127" s="97"/>
      <x:c r="I127" s="97"/>
      <x:c r="J127" s="97"/>
      <x:c r="K127" s="7"/>
    </x:row>
    <x:row r="128">
      <x:c r="A128" s="96"/>
      <x:c r="B128" s="96"/>
      <x:c r="C128" s="96"/>
      <x:c r="D128" s="96"/>
      <x:c r="E128" s="96"/>
      <x:c r="F128" s="96"/>
      <x:c r="G128" s="96"/>
      <x:c r="H128" s="97"/>
      <x:c r="I128" s="97"/>
      <x:c r="J128" s="97"/>
      <x:c r="K128" s="7"/>
    </x:row>
    <x:row r="129" ht="15.75" customHeight="1">
      <x:c r="A129" s="96"/>
      <x:c r="B129" s="96"/>
      <x:c r="C129" s="96"/>
      <x:c r="D129" s="96"/>
      <x:c r="E129" s="96"/>
      <x:c r="F129" s="96"/>
      <x:c r="G129" s="96"/>
      <x:c r="H129" s="97"/>
      <x:c r="I129" s="97"/>
      <x:c r="J129" s="97"/>
      <x:c r="K129" s="7"/>
    </x:row>
    <x:row r="130" ht="15.75" customHeight="1">
      <x:c r="A130" s="96"/>
      <x:c r="B130" s="96"/>
      <x:c r="C130" s="96"/>
      <x:c r="D130" s="96"/>
      <x:c r="E130" s="96"/>
      <x:c r="F130" s="96"/>
      <x:c r="G130" s="96"/>
      <x:c r="H130" s="97"/>
      <x:c r="I130" s="97"/>
      <x:c r="J130" s="97"/>
    </x:row>
    <x:row r="131" ht="15.75" customHeight="1">
      <x:c r="A131" s="96"/>
      <x:c r="B131" s="96"/>
      <x:c r="C131" s="96"/>
      <x:c r="D131" s="96"/>
      <x:c r="E131" s="96"/>
      <x:c r="F131" s="96"/>
      <x:c r="G131" s="96"/>
      <x:c r="H131" s="97"/>
      <x:c r="I131" s="97"/>
      <x:c r="J131" s="97"/>
    </x:row>
    <x:row r="132" ht="15.75" customHeight="1">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ht="15.75" customHeight="1">
      <x:c r="A134" s="96"/>
      <x:c r="B134" s="96"/>
      <x:c r="C134" s="96"/>
      <x:c r="D134" s="96"/>
      <x:c r="E134" s="96"/>
      <x:c r="F134" s="96"/>
      <x:c r="G134" s="96"/>
      <x:c r="H134" s="97"/>
      <x:c r="I134" s="97"/>
      <x:c r="J134" s="97"/>
    </x:row>
    <x:row r="135" ht="15.75" customHeight="1">
      <x:c r="A135" s="96"/>
      <x:c r="B135" s="96"/>
      <x:c r="C135" s="96"/>
      <x:c r="D135" s="96"/>
      <x:c r="E135" s="96"/>
      <x:c r="F135" s="96"/>
      <x:c r="G135" s="96"/>
      <x:c r="H135" s="97"/>
      <x:c r="I135" s="97"/>
      <x:c r="J135" s="97"/>
    </x:row>
    <x:row r="136" ht="15.75" customHeight="1">
      <x:c r="A136" s="96"/>
      <x:c r="B136" s="96"/>
      <x:c r="C136" s="96"/>
      <x:c r="D136" s="96"/>
      <x:c r="E136" s="96"/>
      <x:c r="F136" s="96"/>
      <x:c r="G136" s="96"/>
      <x:c r="H136" s="97"/>
      <x:c r="I136" s="97"/>
      <x:c r="J136" s="97"/>
    </x:row>
    <x:row r="137" ht="15.75" customHeight="1">
      <x:c r="A137" s="96"/>
      <x:c r="B137" s="96"/>
      <x:c r="C137" s="96"/>
      <x:c r="D137" s="96"/>
      <x:c r="E137" s="96"/>
      <x:c r="F137" s="96"/>
      <x:c r="G137" s="96"/>
      <x:c r="H137" s="97"/>
      <x:c r="I137" s="97"/>
      <x:c r="J137" s="97"/>
    </x:row>
    <x:row r="138" ht="15.75" customHeight="1">
      <x:c r="A138" s="96"/>
      <x:c r="B138" s="96"/>
      <x:c r="C138" s="96"/>
      <x:c r="D138" s="96"/>
      <x:c r="E138" s="96"/>
      <x:c r="F138" s="96"/>
      <x:c r="G138" s="96"/>
      <x:c r="H138" s="97"/>
      <x:c r="I138" s="97"/>
      <x:c r="J138" s="97"/>
    </x:row>
    <x:row r="139" ht="15.75" customHeight="1"/>
    <x:row r="140" ht="15.75" customHeight="1"/>
    <x:row r="141" ht="15.75" customHeight="1">
      <x:c r="A141" s="93" t="str">
        <x:v>Final expert verdict</x:v>
      </x:c>
      <x:c r="B141" s="93" t="str">
        <x:v>Final expert verdict</x:v>
      </x:c>
    </x:row>
    <x:row r="142" ht="15.75" customHeight="1">
      <x:c r="A142" s="96" t="str">
        <x:v>Reviewer</x:v>
      </x:c>
      <x:c r="B142" s="97" t="str"/>
    </x:row>
    <x:row r="143" ht="15.75" customHeight="1">
      <x:c r="A143" s="96" t="str">
        <x:v>Is the answer acceptable?</x:v>
      </x:c>
      <x:c r="B143" s="97" t="str"/>
    </x:row>
    <x:row r="144" ht="42" customHeight="1">
      <x:c r="A144" s="96" t="str">
        <x:v>Overall comment / required fixes</x:v>
      </x:c>
      <x:c r="B144" s="97" t="str"/>
    </x:row>
    <x:row r="145" ht="15.75" customHeight="1">
      <x:c r="A145" s="96" t="str">
        <x:v>Review completed?</x:v>
      </x:c>
      <x:c r="B145" s="97" t="str"/>
    </x:row>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sheetData>
  <x:mergeCells>
    <x:mergeCell ref="B8:J8"/>
    <x:mergeCell ref="A9:K9"/>
    <x:mergeCell ref="A10:K10"/>
    <x:mergeCell ref="A1:K1"/>
    <x:mergeCell ref="A2:K2"/>
    <x:mergeCell ref="C3:K3"/>
    <x:mergeCell ref="C4:K4"/>
    <x:mergeCell ref="C5:K5"/>
    <x:mergeCell ref="C6:K6"/>
    <x:mergeCell ref="C7:K7"/>
    <x:mergeCell ref="A11:J11"/>
    <x:mergeCell ref="A13:J13"/>
    <x:mergeCell ref="A14:J14"/>
    <x:mergeCell ref="A37:J37"/>
    <x:mergeCell ref="A141:B141"/>
  </x:mergeCells>
  <x:dataValidations count="10">
    <x:dataValidation type="list" allowBlank="1" showErrorMessage="1" sqref="B131">
      <x:formula1>"Carolina,Arthur,Jeanne"</x:formula1>
    </x:dataValidation>
    <x:dataValidation type="list" allowBlank="1" showErrorMessage="1" sqref="I14:I113 D117:D128">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4">
      <x:formula1>"Review completed,Review is required"</x:formula1>
    </x:dataValidation>
    <x:dataValidation type="list" allowBlank="1" showErrorMessage="1" sqref="B132">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642408dfcfe644fb"/>
</x:worksheet>
</file>

<file path=xl/worksheets/sheet16.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6" customWidth="1"/>
    <x:col min="6" max="7" width="30" customWidth="1"/>
    <x:col min="8" max="8" width="34" customWidth="1"/>
    <x:col min="9" max="10" width="18" customWidth="1"/>
    <x:col min="11" max="11" width="30" customWidth="1"/>
    <x:col min="12" max="27" width="8.710000038146973" customWidth="1"/>
  </x:cols>
  <x:sheetData>
    <x:row r="1" ht="27.75" customHeight="1">
      <x:c r="A1" s="21" t="s">
        <x:v>212</x:v>
      </x:c>
      <x:c r="B1" s="4"/>
      <x:c r="C1" s="4"/>
      <x:c r="D1" s="4"/>
      <x:c r="E1" s="4"/>
      <x:c r="F1" s="4"/>
      <x:c r="G1" s="4"/>
      <x:c r="H1" s="4"/>
      <x:c r="I1" s="5"/>
    </x:row>
    <x:row r="2" hidden="1">
      <x:c r="A2" s="22" t="s">
        <x:v>193</x:v>
      </x:c>
      <x:c r="B2" s="4"/>
      <x:c r="C2" s="4"/>
      <x:c r="D2" s="4"/>
      <x:c r="E2" s="4"/>
      <x:c r="F2" s="4"/>
      <x:c r="G2" s="4"/>
      <x:c r="H2" s="4"/>
      <x:c r="I2" s="5"/>
    </x:row>
    <x:row r="3" hidden="1">
      <x:c r="A3" s="23" t="s">
        <x:v>50</x:v>
      </x:c>
      <x:c r="B3" s="24">
        <x:v>2.0</x:v>
      </x:c>
    </x:row>
    <x:row r="4" hidden="1">
      <x:c r="A4" s="23" t="s">
        <x:v>51</x:v>
      </x:c>
      <x:c r="B4" s="7" t="s">
        <x:v>62</x:v>
      </x:c>
    </x:row>
    <x:row r="5" hidden="1">
      <x:c r="A5" s="23" t="s">
        <x:v>52</x:v>
      </x:c>
      <x:c r="B5" s="7" t="s">
        <x:v>60</x:v>
      </x:c>
    </x:row>
    <x:row r="6" hidden="1">
      <x:c r="A6" s="23" t="s">
        <x:v>194</x:v>
      </x:c>
      <x:c r="B6" s="7" t="s">
        <x:v>195</x:v>
      </x:c>
    </x:row>
    <x:row r="7" hidden="1">
      <x:c r="A7" s="23" t="s">
        <x:v>196</x:v>
      </x:c>
      <x:c r="B7" s="7" t="s">
        <x:v>197</x:v>
      </x:c>
    </x:row>
    <x:row r="8">
      <x:c r="A8" s="23" t="s">
        <x:v>53</x:v>
      </x:c>
      <x:c r="B8" s="7" t="s">
        <x:v>63</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15.75" customHeight="1"/>
    <x:row r="155" ht="15.75" customHeight="1"/>
    <x:row r="156" ht="15.75" customHeight="1"/>
    <x:row r="157" ht="54" customHeight="1"/>
    <x:row r="158" ht="15.75" customHeight="1"/>
    <x:row r="159" ht="15.75" customHeight="1"/>
    <x:row r="160" ht="15.75" customHeight="1"/>
    <x:row r="161" ht="15.75" customHeight="1"/>
    <x:row r="162" ht="15.75" customHeight="1"/>
    <x:row r="163" ht="15.75" customHeight="1">
      <x:c r="A163"/>
      <x:c r="B163"/>
      <x:c r="C163"/>
      <x:c r="D163"/>
      <x:c r="E163"/>
      <x:c r="F163"/>
      <x:c r="G163"/>
      <x:c r="H163"/>
      <x:c r="I163"/>
      <x:c r="J163"/>
      <x:c r="K163" s="7"/>
    </x:row>
    <x:row r="164" ht="15.75" customHeight="1">
      <x:c r="A164"/>
      <x:c r="B164"/>
      <x:c r="C164"/>
      <x:c r="D164"/>
      <x:c r="E164"/>
      <x:c r="F164"/>
      <x:c r="G164"/>
      <x:c r="H164"/>
      <x:c r="I164"/>
      <x:c r="J164"/>
      <x:c r="K164" s="7"/>
    </x:row>
    <x:row r="165" ht="54" customHeight="1">
      <x:c r="A165"/>
      <x:c r="B165"/>
      <x:c r="C165"/>
      <x:c r="D165"/>
      <x:c r="E165"/>
      <x:c r="F165"/>
      <x:c r="G165"/>
      <x:c r="H165"/>
      <x:c r="I165"/>
      <x:c r="J165"/>
      <x:c r="K165" s="7"/>
    </x:row>
    <x:row r="166" ht="15.75" customHeight="1">
      <x:c r="A166"/>
      <x:c r="B166"/>
      <x:c r="C166"/>
      <x:c r="D166"/>
      <x:c r="E166"/>
      <x:c r="F166"/>
      <x:c r="G166"/>
      <x:c r="H166"/>
      <x:c r="I166"/>
      <x:c r="J166"/>
      <x:c r="K166" s="7"/>
    </x:row>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1">
      <x:formula1>"Carolina,Arthur,Jeanne"</x:formula1>
    </x:dataValidation>
    <x:dataValidation type="list" allowBlank="1" showErrorMessage="1" sqref="I14:I113 D117:D128">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4">
      <x:formula1>"Review completed,Review is required"</x:formula1>
    </x:dataValidation>
    <x:dataValidation type="list" allowBlank="1" showErrorMessage="1" sqref="B132">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640bd31bbd05457d"/>
</x:worksheet>
</file>

<file path=xl/worksheets/sheet17.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0.86000061035156" customWidth="1"/>
    <x:col min="6" max="7" width="30" customWidth="1"/>
    <x:col min="8" max="8" width="34" customWidth="1"/>
    <x:col min="9" max="10" width="18" customWidth="1"/>
    <x:col min="11" max="11" width="30" customWidth="1"/>
    <x:col min="12" max="27" width="8.710000038146973" customWidth="1"/>
  </x:cols>
  <x:sheetData>
    <x:row r="1" ht="27.75" customHeight="1">
      <x:c r="A1" s="21" t="s">
        <x:v>213</x:v>
      </x:c>
      <x:c r="B1" s="4"/>
      <x:c r="C1" s="4"/>
      <x:c r="D1" s="4"/>
      <x:c r="E1" s="4"/>
      <x:c r="F1" s="4"/>
      <x:c r="G1" s="4"/>
      <x:c r="H1" s="4"/>
      <x:c r="I1" s="5"/>
    </x:row>
    <x:row r="2" hidden="1">
      <x:c r="A2" s="22" t="s">
        <x:v>193</x:v>
      </x:c>
      <x:c r="B2" s="4"/>
      <x:c r="C2" s="4"/>
      <x:c r="D2" s="4"/>
      <x:c r="E2" s="4"/>
      <x:c r="F2" s="4"/>
      <x:c r="G2" s="4"/>
      <x:c r="H2" s="4"/>
      <x:c r="I2" s="5"/>
    </x:row>
    <x:row r="3" hidden="1">
      <x:c r="A3" s="23" t="s">
        <x:v>50</x:v>
      </x:c>
      <x:c r="B3" s="24">
        <x:v>3.0</x:v>
      </x:c>
    </x:row>
    <x:row r="4" hidden="1">
      <x:c r="A4" s="23" t="s">
        <x:v>51</x:v>
      </x:c>
      <x:c r="B4" s="7" t="s">
        <x:v>64</x:v>
      </x:c>
    </x:row>
    <x:row r="5" hidden="1">
      <x:c r="A5" s="23" t="s">
        <x:v>52</x:v>
      </x:c>
      <x:c r="B5" s="7" t="s">
        <x:v>65</x:v>
      </x:c>
    </x:row>
    <x:row r="6" hidden="1">
      <x:c r="A6" s="23" t="s">
        <x:v>194</x:v>
      </x:c>
      <x:c r="B6" s="7" t="s">
        <x:v>195</x:v>
      </x:c>
    </x:row>
    <x:row r="7" hidden="1">
      <x:c r="A7" s="23" t="s">
        <x:v>196</x:v>
      </x:c>
      <x:c r="B7" s="7" t="s">
        <x:v>197</x:v>
      </x:c>
    </x:row>
    <x:row r="8">
      <x:c r="A8" s="23" t="s">
        <x:v>53</x:v>
      </x:c>
      <x:c r="B8" s="7" t="s">
        <x:v>66</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ht="54" customHeight="1">
      <x:c r="A127" s="96"/>
      <x:c r="B127" s="96"/>
      <x:c r="C127" s="96"/>
      <x:c r="D127" s="96"/>
      <x:c r="E127" s="96"/>
      <x:c r="F127" s="96"/>
      <x:c r="G127" s="96"/>
      <x:c r="H127" s="97"/>
      <x:c r="I127" s="97"/>
      <x:c r="J127" s="97"/>
    </x:row>
    <x:row r="128" ht="54" customHeight="1">
      <x:c r="A128" s="96"/>
      <x:c r="B128" s="96"/>
      <x:c r="C128" s="96"/>
      <x:c r="D128" s="96"/>
      <x:c r="E128" s="96"/>
      <x:c r="F128" s="96"/>
      <x:c r="G128" s="96"/>
      <x:c r="H128" s="97"/>
      <x:c r="I128" s="97"/>
      <x:c r="J128" s="97"/>
    </x:row>
    <x:row r="129" ht="54" customHeight="1">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15.75" customHeight="1"/>
    <x:row r="147" ht="15.75" customHeight="1"/>
    <x:row r="148" ht="15.75" customHeight="1"/>
    <x:row r="149" ht="54" customHeight="1"/>
    <x:row r="150" ht="15.75" customHeight="1"/>
    <x:row r="151" ht="15.75" customHeight="1"/>
    <x:row r="152" ht="15.75" customHeight="1"/>
    <x:row r="153" ht="15.75" customHeight="1"/>
    <x:row r="154" ht="15.75" customHeight="1"/>
    <x:row r="155" ht="15.75" customHeight="1">
      <x:c r="A155"/>
      <x:c r="B155"/>
      <x:c r="C155"/>
      <x:c r="D155"/>
      <x:c r="E155"/>
      <x:c r="F155"/>
      <x:c r="G155"/>
      <x:c r="H155"/>
      <x:c r="I155"/>
      <x:c r="J155"/>
      <x:c r="K155" s="7"/>
    </x:row>
    <x:row r="156" ht="15.75" customHeight="1">
      <x:c r="A156"/>
      <x:c r="B156"/>
      <x:c r="C156"/>
      <x:c r="D156"/>
      <x:c r="E156"/>
      <x:c r="F156"/>
      <x:c r="G156"/>
      <x:c r="H156"/>
      <x:c r="I156"/>
      <x:c r="J156"/>
      <x:c r="K156" s="7"/>
    </x:row>
    <x:row r="157" ht="54" customHeight="1">
      <x:c r="A157"/>
      <x:c r="B157"/>
      <x:c r="C157"/>
      <x:c r="D157"/>
      <x:c r="E157"/>
      <x:c r="F157"/>
      <x:c r="G157"/>
      <x:c r="H157"/>
      <x:c r="I157"/>
      <x:c r="J157"/>
      <x:c r="K157" s="7"/>
    </x:row>
    <x:row r="158" ht="15.75" customHeight="1">
      <x:c r="A158"/>
      <x:c r="B158"/>
      <x:c r="C158"/>
      <x:c r="D158"/>
      <x:c r="E158"/>
      <x:c r="F158"/>
      <x:c r="G158"/>
      <x:c r="H158"/>
      <x:c r="I158"/>
      <x:c r="J158"/>
      <x:c r="K158" s="7"/>
    </x:row>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3">
      <x:formula1>"Carolina,Arthur,Jeanne"</x:formula1>
    </x:dataValidation>
    <x:dataValidation type="list" allowBlank="1" showErrorMessage="1" sqref="I14:I113 D117:D120">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6">
      <x:formula1>"Review completed,Review is required"</x:formula1>
    </x:dataValidation>
    <x:dataValidation type="list" allowBlank="1" showErrorMessage="1" sqref="B124">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380f1c87409943dd"/>
</x:worksheet>
</file>

<file path=xl/worksheets/sheet18.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2" customWidth="1"/>
    <x:col min="6" max="7" width="30" customWidth="1"/>
    <x:col min="8" max="8" width="34" customWidth="1"/>
    <x:col min="9" max="10" width="18" customWidth="1"/>
    <x:col min="11" max="11" width="30" customWidth="1"/>
    <x:col min="12" max="27" width="8.710000038146973" customWidth="1"/>
  </x:cols>
  <x:sheetData>
    <x:row r="1" ht="27.75" customHeight="1">
      <x:c r="A1" s="21" t="s">
        <x:v>214</x:v>
      </x:c>
      <x:c r="B1" s="4"/>
      <x:c r="C1" s="4"/>
      <x:c r="D1" s="4"/>
      <x:c r="E1" s="4"/>
      <x:c r="F1" s="4"/>
      <x:c r="G1" s="4"/>
      <x:c r="H1" s="4"/>
      <x:c r="I1" s="5"/>
    </x:row>
    <x:row r="2" hidden="1">
      <x:c r="A2" s="22" t="s">
        <x:v>193</x:v>
      </x:c>
      <x:c r="B2" s="4"/>
      <x:c r="C2" s="4"/>
      <x:c r="D2" s="4"/>
      <x:c r="E2" s="4"/>
      <x:c r="F2" s="4"/>
      <x:c r="G2" s="4"/>
      <x:c r="H2" s="4"/>
      <x:c r="I2" s="5"/>
    </x:row>
    <x:row r="3" hidden="1">
      <x:c r="A3" s="23" t="s">
        <x:v>50</x:v>
      </x:c>
      <x:c r="B3" s="24">
        <x:v>4.0</x:v>
      </x:c>
    </x:row>
    <x:row r="4" hidden="1">
      <x:c r="A4" s="23" t="s">
        <x:v>51</x:v>
      </x:c>
      <x:c r="B4" s="7" t="s">
        <x:v>67</x:v>
      </x:c>
    </x:row>
    <x:row r="5" hidden="1">
      <x:c r="A5" s="23" t="s">
        <x:v>52</x:v>
      </x:c>
      <x:c r="B5" s="7" t="s">
        <x:v>68</x:v>
      </x:c>
    </x:row>
    <x:row r="6" hidden="1">
      <x:c r="A6" s="23" t="s">
        <x:v>194</x:v>
      </x:c>
      <x:c r="B6" s="7" t="s">
        <x:v>195</x:v>
      </x:c>
    </x:row>
    <x:row r="7" hidden="1">
      <x:c r="A7" s="23" t="s">
        <x:v>196</x:v>
      </x:c>
      <x:c r="B7" s="7" t="s">
        <x:v>197</x:v>
      </x:c>
    </x:row>
    <x:row r="8">
      <x:c r="A8" s="23" t="s">
        <x:v>53</x:v>
      </x:c>
      <x:c r="B8" s="7" t="s">
        <x:v>69</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15.75" customHeight="1"/>
    <x:row r="153" ht="15.75" customHeight="1"/>
    <x:row r="154" ht="15.75" customHeight="1"/>
    <x:row r="155" ht="54" customHeight="1"/>
    <x:row r="156" ht="15.75" customHeight="1"/>
    <x:row r="157" ht="15.75" customHeight="1"/>
    <x:row r="158" ht="15.75" customHeight="1"/>
    <x:row r="159" ht="15.75" customHeight="1"/>
    <x:row r="160" ht="15.75" customHeight="1"/>
    <x:row r="161" ht="15.75" customHeight="1">
      <x:c r="A161"/>
      <x:c r="B161"/>
      <x:c r="C161"/>
      <x:c r="D161"/>
      <x:c r="E161"/>
      <x:c r="F161"/>
      <x:c r="G161"/>
      <x:c r="H161"/>
      <x:c r="I161"/>
      <x:c r="J161"/>
      <x:c r="K161" s="7"/>
    </x:row>
    <x:row r="162" ht="15.75" customHeight="1">
      <x:c r="A162"/>
      <x:c r="B162"/>
      <x:c r="C162"/>
      <x:c r="D162"/>
      <x:c r="E162"/>
      <x:c r="F162"/>
      <x:c r="G162"/>
      <x:c r="H162"/>
      <x:c r="I162"/>
      <x:c r="J162"/>
      <x:c r="K162" s="7"/>
    </x:row>
    <x:row r="163" ht="54" customHeight="1">
      <x:c r="A163"/>
      <x:c r="B163"/>
      <x:c r="C163"/>
      <x:c r="D163"/>
      <x:c r="E163"/>
      <x:c r="F163"/>
      <x:c r="G163"/>
      <x:c r="H163"/>
      <x:c r="I163"/>
      <x:c r="J163"/>
      <x:c r="K163" s="7"/>
    </x:row>
    <x:row r="164" ht="15.75" customHeight="1">
      <x:c r="A164"/>
      <x:c r="B164"/>
      <x:c r="C164"/>
      <x:c r="D164"/>
      <x:c r="E164"/>
      <x:c r="F164"/>
      <x:c r="G164"/>
      <x:c r="H164"/>
      <x:c r="I164"/>
      <x:c r="J164"/>
      <x:c r="K164" s="7"/>
    </x:row>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9">
      <x:formula1>"Carolina,Arthur,Jeanne"</x:formula1>
    </x:dataValidation>
    <x:dataValidation type="list" allowBlank="1" showErrorMessage="1" sqref="I14:I113 D117:D12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2">
      <x:formula1>"Review completed,Review is required"</x:formula1>
    </x:dataValidation>
    <x:dataValidation type="list" allowBlank="1" showErrorMessage="1" sqref="B13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7c88ea7204ce4d79"/>
</x:worksheet>
</file>

<file path=xl/worksheets/sheet19.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88.43000030517578" customWidth="1"/>
    <x:col min="6" max="7" width="30" customWidth="1"/>
    <x:col min="8" max="8" width="34" customWidth="1"/>
    <x:col min="9" max="10" width="18" customWidth="1"/>
    <x:col min="11" max="11" width="30" customWidth="1"/>
    <x:col min="12" max="27" width="8.710000038146973" customWidth="1"/>
  </x:cols>
  <x:sheetData>
    <x:row r="1" ht="27.75" customHeight="1">
      <x:c r="A1" s="21" t="s">
        <x:v>215</x:v>
      </x:c>
      <x:c r="B1" s="4"/>
      <x:c r="C1" s="4"/>
      <x:c r="D1" s="4"/>
      <x:c r="E1" s="4"/>
      <x:c r="F1" s="4"/>
      <x:c r="G1" s="4"/>
      <x:c r="H1" s="4"/>
      <x:c r="I1" s="5"/>
    </x:row>
    <x:row r="2" hidden="1">
      <x:c r="A2" s="22" t="s">
        <x:v>193</x:v>
      </x:c>
      <x:c r="B2" s="4"/>
      <x:c r="C2" s="4"/>
      <x:c r="D2" s="4"/>
      <x:c r="E2" s="4"/>
      <x:c r="F2" s="4"/>
      <x:c r="G2" s="4"/>
      <x:c r="H2" s="4"/>
      <x:c r="I2" s="5"/>
    </x:row>
    <x:row r="3" hidden="1">
      <x:c r="A3" s="23" t="s">
        <x:v>50</x:v>
      </x:c>
      <x:c r="B3" s="24">
        <x:v>5.0</x:v>
      </x:c>
    </x:row>
    <x:row r="4" hidden="1">
      <x:c r="A4" s="23" t="s">
        <x:v>51</x:v>
      </x:c>
      <x:c r="B4" s="7" t="s">
        <x:v>70</x:v>
      </x:c>
    </x:row>
    <x:row r="5" hidden="1">
      <x:c r="A5" s="23" t="s">
        <x:v>52</x:v>
      </x:c>
      <x:c r="B5" s="7" t="s">
        <x:v>68</x:v>
      </x:c>
    </x:row>
    <x:row r="6" hidden="1">
      <x:c r="A6" s="23" t="s">
        <x:v>194</x:v>
      </x:c>
      <x:c r="B6" s="7" t="s">
        <x:v>195</x:v>
      </x:c>
    </x:row>
    <x:row r="7" hidden="1">
      <x:c r="A7" s="23" t="s">
        <x:v>196</x:v>
      </x:c>
      <x:c r="B7" s="7" t="s">
        <x:v>197</x:v>
      </x:c>
    </x:row>
    <x:row r="8">
      <x:c r="A8" s="23" t="s">
        <x:v>53</x:v>
      </x:c>
      <x:c r="B8" s="7" t="s">
        <x:v>71</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15.75" customHeight="1"/>
    <x:row r="155" ht="15.75" customHeight="1"/>
    <x:row r="156" ht="15.75" customHeight="1"/>
    <x:row r="157" ht="54" customHeight="1"/>
    <x:row r="158" ht="15.75" customHeight="1"/>
    <x:row r="159" ht="15.75" customHeight="1"/>
    <x:row r="160" ht="15.75" customHeight="1"/>
    <x:row r="161" ht="15.75" customHeight="1"/>
    <x:row r="162" ht="15.75" customHeight="1"/>
    <x:row r="163" ht="15.75" customHeight="1">
      <x:c r="A163"/>
      <x:c r="B163"/>
      <x:c r="C163"/>
      <x:c r="D163"/>
      <x:c r="E163"/>
      <x:c r="F163"/>
      <x:c r="G163"/>
      <x:c r="H163"/>
      <x:c r="I163"/>
      <x:c r="J163"/>
      <x:c r="K163" s="7"/>
    </x:row>
    <x:row r="164" ht="15.75" customHeight="1">
      <x:c r="A164"/>
      <x:c r="B164"/>
      <x:c r="C164"/>
      <x:c r="D164"/>
      <x:c r="E164"/>
      <x:c r="F164"/>
      <x:c r="G164"/>
      <x:c r="H164"/>
      <x:c r="I164"/>
      <x:c r="J164"/>
      <x:c r="K164" s="7"/>
    </x:row>
    <x:row r="165" ht="54" customHeight="1">
      <x:c r="A165"/>
      <x:c r="B165"/>
      <x:c r="C165"/>
      <x:c r="D165"/>
      <x:c r="E165"/>
      <x:c r="F165"/>
      <x:c r="G165"/>
      <x:c r="H165"/>
      <x:c r="I165"/>
      <x:c r="J165"/>
      <x:c r="K165" s="7"/>
    </x:row>
    <x:row r="166" ht="15.75" customHeight="1">
      <x:c r="A166"/>
      <x:c r="B166"/>
      <x:c r="C166"/>
      <x:c r="D166"/>
      <x:c r="E166"/>
      <x:c r="F166"/>
      <x:c r="G166"/>
      <x:c r="H166"/>
      <x:c r="I166"/>
      <x:c r="J166"/>
      <x:c r="K166" s="7"/>
    </x:row>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1">
      <x:formula1>"Carolina,Arthur,Jeanne"</x:formula1>
    </x:dataValidation>
    <x:dataValidation type="list" allowBlank="1" showErrorMessage="1" sqref="I14:I113 D117:D128">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4">
      <x:formula1>"Review completed,Review is required"</x:formula1>
    </x:dataValidation>
    <x:dataValidation type="list" allowBlank="1" showErrorMessage="1" sqref="B132">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16762f1e49534f4e"/>
</x:worksheet>
</file>

<file path=xl/worksheets/sheet20.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3.29000091552734" customWidth="1"/>
    <x:col min="6" max="7" width="30" customWidth="1"/>
    <x:col min="8" max="8" width="34" customWidth="1"/>
    <x:col min="9" max="10" width="18" customWidth="1"/>
    <x:col min="11" max="11" width="30" customWidth="1"/>
    <x:col min="12" max="27" width="8.710000038146973" customWidth="1"/>
  </x:cols>
  <x:sheetData>
    <x:row r="1" ht="27.75" customHeight="1">
      <x:c r="A1" s="21" t="s">
        <x:v>216</x:v>
      </x:c>
      <x:c r="B1" s="4"/>
      <x:c r="C1" s="4"/>
      <x:c r="D1" s="4"/>
      <x:c r="E1" s="4"/>
      <x:c r="F1" s="4"/>
      <x:c r="G1" s="4"/>
      <x:c r="H1" s="4"/>
      <x:c r="I1" s="5"/>
    </x:row>
    <x:row r="2" hidden="1">
      <x:c r="A2" s="22" t="s">
        <x:v>193</x:v>
      </x:c>
      <x:c r="B2" s="4"/>
      <x:c r="C2" s="4"/>
      <x:c r="D2" s="4"/>
      <x:c r="E2" s="4"/>
      <x:c r="F2" s="4"/>
      <x:c r="G2" s="4"/>
      <x:c r="H2" s="4"/>
      <x:c r="I2" s="5"/>
    </x:row>
    <x:row r="3" hidden="1">
      <x:c r="A3" s="23" t="s">
        <x:v>50</x:v>
      </x:c>
      <x:c r="B3" s="24">
        <x:v>6.0</x:v>
      </x:c>
    </x:row>
    <x:row r="4" hidden="1">
      <x:c r="A4" s="23" t="s">
        <x:v>51</x:v>
      </x:c>
      <x:c r="B4" s="7" t="s">
        <x:v>72</x:v>
      </x:c>
    </x:row>
    <x:row r="5" hidden="1">
      <x:c r="A5" s="23" t="s">
        <x:v>52</x:v>
      </x:c>
      <x:c r="B5" s="7" t="s">
        <x:v>68</x:v>
      </x:c>
    </x:row>
    <x:row r="6" hidden="1">
      <x:c r="A6" s="23" t="s">
        <x:v>194</x:v>
      </x:c>
      <x:c r="B6" s="7" t="s">
        <x:v>195</x:v>
      </x:c>
    </x:row>
    <x:row r="7" hidden="1">
      <x:c r="A7" s="23" t="s">
        <x:v>196</x:v>
      </x:c>
      <x:c r="B7" s="7" t="s">
        <x:v>197</x:v>
      </x:c>
    </x:row>
    <x:row r="8">
      <x:c r="A8" s="23" t="s">
        <x:v>53</x:v>
      </x:c>
      <x:c r="B8" s="7" t="s">
        <x:v>73</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15.75" customHeight="1"/>
    <x:row r="155" ht="15.75" customHeight="1"/>
    <x:row r="156" ht="15.75" customHeight="1"/>
    <x:row r="157" ht="54" customHeight="1"/>
    <x:row r="158" ht="15.75" customHeight="1"/>
    <x:row r="159" ht="15.75" customHeight="1"/>
    <x:row r="160" ht="15.75" customHeight="1"/>
    <x:row r="161" ht="15.75" customHeight="1"/>
    <x:row r="162" ht="15.75" customHeight="1"/>
    <x:row r="163" ht="15.75" customHeight="1">
      <x:c r="A163"/>
      <x:c r="B163"/>
      <x:c r="C163"/>
      <x:c r="D163"/>
      <x:c r="E163"/>
      <x:c r="F163"/>
      <x:c r="G163"/>
      <x:c r="H163"/>
      <x:c r="I163"/>
      <x:c r="J163"/>
      <x:c r="K163" s="7"/>
    </x:row>
    <x:row r="164" ht="15.75" customHeight="1">
      <x:c r="A164"/>
      <x:c r="B164"/>
      <x:c r="C164"/>
      <x:c r="D164"/>
      <x:c r="E164"/>
      <x:c r="F164"/>
      <x:c r="G164"/>
      <x:c r="H164"/>
      <x:c r="I164"/>
      <x:c r="J164"/>
      <x:c r="K164" s="7"/>
    </x:row>
    <x:row r="165" ht="54" customHeight="1">
      <x:c r="A165"/>
      <x:c r="B165"/>
      <x:c r="C165"/>
      <x:c r="D165"/>
      <x:c r="E165"/>
      <x:c r="F165"/>
      <x:c r="G165"/>
      <x:c r="H165"/>
      <x:c r="I165"/>
      <x:c r="J165"/>
      <x:c r="K165" s="7"/>
    </x:row>
    <x:row r="166" ht="15.75" customHeight="1">
      <x:c r="A166"/>
      <x:c r="B166"/>
      <x:c r="C166"/>
      <x:c r="D166"/>
      <x:c r="E166"/>
      <x:c r="F166"/>
      <x:c r="G166"/>
      <x:c r="H166"/>
      <x:c r="I166"/>
      <x:c r="J166"/>
      <x:c r="K166" s="7"/>
    </x:row>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1">
      <x:formula1>"Carolina,Arthur,Jeanne"</x:formula1>
    </x:dataValidation>
    <x:dataValidation type="list" allowBlank="1" showErrorMessage="1" sqref="I14:I113 D117:D128">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4">
      <x:formula1>"Review completed,Review is required"</x:formula1>
    </x:dataValidation>
    <x:dataValidation type="list" allowBlank="1" showErrorMessage="1" sqref="B132">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8a5e197c1b2248b2"/>
</x:worksheet>
</file>

<file path=xl/worksheets/sheet21.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6.29000091552734" customWidth="1"/>
    <x:col min="6" max="7" width="30" customWidth="1"/>
    <x:col min="8" max="8" width="34" customWidth="1"/>
    <x:col min="9" max="10" width="18" customWidth="1"/>
    <x:col min="11" max="11" width="30" customWidth="1"/>
    <x:col min="12" max="27" width="8.710000038146973" customWidth="1"/>
  </x:cols>
  <x:sheetData>
    <x:row r="1" ht="27.75" customHeight="1">
      <x:c r="A1" s="21" t="s">
        <x:v>217</x:v>
      </x:c>
      <x:c r="B1" s="4"/>
      <x:c r="C1" s="4"/>
      <x:c r="D1" s="4"/>
      <x:c r="E1" s="4"/>
      <x:c r="F1" s="4"/>
      <x:c r="G1" s="4"/>
      <x:c r="H1" s="4"/>
      <x:c r="I1" s="5"/>
    </x:row>
    <x:row r="2" hidden="1">
      <x:c r="A2" s="22" t="s">
        <x:v>193</x:v>
      </x:c>
      <x:c r="B2" s="4"/>
      <x:c r="C2" s="4"/>
      <x:c r="D2" s="4"/>
      <x:c r="E2" s="4"/>
      <x:c r="F2" s="4"/>
      <x:c r="G2" s="4"/>
      <x:c r="H2" s="4"/>
      <x:c r="I2" s="5"/>
    </x:row>
    <x:row r="3" hidden="1">
      <x:c r="A3" s="23" t="s">
        <x:v>50</x:v>
      </x:c>
      <x:c r="B3" s="24">
        <x:v>7.0</x:v>
      </x:c>
    </x:row>
    <x:row r="4" hidden="1">
      <x:c r="A4" s="23" t="s">
        <x:v>51</x:v>
      </x:c>
      <x:c r="B4" s="7" t="s">
        <x:v>74</x:v>
      </x:c>
    </x:row>
    <x:row r="5" hidden="1">
      <x:c r="A5" s="23" t="s">
        <x:v>52</x:v>
      </x:c>
      <x:c r="B5" s="7" t="s">
        <x:v>75</x:v>
      </x:c>
    </x:row>
    <x:row r="6" hidden="1">
      <x:c r="A6" s="23" t="s">
        <x:v>194</x:v>
      </x:c>
      <x:c r="B6" s="7" t="s">
        <x:v>195</x:v>
      </x:c>
    </x:row>
    <x:row r="7" hidden="1">
      <x:c r="A7" s="23" t="s">
        <x:v>196</x:v>
      </x:c>
      <x:c r="B7" s="7" t="s">
        <x:v>197</x:v>
      </x:c>
    </x:row>
    <x:row r="8">
      <x:c r="A8" s="23" t="s">
        <x:v>53</x:v>
      </x:c>
      <x:c r="B8" s="7" t="s">
        <x:v>76</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ht="54" customHeight="1">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15.75" customHeight="1"/>
    <x:row r="149" ht="15.75" customHeight="1"/>
    <x:row r="150" ht="15.75" customHeight="1"/>
    <x:row r="151" ht="54" customHeight="1"/>
    <x:row r="152" ht="15.75" customHeight="1"/>
    <x:row r="153" ht="15.75" customHeight="1"/>
    <x:row r="154" ht="15.75" customHeight="1"/>
    <x:row r="155" ht="15.75" customHeight="1"/>
    <x:row r="156" ht="15.75" customHeight="1"/>
    <x:row r="157" ht="15.75" customHeight="1">
      <x:c r="A157"/>
      <x:c r="B157"/>
      <x:c r="C157"/>
      <x:c r="D157"/>
      <x:c r="E157"/>
      <x:c r="F157"/>
      <x:c r="G157"/>
      <x:c r="H157"/>
      <x:c r="I157"/>
      <x:c r="J157"/>
      <x:c r="K157" s="7"/>
    </x:row>
    <x:row r="158" ht="15.75" customHeight="1">
      <x:c r="A158"/>
      <x:c r="B158"/>
      <x:c r="C158"/>
      <x:c r="D158"/>
      <x:c r="E158"/>
      <x:c r="F158"/>
      <x:c r="G158"/>
      <x:c r="H158"/>
      <x:c r="I158"/>
      <x:c r="J158"/>
      <x:c r="K158" s="7"/>
    </x:row>
    <x:row r="159" ht="54" customHeight="1">
      <x:c r="A159"/>
      <x:c r="B159"/>
      <x:c r="C159"/>
      <x:c r="D159"/>
      <x:c r="E159"/>
      <x:c r="F159"/>
      <x:c r="G159"/>
      <x:c r="H159"/>
      <x:c r="I159"/>
      <x:c r="J159"/>
      <x:c r="K159" s="7"/>
    </x:row>
    <x:row r="160" ht="15.75" customHeight="1">
      <x:c r="A160"/>
      <x:c r="B160"/>
      <x:c r="C160"/>
      <x:c r="D160"/>
      <x:c r="E160"/>
      <x:c r="F160"/>
      <x:c r="G160"/>
      <x:c r="H160"/>
      <x:c r="I160"/>
      <x:c r="J160"/>
      <x:c r="K160" s="7"/>
    </x:row>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5">
      <x:formula1>"Carolina,Arthur,Jeanne"</x:formula1>
    </x:dataValidation>
    <x:dataValidation type="list" allowBlank="1" showErrorMessage="1" sqref="I14:I113 D117:D122">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8">
      <x:formula1>"Review completed,Review is required"</x:formula1>
    </x:dataValidation>
    <x:dataValidation type="list" allowBlank="1" showErrorMessage="1" sqref="B126">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24e09c101c7345ff"/>
</x:worksheet>
</file>

<file path=xl/worksheets/sheet22.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1" customWidth="1"/>
    <x:col min="6" max="7" width="30" customWidth="1"/>
    <x:col min="8" max="8" width="34" customWidth="1"/>
    <x:col min="9" max="10" width="18" customWidth="1"/>
    <x:col min="11" max="11" width="30" customWidth="1"/>
    <x:col min="12" max="27" width="8.710000038146973" customWidth="1"/>
  </x:cols>
  <x:sheetData>
    <x:row r="1" ht="27.75" customHeight="1">
      <x:c r="A1" s="21" t="s">
        <x:v>218</x:v>
      </x:c>
      <x:c r="B1" s="4"/>
      <x:c r="C1" s="4"/>
      <x:c r="D1" s="4"/>
      <x:c r="E1" s="4"/>
      <x:c r="F1" s="4"/>
      <x:c r="G1" s="4"/>
      <x:c r="H1" s="4"/>
      <x:c r="I1" s="5"/>
    </x:row>
    <x:row r="2" hidden="1">
      <x:c r="A2" s="22" t="s">
        <x:v>193</x:v>
      </x:c>
      <x:c r="B2" s="4"/>
      <x:c r="C2" s="4"/>
      <x:c r="D2" s="4"/>
      <x:c r="E2" s="4"/>
      <x:c r="F2" s="4"/>
      <x:c r="G2" s="4"/>
      <x:c r="H2" s="4"/>
      <x:c r="I2" s="5"/>
    </x:row>
    <x:row r="3" hidden="1">
      <x:c r="A3" s="23" t="s">
        <x:v>50</x:v>
      </x:c>
      <x:c r="B3" s="24">
        <x:v>8.0</x:v>
      </x:c>
    </x:row>
    <x:row r="4" hidden="1">
      <x:c r="A4" s="23" t="s">
        <x:v>51</x:v>
      </x:c>
      <x:c r="B4" s="7" t="s">
        <x:v>77</x:v>
      </x:c>
    </x:row>
    <x:row r="5" hidden="1">
      <x:c r="A5" s="23" t="s">
        <x:v>52</x:v>
      </x:c>
      <x:c r="B5" s="7" t="s">
        <x:v>60</x:v>
      </x:c>
    </x:row>
    <x:row r="6" hidden="1">
      <x:c r="A6" s="23" t="s">
        <x:v>194</x:v>
      </x:c>
      <x:c r="B6" s="7" t="s">
        <x:v>195</x:v>
      </x:c>
    </x:row>
    <x:row r="7" hidden="1">
      <x:c r="A7" s="23" t="s">
        <x:v>196</x:v>
      </x:c>
      <x:c r="B7" s="7" t="s">
        <x:v>197</x:v>
      </x:c>
    </x:row>
    <x:row r="8">
      <x:c r="A8" s="23" t="s">
        <x:v>53</x:v>
      </x:c>
      <x:c r="B8" s="7" t="s">
        <x:v>78</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15.75" customHeight="1"/>
    <x:row r="154" ht="15.75" customHeight="1"/>
    <x:row r="155" ht="15.75" customHeight="1"/>
    <x:row r="156" ht="54" customHeight="1"/>
    <x:row r="157" ht="15.75" customHeight="1"/>
    <x:row r="158" ht="15.75" customHeight="1"/>
    <x:row r="159" ht="15.75" customHeight="1"/>
    <x:row r="160" ht="15.75" customHeight="1"/>
    <x:row r="161" ht="15.75" customHeight="1"/>
    <x:row r="162" ht="15.75" customHeight="1">
      <x:c r="A162"/>
      <x:c r="B162"/>
      <x:c r="C162"/>
      <x:c r="D162"/>
      <x:c r="E162"/>
      <x:c r="F162"/>
      <x:c r="G162"/>
      <x:c r="H162"/>
      <x:c r="I162"/>
      <x:c r="J162"/>
      <x:c r="K162" s="7"/>
    </x:row>
    <x:row r="163" ht="15.75" customHeight="1">
      <x:c r="A163"/>
      <x:c r="B163"/>
      <x:c r="C163"/>
      <x:c r="D163"/>
      <x:c r="E163"/>
      <x:c r="F163"/>
      <x:c r="G163"/>
      <x:c r="H163"/>
      <x:c r="I163"/>
      <x:c r="J163"/>
      <x:c r="K163" s="7"/>
    </x:row>
    <x:row r="164" ht="54" customHeight="1">
      <x:c r="A164"/>
      <x:c r="B164"/>
      <x:c r="C164"/>
      <x:c r="D164"/>
      <x:c r="E164"/>
      <x:c r="F164"/>
      <x:c r="G164"/>
      <x:c r="H164"/>
      <x:c r="I164"/>
      <x:c r="J164"/>
      <x:c r="K164" s="7"/>
    </x:row>
    <x:row r="165" ht="15.75" customHeight="1">
      <x:c r="A165"/>
      <x:c r="B165"/>
      <x:c r="C165"/>
      <x:c r="D165"/>
      <x:c r="E165"/>
      <x:c r="F165"/>
      <x:c r="G165"/>
      <x:c r="H165"/>
      <x:c r="I165"/>
      <x:c r="J165"/>
      <x:c r="K165" s="7"/>
    </x:row>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0">
      <x:formula1>"Carolina,Arthur,Jeanne"</x:formula1>
    </x:dataValidation>
    <x:dataValidation type="list" allowBlank="1" showErrorMessage="1" sqref="I14:I113 D117:D127">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3">
      <x:formula1>"Review completed,Review is required"</x:formula1>
    </x:dataValidation>
    <x:dataValidation type="list" allowBlank="1" showErrorMessage="1" sqref="B131">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47941b80b01c4c5b"/>
</x:worksheet>
</file>

<file path=xl/worksheets/sheet23.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9.13999938964844" customWidth="1"/>
    <x:col min="6" max="7" width="30" customWidth="1"/>
    <x:col min="8" max="8" width="34" customWidth="1"/>
    <x:col min="9" max="10" width="18" customWidth="1"/>
    <x:col min="11" max="11" width="30" customWidth="1"/>
    <x:col min="12" max="27" width="8.710000038146973" customWidth="1"/>
  </x:cols>
  <x:sheetData>
    <x:row r="1" ht="27.75" customHeight="1">
      <x:c r="A1" s="21" t="s">
        <x:v>219</x:v>
      </x:c>
      <x:c r="B1" s="4"/>
      <x:c r="C1" s="4"/>
      <x:c r="D1" s="4"/>
      <x:c r="E1" s="4"/>
      <x:c r="F1" s="4"/>
      <x:c r="G1" s="4"/>
      <x:c r="H1" s="4"/>
      <x:c r="I1" s="5"/>
    </x:row>
    <x:row r="2" hidden="1">
      <x:c r="A2" s="22" t="s">
        <x:v>193</x:v>
      </x:c>
      <x:c r="B2" s="4"/>
      <x:c r="C2" s="4"/>
      <x:c r="D2" s="4"/>
      <x:c r="E2" s="4"/>
      <x:c r="F2" s="4"/>
      <x:c r="G2" s="4"/>
      <x:c r="H2" s="4"/>
      <x:c r="I2" s="5"/>
    </x:row>
    <x:row r="3" hidden="1">
      <x:c r="A3" s="23" t="s">
        <x:v>50</x:v>
      </x:c>
      <x:c r="B3" s="24">
        <x:v>9.0</x:v>
      </x:c>
    </x:row>
    <x:row r="4" hidden="1">
      <x:c r="A4" s="23" t="s">
        <x:v>51</x:v>
      </x:c>
      <x:c r="B4" s="7" t="s">
        <x:v>79</x:v>
      </x:c>
    </x:row>
    <x:row r="5" hidden="1">
      <x:c r="A5" s="23" t="s">
        <x:v>52</x:v>
      </x:c>
      <x:c r="B5" s="7" t="s">
        <x:v>80</x:v>
      </x:c>
    </x:row>
    <x:row r="6" hidden="1">
      <x:c r="A6" s="23" t="s">
        <x:v>194</x:v>
      </x:c>
      <x:c r="B6" s="7" t="s">
        <x:v>195</x:v>
      </x:c>
    </x:row>
    <x:row r="7" hidden="1">
      <x:c r="A7" s="23" t="s">
        <x:v>196</x:v>
      </x:c>
      <x:c r="B7" s="7" t="s">
        <x:v>197</x:v>
      </x:c>
    </x:row>
    <x:row r="8">
      <x:c r="A8" s="23" t="s">
        <x:v>53</x:v>
      </x:c>
      <x:c r="B8" s="7" t="s">
        <x:v>81</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x:c r="B158"/>
      <x:c r="C158"/>
      <x:c r="D158"/>
      <x:c r="E158"/>
      <x:c r="F158"/>
      <x:c r="G158"/>
      <x:c r="H158"/>
      <x:c r="I158"/>
      <x:c r="J158"/>
      <x:c r="K158" s="7"/>
    </x:row>
    <x:row r="159" ht="15.75" customHeight="1">
      <x:c r="A159"/>
      <x:c r="B159"/>
      <x:c r="C159"/>
      <x:c r="D159"/>
      <x:c r="E159"/>
      <x:c r="F159"/>
      <x:c r="G159"/>
      <x:c r="H159"/>
      <x:c r="I159"/>
      <x:c r="J159"/>
      <x:c r="K159" s="7"/>
    </x:row>
    <x:row r="160" ht="54" customHeight="1">
      <x:c r="A160"/>
      <x:c r="B160"/>
      <x:c r="C160"/>
      <x:c r="D160"/>
      <x:c r="E160"/>
      <x:c r="F160"/>
      <x:c r="G160"/>
      <x:c r="H160"/>
      <x:c r="I160"/>
      <x:c r="J160"/>
      <x:c r="K160" s="7"/>
    </x:row>
    <x:row r="161" ht="15.75" customHeight="1">
      <x:c r="A161"/>
      <x:c r="B161"/>
      <x:c r="C161"/>
      <x:c r="D161"/>
      <x:c r="E161"/>
      <x:c r="F161"/>
      <x:c r="G161"/>
      <x:c r="H161"/>
      <x:c r="I161"/>
      <x:c r="J161"/>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6">
      <x:formula1>"Carolina,Arthur,Jeanne"</x:formula1>
    </x:dataValidation>
    <x:dataValidation type="list" allowBlank="1" showErrorMessage="1" sqref="I14:I113 D117:D123">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f3a80948242242a3"/>
</x:worksheet>
</file>

<file path=xl/worksheets/sheet24.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4.86000061035156" customWidth="1"/>
    <x:col min="6" max="7" width="30" customWidth="1"/>
    <x:col min="8" max="8" width="34" customWidth="1"/>
    <x:col min="9" max="10" width="18" customWidth="1"/>
    <x:col min="11" max="11" width="30" customWidth="1"/>
    <x:col min="12" max="27" width="8.710000038146973" customWidth="1"/>
  </x:cols>
  <x:sheetData>
    <x:row r="1" ht="27.75" customHeight="1">
      <x:c r="A1" s="21" t="s">
        <x:v>220</x:v>
      </x:c>
      <x:c r="B1" s="4"/>
      <x:c r="C1" s="4"/>
      <x:c r="D1" s="4"/>
      <x:c r="E1" s="4"/>
      <x:c r="F1" s="4"/>
      <x:c r="G1" s="4"/>
      <x:c r="H1" s="4"/>
      <x:c r="I1" s="5"/>
    </x:row>
    <x:row r="2" hidden="1">
      <x:c r="A2" s="22" t="s">
        <x:v>193</x:v>
      </x:c>
      <x:c r="B2" s="4"/>
      <x:c r="C2" s="4"/>
      <x:c r="D2" s="4"/>
      <x:c r="E2" s="4"/>
      <x:c r="F2" s="4"/>
      <x:c r="G2" s="4"/>
      <x:c r="H2" s="4"/>
      <x:c r="I2" s="5"/>
    </x:row>
    <x:row r="3" hidden="1">
      <x:c r="A3" s="23" t="s">
        <x:v>50</x:v>
      </x:c>
      <x:c r="B3" s="24">
        <x:v>10.0</x:v>
      </x:c>
    </x:row>
    <x:row r="4" hidden="1">
      <x:c r="A4" s="23" t="s">
        <x:v>51</x:v>
      </x:c>
      <x:c r="B4" s="7" t="s">
        <x:v>82</x:v>
      </x:c>
    </x:row>
    <x:row r="5" hidden="1">
      <x:c r="A5" s="23" t="s">
        <x:v>52</x:v>
      </x:c>
      <x:c r="B5" s="7" t="s">
        <x:v>83</x:v>
      </x:c>
    </x:row>
    <x:row r="6" hidden="1">
      <x:c r="A6" s="23" t="s">
        <x:v>194</x:v>
      </x:c>
      <x:c r="B6" s="7" t="s">
        <x:v>195</x:v>
      </x:c>
    </x:row>
    <x:row r="7" hidden="1">
      <x:c r="A7" s="23" t="s">
        <x:v>196</x:v>
      </x:c>
      <x:c r="B7" s="7" t="s">
        <x:v>197</x:v>
      </x:c>
    </x:row>
    <x:row r="8">
      <x:c r="A8" s="23" t="s">
        <x:v>53</x:v>
      </x:c>
      <x:c r="B8" s="7" t="s">
        <x:v>84</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ht="54" customHeight="1">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15.75" customHeight="1"/>
    <x:row r="149" ht="15.75" customHeight="1"/>
    <x:row r="150" ht="15.75" customHeight="1"/>
    <x:row r="151" ht="54" customHeight="1"/>
    <x:row r="152" ht="15.75" customHeight="1"/>
    <x:row r="153" ht="15.75" customHeight="1"/>
    <x:row r="154" ht="15.75" customHeight="1"/>
    <x:row r="155" ht="15.75" customHeight="1"/>
    <x:row r="156" ht="15.75" customHeight="1"/>
    <x:row r="157" ht="15.75" customHeight="1">
      <x:c r="A157"/>
      <x:c r="B157"/>
      <x:c r="C157"/>
      <x:c r="D157"/>
      <x:c r="E157"/>
      <x:c r="F157"/>
      <x:c r="G157"/>
      <x:c r="H157"/>
      <x:c r="I157"/>
      <x:c r="J157"/>
      <x:c r="K157" s="7"/>
    </x:row>
    <x:row r="158" ht="15.75" customHeight="1">
      <x:c r="A158"/>
      <x:c r="B158"/>
      <x:c r="C158"/>
      <x:c r="D158"/>
      <x:c r="E158"/>
      <x:c r="F158"/>
      <x:c r="G158"/>
      <x:c r="H158"/>
      <x:c r="I158"/>
      <x:c r="J158"/>
      <x:c r="K158" s="7"/>
    </x:row>
    <x:row r="159" ht="54" customHeight="1">
      <x:c r="A159"/>
      <x:c r="B159"/>
      <x:c r="C159"/>
      <x:c r="D159"/>
      <x:c r="E159"/>
      <x:c r="F159"/>
      <x:c r="G159"/>
      <x:c r="H159"/>
      <x:c r="I159"/>
      <x:c r="J159"/>
      <x:c r="K159" s="7"/>
    </x:row>
    <x:row r="160" ht="15.75" customHeight="1">
      <x:c r="A160"/>
      <x:c r="B160"/>
      <x:c r="C160"/>
      <x:c r="D160"/>
      <x:c r="E160"/>
      <x:c r="F160"/>
      <x:c r="G160"/>
      <x:c r="H160"/>
      <x:c r="I160"/>
      <x:c r="J160"/>
      <x:c r="K160" s="7"/>
    </x:row>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5">
      <x:formula1>"Carolina,Arthur,Jeanne"</x:formula1>
    </x:dataValidation>
    <x:dataValidation type="list" allowBlank="1" showErrorMessage="1" sqref="I14:I113 D117:D122">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8">
      <x:formula1>"Review completed,Review is required"</x:formula1>
    </x:dataValidation>
    <x:dataValidation type="list" allowBlank="1" showErrorMessage="1" sqref="B126">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ea0ae71c1242426d"/>
</x:worksheet>
</file>

<file path=xl/worksheets/sheet25.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2.43000030517578" customWidth="1"/>
    <x:col min="6" max="7" width="30" customWidth="1"/>
    <x:col min="8" max="8" width="34" customWidth="1"/>
    <x:col min="9" max="10" width="18" customWidth="1"/>
    <x:col min="11" max="11" width="30" customWidth="1"/>
    <x:col min="12" max="27" width="8.710000038146973" customWidth="1"/>
  </x:cols>
  <x:sheetData>
    <x:row r="1" ht="27.75" customHeight="1">
      <x:c r="A1" s="21" t="s">
        <x:v>221</x:v>
      </x:c>
      <x:c r="B1" s="4"/>
      <x:c r="C1" s="4"/>
      <x:c r="D1" s="4"/>
      <x:c r="E1" s="4"/>
      <x:c r="F1" s="4"/>
      <x:c r="G1" s="4"/>
      <x:c r="H1" s="4"/>
      <x:c r="I1" s="5"/>
    </x:row>
    <x:row r="2" hidden="1">
      <x:c r="A2" s="22" t="s">
        <x:v>193</x:v>
      </x:c>
      <x:c r="B2" s="4"/>
      <x:c r="C2" s="4"/>
      <x:c r="D2" s="4"/>
      <x:c r="E2" s="4"/>
      <x:c r="F2" s="4"/>
      <x:c r="G2" s="4"/>
      <x:c r="H2" s="4"/>
      <x:c r="I2" s="5"/>
    </x:row>
    <x:row r="3" hidden="1">
      <x:c r="A3" s="23" t="s">
        <x:v>50</x:v>
      </x:c>
      <x:c r="B3" s="24">
        <x:v>11.0</x:v>
      </x:c>
    </x:row>
    <x:row r="4" hidden="1">
      <x:c r="A4" s="23" t="s">
        <x:v>51</x:v>
      </x:c>
      <x:c r="B4" s="7" t="s">
        <x:v>85</x:v>
      </x:c>
    </x:row>
    <x:row r="5" hidden="1">
      <x:c r="A5" s="23" t="s">
        <x:v>52</x:v>
      </x:c>
      <x:c r="B5" s="7" t="s">
        <x:v>60</x:v>
      </x:c>
    </x:row>
    <x:row r="6" hidden="1">
      <x:c r="A6" s="23" t="s">
        <x:v>194</x:v>
      </x:c>
      <x:c r="B6" s="7" t="s">
        <x:v>195</x:v>
      </x:c>
    </x:row>
    <x:row r="7" hidden="1">
      <x:c r="A7" s="23" t="s">
        <x:v>196</x:v>
      </x:c>
      <x:c r="B7" s="7" t="s">
        <x:v>197</x:v>
      </x:c>
    </x:row>
    <x:row r="8">
      <x:c r="A8" s="23" t="s">
        <x:v>53</x:v>
      </x:c>
      <x:c r="B8" s="7" t="s">
        <x:v>86</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15.75" customHeight="1"/>
    <x:row r="154" ht="15.75" customHeight="1"/>
    <x:row r="155" ht="15.75" customHeight="1"/>
    <x:row r="156" ht="54" customHeight="1"/>
    <x:row r="157" ht="15.75" customHeight="1"/>
    <x:row r="158" ht="15.75" customHeight="1"/>
    <x:row r="159" ht="15.75" customHeight="1"/>
    <x:row r="160" ht="15.75" customHeight="1"/>
    <x:row r="161" ht="15.75" customHeight="1"/>
    <x:row r="162" ht="15.75" customHeight="1">
      <x:c r="A162"/>
      <x:c r="B162"/>
      <x:c r="C162"/>
      <x:c r="D162"/>
      <x:c r="E162"/>
      <x:c r="F162"/>
      <x:c r="G162"/>
      <x:c r="H162"/>
      <x:c r="I162"/>
      <x:c r="J162"/>
      <x:c r="K162" s="7"/>
    </x:row>
    <x:row r="163" ht="15.75" customHeight="1">
      <x:c r="A163"/>
      <x:c r="B163"/>
      <x:c r="C163"/>
      <x:c r="D163"/>
      <x:c r="E163"/>
      <x:c r="F163"/>
      <x:c r="G163"/>
      <x:c r="H163"/>
      <x:c r="I163"/>
      <x:c r="J163"/>
      <x:c r="K163" s="7"/>
    </x:row>
    <x:row r="164" ht="54" customHeight="1">
      <x:c r="A164"/>
      <x:c r="B164"/>
      <x:c r="C164"/>
      <x:c r="D164"/>
      <x:c r="E164"/>
      <x:c r="F164"/>
      <x:c r="G164"/>
      <x:c r="H164"/>
      <x:c r="I164"/>
      <x:c r="J164"/>
      <x:c r="K164" s="7"/>
    </x:row>
    <x:row r="165" ht="15.75" customHeight="1">
      <x:c r="A165"/>
      <x:c r="B165"/>
      <x:c r="C165"/>
      <x:c r="D165"/>
      <x:c r="E165"/>
      <x:c r="F165"/>
      <x:c r="G165"/>
      <x:c r="H165"/>
      <x:c r="I165"/>
      <x:c r="J165"/>
      <x:c r="K165" s="7"/>
    </x:row>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0">
      <x:formula1>"Carolina,Arthur,Jeanne"</x:formula1>
    </x:dataValidation>
    <x:dataValidation type="list" allowBlank="1" showErrorMessage="1" sqref="I14:I113 D117:D127">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3">
      <x:formula1>"Review completed,Review is required"</x:formula1>
    </x:dataValidation>
    <x:dataValidation type="list" allowBlank="1" showErrorMessage="1" sqref="B131">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6d4c8722337c4227"/>
</x:worksheet>
</file>

<file path=xl/worksheets/sheet26.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66.13999938964844" customWidth="1"/>
    <x:col min="6" max="7" width="30" customWidth="1"/>
    <x:col min="8" max="8" width="30.43000030517578" customWidth="1"/>
    <x:col min="9" max="9" width="21.56999969482422" customWidth="1"/>
    <x:col min="10" max="25" width="8.710000038146973" customWidth="1"/>
  </x:cols>
  <x:sheetData>
    <x:row r="1" ht="27.75" customHeight="1">
      <x:c r="A1" s="67" t="s">
        <x:v>222</x:v>
      </x:c>
      <x:c r="B1" s="4"/>
      <x:c r="C1" s="4"/>
      <x:c r="D1" s="4"/>
      <x:c r="E1" s="4"/>
      <x:c r="F1" s="4"/>
      <x:c r="G1" s="4"/>
      <x:c r="H1" s="4"/>
      <x:c r="I1" s="5"/>
    </x:row>
    <x:row r="2" hidden="1">
      <x:c r="A2" s="22" t="s">
        <x:v>193</x:v>
      </x:c>
      <x:c r="B2" s="4"/>
      <x:c r="C2" s="4"/>
      <x:c r="D2" s="4"/>
      <x:c r="E2" s="4"/>
      <x:c r="F2" s="4"/>
      <x:c r="G2" s="4"/>
      <x:c r="H2" s="4"/>
      <x:c r="I2" s="5"/>
    </x:row>
    <x:row r="3" hidden="1">
      <x:c r="A3" s="23" t="s">
        <x:v>50</x:v>
      </x:c>
      <x:c r="B3" s="53">
        <x:v>20.0</x:v>
      </x:c>
    </x:row>
    <x:row r="4" hidden="1">
      <x:c r="A4" s="23" t="s">
        <x:v>51</x:v>
      </x:c>
      <x:c r="B4" s="79" t="s">
        <x:v>92</x:v>
      </x:c>
    </x:row>
    <x:row r="5" hidden="1">
      <x:c r="A5" s="23" t="s">
        <x:v>52</x:v>
      </x:c>
      <x:c r="B5" s="79" t="s">
        <x:v>97</x:v>
      </x:c>
    </x:row>
    <x:row r="6" hidden="1">
      <x:c r="A6" s="23" t="s">
        <x:v>194</x:v>
      </x:c>
      <x:c r="B6" s="79" t="s">
        <x:v>223</x:v>
      </x:c>
    </x:row>
    <x:row r="7" hidden="1">
      <x:c r="A7" s="23" t="s">
        <x:v>196</x:v>
      </x:c>
      <x:c r="B7" s="79" t="s">
        <x:v>197</x:v>
      </x:c>
    </x:row>
    <x:row r="8">
      <x:c r="A8" s="23" t="s">
        <x:v>53</x:v>
      </x:c>
      <x:c r="B8" s="54" t="s">
        <x:v>102</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ht="15.75" customHeight="1">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ht="15.75" customHeight="1">
      <x:c r="A116" s="96"/>
      <x:c r="B116" s="96"/>
      <x:c r="C116" s="96"/>
      <x:c r="D116" s="96"/>
      <x:c r="E116" s="96"/>
      <x:c r="F116" s="96"/>
      <x:c r="G116" s="96"/>
      <x:c r="H116" s="97"/>
      <x:c r="I116" s="97"/>
      <x:c r="J116" s="97"/>
    </x:row>
    <x:row r="117" ht="15.75" customHeight="1">
      <x:c r="A117" s="96"/>
      <x:c r="B117" s="96"/>
      <x:c r="C117" s="96"/>
      <x:c r="D117" s="96"/>
      <x:c r="E117" s="96"/>
      <x:c r="F117" s="96"/>
      <x:c r="G117" s="96"/>
      <x:c r="H117" s="97"/>
      <x:c r="I117" s="97"/>
      <x:c r="J117" s="97"/>
    </x:row>
    <x:row r="118" ht="15.75" customHeight="1">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ht="15.75" customHeight="1">
      <x:c r="A124" s="96"/>
      <x:c r="B124" s="96"/>
      <x:c r="C124" s="96"/>
      <x:c r="D124" s="96"/>
      <x:c r="E124" s="96"/>
      <x:c r="F124" s="96"/>
      <x:c r="G124" s="96"/>
      <x:c r="H124" s="97"/>
      <x:c r="I124" s="97"/>
      <x:c r="J124" s="97"/>
    </x:row>
    <x:row r="125" ht="15.75" customHeight="1">
      <x:c r="A125" s="96"/>
      <x:c r="B125" s="96"/>
      <x:c r="C125" s="96"/>
      <x:c r="D125" s="96"/>
      <x:c r="E125" s="96"/>
      <x:c r="F125" s="96"/>
      <x:c r="G125" s="96"/>
      <x:c r="H125" s="97"/>
      <x:c r="I125" s="97"/>
      <x:c r="J125" s="97"/>
    </x:row>
    <x:row r="126" ht="15.75" customHeight="1">
      <x:c r="A126" s="96"/>
      <x:c r="B126" s="96"/>
      <x:c r="C126" s="96"/>
      <x:c r="D126" s="96"/>
      <x:c r="E126" s="96"/>
      <x:c r="F126" s="96"/>
      <x:c r="G126" s="96"/>
      <x:c r="H126" s="97"/>
      <x:c r="I126" s="97"/>
      <x:c r="J126" s="97"/>
    </x:row>
    <x:row r="127" ht="15.75" customHeight="1">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ht="15.75" customHeight="1">
      <x:c r="A129" s="96"/>
      <x:c r="B129" s="96"/>
      <x:c r="C129" s="96"/>
      <x:c r="D129" s="96"/>
      <x:c r="E129" s="96"/>
      <x:c r="F129" s="96"/>
      <x:c r="G129" s="96"/>
      <x:c r="H129" s="97"/>
      <x:c r="I129" s="97"/>
      <x:c r="J129" s="97"/>
    </x:row>
    <x:row r="130" ht="15.75" customHeight="1">
      <x:c r="A130" s="96"/>
      <x:c r="B130" s="96"/>
      <x:c r="C130" s="96"/>
      <x:c r="D130" s="96"/>
      <x:c r="E130" s="96"/>
      <x:c r="F130" s="96"/>
      <x:c r="G130" s="96"/>
      <x:c r="H130" s="97"/>
      <x:c r="I130" s="97"/>
      <x:c r="J130" s="97"/>
    </x:row>
    <x:row r="131" ht="15.75" customHeight="1">
      <x:c r="A131" s="96"/>
      <x:c r="B131" s="96"/>
      <x:c r="C131" s="96"/>
      <x:c r="D131" s="96"/>
      <x:c r="E131" s="96"/>
      <x:c r="F131" s="96"/>
      <x:c r="G131" s="96"/>
      <x:c r="H131" s="97"/>
      <x:c r="I131" s="97"/>
      <x:c r="J131" s="97"/>
    </x:row>
    <x:row r="132" ht="15.75" customHeight="1">
      <x:c r="A132" s="96"/>
      <x:c r="B132" s="96"/>
      <x:c r="C132" s="96"/>
      <x:c r="D132" s="96"/>
      <x:c r="E132" s="96"/>
      <x:c r="F132" s="96"/>
      <x:c r="G132" s="96"/>
      <x:c r="H132" s="97"/>
      <x:c r="I132" s="97"/>
      <x:c r="J132" s="97"/>
    </x:row>
    <x:row r="133" ht="15.75" customHeight="1">
      <x:c r="A133" s="96"/>
      <x:c r="B133" s="96"/>
      <x:c r="C133" s="96"/>
      <x:c r="D133" s="96"/>
      <x:c r="E133" s="96"/>
      <x:c r="F133" s="96"/>
      <x:c r="G133" s="96"/>
      <x:c r="H133" s="97"/>
      <x:c r="I133" s="97"/>
      <x:c r="J133" s="97"/>
    </x:row>
    <x:row r="134" ht="15.75" customHeight="1">
      <x:c r="A134" s="96"/>
      <x:c r="B134" s="96"/>
      <x:c r="C134" s="96"/>
      <x:c r="D134" s="96"/>
      <x:c r="E134" s="96"/>
      <x:c r="F134" s="96"/>
      <x:c r="G134" s="96"/>
      <x:c r="H134" s="97"/>
      <x:c r="I134" s="97"/>
      <x:c r="J134" s="97"/>
    </x:row>
    <x:row r="135" ht="15.75" customHeight="1">
      <x:c r="A135" s="96"/>
      <x:c r="B135" s="96"/>
      <x:c r="C135" s="96"/>
      <x:c r="D135" s="96"/>
      <x:c r="E135" s="96"/>
      <x:c r="F135" s="96"/>
      <x:c r="G135" s="96"/>
      <x:c r="H135" s="97"/>
      <x:c r="I135" s="97"/>
      <x:c r="J135" s="97"/>
    </x:row>
    <x:row r="136" ht="15.75" customHeight="1">
      <x:c r="A136" s="96"/>
      <x:c r="B136" s="96"/>
      <x:c r="C136" s="96"/>
      <x:c r="D136" s="96"/>
      <x:c r="E136" s="96"/>
      <x:c r="F136" s="96"/>
      <x:c r="G136" s="96"/>
      <x:c r="H136" s="97"/>
      <x:c r="I136" s="97"/>
      <x:c r="J136" s="97"/>
    </x:row>
    <x:row r="137" ht="15.75" customHeight="1">
      <x:c r="A137" s="96"/>
      <x:c r="B137" s="96"/>
      <x:c r="C137" s="96"/>
      <x:c r="D137" s="96"/>
      <x:c r="E137" s="96"/>
      <x:c r="F137" s="96"/>
      <x:c r="G137" s="96"/>
      <x:c r="H137" s="97"/>
      <x:c r="I137" s="97"/>
      <x:c r="J137" s="97"/>
    </x:row>
    <x:row r="138" ht="15.75" customHeight="1">
      <x:c r="A138" s="96"/>
      <x:c r="B138" s="96"/>
      <x:c r="C138" s="96"/>
      <x:c r="D138" s="96"/>
      <x:c r="E138" s="96"/>
      <x:c r="F138" s="96"/>
      <x:c r="G138" s="96"/>
      <x:c r="H138" s="97"/>
      <x:c r="I138" s="97"/>
      <x:c r="J138" s="97"/>
    </x:row>
    <x:row r="139" ht="15.75" customHeight="1"/>
    <x:row r="140" ht="15.75" customHeight="1"/>
    <x:row r="141" ht="15.75" customHeight="1">
      <x:c r="A141" s="93" t="str">
        <x:v>Final expert verdict</x:v>
      </x:c>
      <x:c r="B141" s="93" t="str">
        <x:v>Final expert verdict</x:v>
      </x:c>
    </x:row>
    <x:row r="142" ht="15.75" customHeight="1">
      <x:c r="A142" s="96" t="str">
        <x:v>Reviewer</x:v>
      </x:c>
      <x:c r="B142" s="97" t="str"/>
    </x:row>
    <x:row r="143" ht="15.75" customHeight="1">
      <x:c r="A143" s="96" t="str">
        <x:v>Is the answer acceptable?</x:v>
      </x:c>
      <x:c r="B143" s="97" t="str"/>
    </x:row>
    <x:row r="144" ht="42" customHeight="1">
      <x:c r="A144" s="96" t="str">
        <x:v>Overall comment / required fixes</x:v>
      </x:c>
      <x:c r="B144" s="97" t="str"/>
    </x:row>
    <x:row r="145" ht="15.75" customHeight="1">
      <x:c r="A145" s="96" t="str">
        <x:v>Review completed?</x:v>
      </x:c>
      <x:c r="B145" s="97" t="str"/>
    </x:row>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sheetData>
  <x:mergeCells>
    <x:mergeCell ref="B8:I8"/>
    <x:mergeCell ref="A9:I9"/>
    <x:mergeCell ref="A10:I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26">
      <x:formula1>"Carolina,Arthur,Jeanne"</x:formula1>
    </x:dataValidation>
    <x:dataValidation type="list" allowBlank="1" showErrorMessage="1" sqref="I16:I115 D119:D123">
      <x:formula1>"Supports claim,Partially supports claim,Does not support claim"</x:formula1>
    </x:dataValidation>
    <x:dataValidation type="list" allowBlank="1" showErrorMessage="1" sqref="H16:H115">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10c075ab9ce34d33"/>
</x:worksheet>
</file>

<file path=xl/worksheets/sheet27.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7" customWidth="1"/>
    <x:col min="6" max="7" width="30" customWidth="1"/>
    <x:col min="8" max="8" width="34" customWidth="1"/>
    <x:col min="9" max="10" width="18" customWidth="1"/>
    <x:col min="11" max="11" width="30" customWidth="1"/>
    <x:col min="12" max="27" width="8.710000038146973" customWidth="1"/>
  </x:cols>
  <x:sheetData>
    <x:row r="1" ht="27.75" customHeight="1">
      <x:c r="A1" s="67" t="s">
        <x:v>224</x:v>
      </x:c>
      <x:c r="B1" s="4"/>
      <x:c r="C1" s="4"/>
      <x:c r="D1" s="4"/>
      <x:c r="E1" s="4"/>
      <x:c r="F1" s="4"/>
      <x:c r="G1" s="4"/>
      <x:c r="H1" s="4"/>
      <x:c r="I1" s="5"/>
    </x:row>
    <x:row r="2" hidden="1">
      <x:c r="A2" s="22" t="s">
        <x:v>193</x:v>
      </x:c>
      <x:c r="B2" s="4"/>
      <x:c r="C2" s="4"/>
      <x:c r="D2" s="4"/>
      <x:c r="E2" s="4"/>
      <x:c r="F2" s="4"/>
      <x:c r="G2" s="4"/>
      <x:c r="H2" s="4"/>
      <x:c r="I2" s="5"/>
    </x:row>
    <x:row r="3" hidden="1">
      <x:c r="A3" s="23" t="s">
        <x:v>50</x:v>
      </x:c>
      <x:c r="B3" s="53">
        <x:v>22.0</x:v>
      </x:c>
    </x:row>
    <x:row r="4" hidden="1">
      <x:c r="A4" s="23" t="s">
        <x:v>51</x:v>
      </x:c>
      <x:c r="B4" s="7" t="s">
        <x:v>103</x:v>
      </x:c>
    </x:row>
    <x:row r="5" hidden="1">
      <x:c r="A5" s="23" t="s">
        <x:v>52</x:v>
      </x:c>
      <x:c r="B5" s="7" t="s">
        <x:v>60</x:v>
      </x:c>
    </x:row>
    <x:row r="6" hidden="1">
      <x:c r="A6" s="23" t="s">
        <x:v>194</x:v>
      </x:c>
      <x:c r="B6" s="7" t="s">
        <x:v>195</x:v>
      </x:c>
    </x:row>
    <x:row r="7" hidden="1">
      <x:c r="A7" s="23" t="s">
        <x:v>196</x:v>
      </x:c>
      <x:c r="B7" s="7" t="s">
        <x:v>197</x:v>
      </x:c>
    </x:row>
    <x:row r="8">
      <x:c r="A8" s="23" t="s">
        <x:v>53</x:v>
      </x:c>
      <x:c r="B8" s="7" t="s">
        <x:v>104</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15.75" customHeight="1"/>
    <x:row r="151" ht="15.75" customHeight="1"/>
    <x:row r="152" ht="15.75" customHeight="1"/>
    <x:row r="153" ht="54" customHeight="1"/>
    <x:row r="154" ht="15.75" customHeight="1"/>
    <x:row r="155" ht="15.75" customHeight="1"/>
    <x:row r="156" ht="15.75" customHeight="1"/>
    <x:row r="157" ht="15.75" customHeight="1"/>
    <x:row r="158" ht="15.75" customHeight="1"/>
    <x:row r="159" ht="15.75" customHeight="1">
      <x:c r="A159"/>
      <x:c r="B159"/>
      <x:c r="C159"/>
      <x:c r="D159"/>
      <x:c r="E159"/>
      <x:c r="F159"/>
      <x:c r="G159"/>
      <x:c r="H159"/>
      <x:c r="I159"/>
      <x:c r="J159"/>
      <x:c r="K159" s="7"/>
    </x:row>
    <x:row r="160" ht="15.75" customHeight="1">
      <x:c r="A160"/>
      <x:c r="B160"/>
      <x:c r="C160"/>
      <x:c r="D160"/>
      <x:c r="E160"/>
      <x:c r="F160"/>
      <x:c r="G160"/>
      <x:c r="H160"/>
      <x:c r="I160"/>
      <x:c r="J160"/>
      <x:c r="K160" s="7"/>
    </x:row>
    <x:row r="161" ht="54" customHeight="1">
      <x:c r="A161"/>
      <x:c r="B161"/>
      <x:c r="C161"/>
      <x:c r="D161"/>
      <x:c r="E161"/>
      <x:c r="F161"/>
      <x:c r="G161"/>
      <x:c r="H161"/>
      <x:c r="I161"/>
      <x:c r="J161"/>
      <x:c r="K161" s="7"/>
    </x:row>
    <x:row r="162" ht="15.75" customHeight="1">
      <x:c r="A162"/>
      <x:c r="B162"/>
      <x:c r="C162"/>
      <x:c r="D162"/>
      <x:c r="E162"/>
      <x:c r="F162"/>
      <x:c r="G162"/>
      <x:c r="H162"/>
      <x:c r="I162"/>
      <x:c r="J162"/>
      <x:c r="K162" s="7"/>
    </x:row>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7">
      <x:formula1>"Carolina,Arthur,Jeanne"</x:formula1>
    </x:dataValidation>
    <x:dataValidation type="list" allowBlank="1" showErrorMessage="1" sqref="I14:I113 D117:D124">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0">
      <x:formula1>"Review completed,Review is required"</x:formula1>
    </x:dataValidation>
    <x:dataValidation type="list" allowBlank="1" showErrorMessage="1" sqref="B128">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8c3a16a225f94877"/>
</x:worksheet>
</file>

<file path=xl/worksheets/sheet28.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5.43000030517578" customWidth="1"/>
    <x:col min="6" max="7" width="30" customWidth="1"/>
    <x:col min="8" max="8" width="34" customWidth="1"/>
    <x:col min="9" max="10" width="18" customWidth="1"/>
    <x:col min="11" max="11" width="30" customWidth="1"/>
    <x:col min="12" max="27" width="8.710000038146973" customWidth="1"/>
  </x:cols>
  <x:sheetData>
    <x:row r="1" ht="27.75" customHeight="1">
      <x:c r="A1" s="67" t="s">
        <x:v>225</x:v>
      </x:c>
      <x:c r="B1" s="4"/>
      <x:c r="C1" s="4"/>
      <x:c r="D1" s="4"/>
      <x:c r="E1" s="4"/>
      <x:c r="F1" s="4"/>
      <x:c r="G1" s="4"/>
      <x:c r="H1" s="4"/>
      <x:c r="I1" s="5"/>
    </x:row>
    <x:row r="2" hidden="1">
      <x:c r="A2" s="22" t="s">
        <x:v>193</x:v>
      </x:c>
      <x:c r="B2" s="4"/>
      <x:c r="C2" s="4"/>
      <x:c r="D2" s="4"/>
      <x:c r="E2" s="4"/>
      <x:c r="F2" s="4"/>
      <x:c r="G2" s="4"/>
      <x:c r="H2" s="4"/>
      <x:c r="I2" s="5"/>
    </x:row>
    <x:row r="3" hidden="1">
      <x:c r="A3" s="23" t="s">
        <x:v>50</x:v>
      </x:c>
      <x:c r="B3" s="53">
        <x:v>23.0</x:v>
      </x:c>
    </x:row>
    <x:row r="4" hidden="1">
      <x:c r="A4" s="23" t="s">
        <x:v>51</x:v>
      </x:c>
      <x:c r="B4" s="7" t="s">
        <x:v>105</x:v>
      </x:c>
    </x:row>
    <x:row r="5" hidden="1">
      <x:c r="A5" s="23" t="s">
        <x:v>52</x:v>
      </x:c>
      <x:c r="B5" s="7" t="s">
        <x:v>60</x:v>
      </x:c>
    </x:row>
    <x:row r="6" hidden="1">
      <x:c r="A6" s="23" t="s">
        <x:v>194</x:v>
      </x:c>
      <x:c r="B6" s="7" t="s">
        <x:v>195</x:v>
      </x:c>
    </x:row>
    <x:row r="7" hidden="1">
      <x:c r="A7" s="23" t="s">
        <x:v>196</x:v>
      </x:c>
      <x:c r="B7" s="7" t="s">
        <x:v>197</x:v>
      </x:c>
    </x:row>
    <x:row r="8">
      <x:c r="A8" s="23" t="s">
        <x:v>53</x:v>
      </x:c>
      <x:c r="B8" s="7" t="s">
        <x:v>106</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x:c r="B158"/>
      <x:c r="C158"/>
      <x:c r="D158"/>
      <x:c r="E158"/>
      <x:c r="F158"/>
      <x:c r="G158"/>
      <x:c r="H158"/>
      <x:c r="I158"/>
      <x:c r="J158"/>
      <x:c r="K158" s="7"/>
    </x:row>
    <x:row r="159" ht="15.75" customHeight="1">
      <x:c r="A159"/>
      <x:c r="B159"/>
      <x:c r="C159"/>
      <x:c r="D159"/>
      <x:c r="E159"/>
      <x:c r="F159"/>
      <x:c r="G159"/>
      <x:c r="H159"/>
      <x:c r="I159"/>
      <x:c r="J159"/>
      <x:c r="K159" s="7"/>
    </x:row>
    <x:row r="160" ht="54" customHeight="1">
      <x:c r="A160"/>
      <x:c r="B160"/>
      <x:c r="C160"/>
      <x:c r="D160"/>
      <x:c r="E160"/>
      <x:c r="F160"/>
      <x:c r="G160"/>
      <x:c r="H160"/>
      <x:c r="I160"/>
      <x:c r="J160"/>
      <x:c r="K160" s="7"/>
    </x:row>
    <x:row r="161" ht="15.75" customHeight="1">
      <x:c r="A161"/>
      <x:c r="B161"/>
      <x:c r="C161"/>
      <x:c r="D161"/>
      <x:c r="E161"/>
      <x:c r="F161"/>
      <x:c r="G161"/>
      <x:c r="H161"/>
      <x:c r="I161"/>
      <x:c r="J161"/>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6">
      <x:formula1>"Carolina,Arthur,Jeanne"</x:formula1>
    </x:dataValidation>
    <x:dataValidation type="list" allowBlank="1" showErrorMessage="1" sqref="I14:I113 D117:D123">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6008988d59c9406c"/>
</x:worksheet>
</file>

<file path=xl/worksheets/sheet29.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81.29000091552734" customWidth="1"/>
    <x:col min="6" max="7" width="30" customWidth="1"/>
    <x:col min="8" max="8" width="34" customWidth="1"/>
    <x:col min="9" max="10" width="18" customWidth="1"/>
    <x:col min="11" max="11" width="30" customWidth="1"/>
    <x:col min="12" max="27" width="8.710000038146973" customWidth="1"/>
  </x:cols>
  <x:sheetData>
    <x:row r="1" ht="27.75" customHeight="1">
      <x:c r="A1" s="67" t="s">
        <x:v>226</x:v>
      </x:c>
      <x:c r="B1" s="4"/>
      <x:c r="C1" s="4"/>
      <x:c r="D1" s="4"/>
      <x:c r="E1" s="4"/>
      <x:c r="F1" s="4"/>
      <x:c r="G1" s="4"/>
      <x:c r="H1" s="4"/>
      <x:c r="I1" s="5"/>
    </x:row>
    <x:row r="2" hidden="1">
      <x:c r="A2" s="22" t="s">
        <x:v>193</x:v>
      </x:c>
      <x:c r="B2" s="4"/>
      <x:c r="C2" s="4"/>
      <x:c r="D2" s="4"/>
      <x:c r="E2" s="4"/>
      <x:c r="F2" s="4"/>
      <x:c r="G2" s="4"/>
      <x:c r="H2" s="4"/>
      <x:c r="I2" s="5"/>
    </x:row>
    <x:row r="3" hidden="1">
      <x:c r="A3" s="23" t="s">
        <x:v>50</x:v>
      </x:c>
      <x:c r="B3" s="53">
        <x:v>30.0</x:v>
      </x:c>
    </x:row>
    <x:row r="4" hidden="1">
      <x:c r="A4" s="23" t="s">
        <x:v>51</x:v>
      </x:c>
      <x:c r="B4" s="7" t="s">
        <x:v>114</x:v>
      </x:c>
    </x:row>
    <x:row r="5" hidden="1">
      <x:c r="A5" s="23" t="s">
        <x:v>52</x:v>
      </x:c>
      <x:c r="B5" s="7" t="s">
        <x:v>75</x:v>
      </x:c>
    </x:row>
    <x:row r="6" hidden="1">
      <x:c r="A6" s="23" t="s">
        <x:v>194</x:v>
      </x:c>
      <x:c r="B6" s="7" t="s">
        <x:v>195</x:v>
      </x:c>
    </x:row>
    <x:row r="7" hidden="1">
      <x:c r="A7" s="23" t="s">
        <x:v>196</x:v>
      </x:c>
      <x:c r="B7" s="7" t="s">
        <x:v>197</x:v>
      </x:c>
    </x:row>
    <x:row r="8">
      <x:c r="A8" s="23" t="s">
        <x:v>53</x:v>
      </x:c>
      <x:c r="B8" s="7" t="s">
        <x:v>115</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ht="54" customHeight="1">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15.75" customHeight="1"/>
    <x:row r="149" ht="15.75" customHeight="1"/>
    <x:row r="150" ht="15.75" customHeight="1"/>
    <x:row r="151" ht="54" customHeight="1"/>
    <x:row r="152" ht="15.75" customHeight="1"/>
    <x:row r="153" ht="15.75" customHeight="1"/>
    <x:row r="154" ht="15.75" customHeight="1"/>
    <x:row r="155" ht="15.75" customHeight="1"/>
    <x:row r="156" ht="15.75" customHeight="1"/>
    <x:row r="157" ht="15.75" customHeight="1">
      <x:c r="A157"/>
      <x:c r="B157"/>
      <x:c r="C157"/>
      <x:c r="D157"/>
      <x:c r="E157"/>
      <x:c r="F157"/>
      <x:c r="G157"/>
      <x:c r="H157"/>
      <x:c r="I157"/>
      <x:c r="J157"/>
      <x:c r="K157" s="7"/>
    </x:row>
    <x:row r="158" ht="15.75" customHeight="1">
      <x:c r="A158"/>
      <x:c r="B158"/>
      <x:c r="C158"/>
      <x:c r="D158"/>
      <x:c r="E158"/>
      <x:c r="F158"/>
      <x:c r="G158"/>
      <x:c r="H158"/>
      <x:c r="I158"/>
      <x:c r="J158"/>
      <x:c r="K158" s="7"/>
    </x:row>
    <x:row r="159" ht="54" customHeight="1">
      <x:c r="A159"/>
      <x:c r="B159"/>
      <x:c r="C159"/>
      <x:c r="D159"/>
      <x:c r="E159"/>
      <x:c r="F159"/>
      <x:c r="G159"/>
      <x:c r="H159"/>
      <x:c r="I159"/>
      <x:c r="J159"/>
      <x:c r="K159" s="7"/>
    </x:row>
    <x:row r="160" ht="15.75" customHeight="1">
      <x:c r="A160"/>
      <x:c r="B160"/>
      <x:c r="C160"/>
      <x:c r="D160"/>
      <x:c r="E160"/>
      <x:c r="F160"/>
      <x:c r="G160"/>
      <x:c r="H160"/>
      <x:c r="I160"/>
      <x:c r="J160"/>
      <x:c r="K160" s="7"/>
    </x:row>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5">
      <x:formula1>"Carolina,Arthur,Jeanne"</x:formula1>
    </x:dataValidation>
    <x:dataValidation type="list" allowBlank="1" showErrorMessage="1" sqref="I14:I113 D117:D122">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8">
      <x:formula1>"Review completed,Review is required"</x:formula1>
    </x:dataValidation>
    <x:dataValidation type="list" allowBlank="1" showErrorMessage="1" sqref="B126">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8aa6a200ffa140b2"/>
</x:worksheet>
</file>

<file path=xl/worksheets/sheet30.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83.13999938964844" customWidth="1"/>
    <x:col min="6" max="7" width="30" customWidth="1"/>
    <x:col min="8" max="8" width="34" customWidth="1"/>
    <x:col min="9" max="10" width="18" customWidth="1"/>
    <x:col min="11" max="11" width="30" customWidth="1"/>
    <x:col min="12" max="27" width="8.710000038146973" customWidth="1"/>
  </x:cols>
  <x:sheetData>
    <x:row r="1" ht="27.75" customHeight="1">
      <x:c r="A1" s="67" t="s">
        <x:v>227</x:v>
      </x:c>
      <x:c r="B1" s="4"/>
      <x:c r="C1" s="4"/>
      <x:c r="D1" s="4"/>
      <x:c r="E1" s="4"/>
      <x:c r="F1" s="4"/>
      <x:c r="G1" s="4"/>
      <x:c r="H1" s="4"/>
      <x:c r="I1" s="5"/>
    </x:row>
    <x:row r="2" hidden="1">
      <x:c r="A2" s="22" t="s">
        <x:v>193</x:v>
      </x:c>
      <x:c r="B2" s="4"/>
      <x:c r="C2" s="4"/>
      <x:c r="D2" s="4"/>
      <x:c r="E2" s="4"/>
      <x:c r="F2" s="4"/>
      <x:c r="G2" s="4"/>
      <x:c r="H2" s="4"/>
      <x:c r="I2" s="5"/>
    </x:row>
    <x:row r="3" hidden="1">
      <x:c r="A3" s="23" t="s">
        <x:v>50</x:v>
      </x:c>
      <x:c r="B3" s="53">
        <x:v>34.0</x:v>
      </x:c>
    </x:row>
    <x:row r="4" hidden="1">
      <x:c r="A4" s="23" t="s">
        <x:v>51</x:v>
      </x:c>
      <x:c r="B4" s="7" t="s">
        <x:v>120</x:v>
      </x:c>
    </x:row>
    <x:row r="5" hidden="1">
      <x:c r="A5" s="23" t="s">
        <x:v>52</x:v>
      </x:c>
      <x:c r="B5" s="7" t="s">
        <x:v>75</x:v>
      </x:c>
    </x:row>
    <x:row r="6" hidden="1">
      <x:c r="A6" s="23" t="s">
        <x:v>194</x:v>
      </x:c>
      <x:c r="B6" s="7" t="s">
        <x:v>195</x:v>
      </x:c>
    </x:row>
    <x:row r="7" hidden="1">
      <x:c r="A7" s="23" t="s">
        <x:v>196</x:v>
      </x:c>
      <x:c r="B7" s="7" t="s">
        <x:v>197</x:v>
      </x:c>
    </x:row>
    <x:row r="8">
      <x:c r="A8" s="23" t="s">
        <x:v>53</x:v>
      </x:c>
      <x:c r="B8" s="7" t="s">
        <x:v>121</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ht="54" customHeight="1">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15.75" customHeight="1"/>
    <x:row r="149" ht="15.75" customHeight="1"/>
    <x:row r="150" ht="15.75" customHeight="1"/>
    <x:row r="151" ht="54" customHeight="1"/>
    <x:row r="152" ht="15.75" customHeight="1"/>
    <x:row r="153" ht="15.75" customHeight="1"/>
    <x:row r="154" ht="15.75" customHeight="1"/>
    <x:row r="155" ht="15.75" customHeight="1"/>
    <x:row r="156" ht="15.75" customHeight="1"/>
    <x:row r="157" ht="15.75" customHeight="1">
      <x:c r="A157"/>
      <x:c r="B157"/>
      <x:c r="C157"/>
      <x:c r="D157"/>
      <x:c r="E157"/>
      <x:c r="F157"/>
      <x:c r="G157"/>
      <x:c r="H157"/>
      <x:c r="I157"/>
      <x:c r="J157"/>
      <x:c r="K157" s="7"/>
    </x:row>
    <x:row r="158" ht="15.75" customHeight="1">
      <x:c r="A158"/>
      <x:c r="B158"/>
      <x:c r="C158"/>
      <x:c r="D158"/>
      <x:c r="E158"/>
      <x:c r="F158"/>
      <x:c r="G158"/>
      <x:c r="H158"/>
      <x:c r="I158"/>
      <x:c r="J158"/>
      <x:c r="K158" s="7"/>
    </x:row>
    <x:row r="159" ht="54" customHeight="1">
      <x:c r="A159"/>
      <x:c r="B159"/>
      <x:c r="C159"/>
      <x:c r="D159"/>
      <x:c r="E159"/>
      <x:c r="F159"/>
      <x:c r="G159"/>
      <x:c r="H159"/>
      <x:c r="I159"/>
      <x:c r="J159"/>
      <x:c r="K159" s="7"/>
    </x:row>
    <x:row r="160" ht="15.75" customHeight="1">
      <x:c r="A160"/>
      <x:c r="B160"/>
      <x:c r="C160"/>
      <x:c r="D160"/>
      <x:c r="E160"/>
      <x:c r="F160"/>
      <x:c r="G160"/>
      <x:c r="H160"/>
      <x:c r="I160"/>
      <x:c r="J160"/>
      <x:c r="K160" s="7"/>
    </x:row>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5">
      <x:formula1>"Carolina,Arthur,Jeanne"</x:formula1>
    </x:dataValidation>
    <x:dataValidation type="list" allowBlank="1" showErrorMessage="1" sqref="I14:I113 D117:D122">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8">
      <x:formula1>"Review completed,Review is required"</x:formula1>
    </x:dataValidation>
    <x:dataValidation type="list" allowBlank="1" showErrorMessage="1" sqref="B126">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305d4ead093f4267"/>
</x:worksheet>
</file>

<file path=xl/worksheets/sheet31.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2.86000061035156" customWidth="1"/>
    <x:col min="6" max="7" width="30" customWidth="1"/>
    <x:col min="8" max="8" width="34" customWidth="1"/>
    <x:col min="9" max="10" width="18" customWidth="1"/>
    <x:col min="11" max="11" width="30" customWidth="1"/>
    <x:col min="12" max="27" width="8.710000038146973" customWidth="1"/>
  </x:cols>
  <x:sheetData>
    <x:row r="1" ht="27.75" customHeight="1">
      <x:c r="A1" s="67" t="s">
        <x:v>228</x:v>
      </x:c>
      <x:c r="B1" s="4"/>
      <x:c r="C1" s="4"/>
      <x:c r="D1" s="4"/>
      <x:c r="E1" s="4"/>
      <x:c r="F1" s="4"/>
      <x:c r="G1" s="4"/>
      <x:c r="H1" s="4"/>
      <x:c r="I1" s="5"/>
    </x:row>
    <x:row r="2" hidden="1">
      <x:c r="A2" s="22" t="s">
        <x:v>193</x:v>
      </x:c>
      <x:c r="B2" s="4"/>
      <x:c r="C2" s="4"/>
      <x:c r="D2" s="4"/>
      <x:c r="E2" s="4"/>
      <x:c r="F2" s="4"/>
      <x:c r="G2" s="4"/>
      <x:c r="H2" s="4"/>
      <x:c r="I2" s="5"/>
    </x:row>
    <x:row r="3" hidden="1">
      <x:c r="A3" s="23" t="s">
        <x:v>50</x:v>
      </x:c>
      <x:c r="B3" s="53">
        <x:v>38.0</x:v>
      </x:c>
    </x:row>
    <x:row r="4" hidden="1">
      <x:c r="A4" s="23" t="s">
        <x:v>51</x:v>
      </x:c>
      <x:c r="B4" s="7" t="s">
        <x:v>124</x:v>
      </x:c>
    </x:row>
    <x:row r="5" hidden="1">
      <x:c r="A5" s="23" t="s">
        <x:v>52</x:v>
      </x:c>
      <x:c r="B5" s="7" t="s">
        <x:v>75</x:v>
      </x:c>
    </x:row>
    <x:row r="6" hidden="1">
      <x:c r="A6" s="23" t="s">
        <x:v>194</x:v>
      </x:c>
      <x:c r="B6" s="7" t="s">
        <x:v>195</x:v>
      </x:c>
    </x:row>
    <x:row r="7" hidden="1">
      <x:c r="A7" s="23" t="s">
        <x:v>196</x:v>
      </x:c>
      <x:c r="B7" s="7" t="s">
        <x:v>197</x:v>
      </x:c>
    </x:row>
    <x:row r="8">
      <x:c r="A8" s="23" t="s">
        <x:v>53</x:v>
      </x:c>
      <x:c r="B8" s="7" t="s">
        <x:v>126</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x:c r="B158"/>
      <x:c r="C158"/>
      <x:c r="D158"/>
      <x:c r="E158"/>
      <x:c r="F158"/>
      <x:c r="G158"/>
      <x:c r="H158"/>
      <x:c r="I158"/>
      <x:c r="J158"/>
      <x:c r="K158" s="7"/>
    </x:row>
    <x:row r="159" ht="15.75" customHeight="1">
      <x:c r="A159"/>
      <x:c r="B159"/>
      <x:c r="C159"/>
      <x:c r="D159"/>
      <x:c r="E159"/>
      <x:c r="F159"/>
      <x:c r="G159"/>
      <x:c r="H159"/>
      <x:c r="I159"/>
      <x:c r="J159"/>
      <x:c r="K159" s="7"/>
    </x:row>
    <x:row r="160" ht="54" customHeight="1">
      <x:c r="A160"/>
      <x:c r="B160"/>
      <x:c r="C160"/>
      <x:c r="D160"/>
      <x:c r="E160"/>
      <x:c r="F160"/>
      <x:c r="G160"/>
      <x:c r="H160"/>
      <x:c r="I160"/>
      <x:c r="J160"/>
      <x:c r="K160" s="7"/>
    </x:row>
    <x:row r="161" ht="15.75" customHeight="1">
      <x:c r="A161"/>
      <x:c r="B161"/>
      <x:c r="C161"/>
      <x:c r="D161"/>
      <x:c r="E161"/>
      <x:c r="F161"/>
      <x:c r="G161"/>
      <x:c r="H161"/>
      <x:c r="I161"/>
      <x:c r="J161"/>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6">
      <x:formula1>"Carolina,Arthur,Jeanne"</x:formula1>
    </x:dataValidation>
    <x:dataValidation type="list" allowBlank="1" showErrorMessage="1" sqref="I14:I113 D117:D123">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6103468dea0c40b1"/>
</x:worksheet>
</file>

<file path=xl/worksheets/sheet32.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83.29000091552734" customWidth="1"/>
    <x:col min="6" max="7" width="30" customWidth="1"/>
    <x:col min="8" max="8" width="34" customWidth="1"/>
    <x:col min="9" max="10" width="18" customWidth="1"/>
    <x:col min="11" max="11" width="30" customWidth="1"/>
    <x:col min="12" max="27" width="8.710000038146973" customWidth="1"/>
  </x:cols>
  <x:sheetData>
    <x:row r="1" ht="27.75" customHeight="1">
      <x:c r="A1" s="67" t="s">
        <x:v>229</x:v>
      </x:c>
      <x:c r="B1" s="4"/>
      <x:c r="C1" s="4"/>
      <x:c r="D1" s="4"/>
      <x:c r="E1" s="4"/>
      <x:c r="F1" s="4"/>
      <x:c r="G1" s="4"/>
      <x:c r="H1" s="4"/>
      <x:c r="I1" s="5"/>
    </x:row>
    <x:row r="2" hidden="1">
      <x:c r="A2" s="22" t="s">
        <x:v>193</x:v>
      </x:c>
      <x:c r="B2" s="4"/>
      <x:c r="C2" s="4"/>
      <x:c r="D2" s="4"/>
      <x:c r="E2" s="4"/>
      <x:c r="F2" s="4"/>
      <x:c r="G2" s="4"/>
      <x:c r="H2" s="4"/>
      <x:c r="I2" s="5"/>
    </x:row>
    <x:row r="3" hidden="1">
      <x:c r="A3" s="23" t="s">
        <x:v>50</x:v>
      </x:c>
      <x:c r="B3" s="53">
        <x:v>42.0</x:v>
      </x:c>
    </x:row>
    <x:row r="4" hidden="1">
      <x:c r="A4" s="23" t="s">
        <x:v>51</x:v>
      </x:c>
      <x:c r="B4" s="7" t="s">
        <x:v>129</x:v>
      </x:c>
    </x:row>
    <x:row r="5" hidden="1">
      <x:c r="A5" s="23" t="s">
        <x:v>52</x:v>
      </x:c>
      <x:c r="B5" s="7" t="s">
        <x:v>75</x:v>
      </x:c>
    </x:row>
    <x:row r="6" hidden="1">
      <x:c r="A6" s="23" t="s">
        <x:v>194</x:v>
      </x:c>
      <x:c r="B6" s="7" t="s">
        <x:v>195</x:v>
      </x:c>
    </x:row>
    <x:row r="7" hidden="1">
      <x:c r="A7" s="23" t="s">
        <x:v>196</x:v>
      </x:c>
      <x:c r="B7" s="7" t="s">
        <x:v>197</x:v>
      </x:c>
    </x:row>
    <x:row r="8">
      <x:c r="A8" s="23" t="s">
        <x:v>53</x:v>
      </x:c>
      <x:c r="B8" s="7" t="s">
        <x:v>131</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x:c r="B158"/>
      <x:c r="C158"/>
      <x:c r="D158"/>
      <x:c r="E158"/>
      <x:c r="F158"/>
      <x:c r="G158"/>
      <x:c r="H158"/>
      <x:c r="I158"/>
      <x:c r="J158"/>
      <x:c r="K158" s="7"/>
    </x:row>
    <x:row r="159" ht="15.75" customHeight="1">
      <x:c r="A159"/>
      <x:c r="B159"/>
      <x:c r="C159"/>
      <x:c r="D159"/>
      <x:c r="E159"/>
      <x:c r="F159"/>
      <x:c r="G159"/>
      <x:c r="H159"/>
      <x:c r="I159"/>
      <x:c r="J159"/>
      <x:c r="K159" s="7"/>
    </x:row>
    <x:row r="160" ht="54" customHeight="1">
      <x:c r="A160"/>
      <x:c r="B160"/>
      <x:c r="C160"/>
      <x:c r="D160"/>
      <x:c r="E160"/>
      <x:c r="F160"/>
      <x:c r="G160"/>
      <x:c r="H160"/>
      <x:c r="I160"/>
      <x:c r="J160"/>
      <x:c r="K160" s="7"/>
    </x:row>
    <x:row r="161" ht="15.75" customHeight="1">
      <x:c r="A161"/>
      <x:c r="B161"/>
      <x:c r="C161"/>
      <x:c r="D161"/>
      <x:c r="E161"/>
      <x:c r="F161"/>
      <x:c r="G161"/>
      <x:c r="H161"/>
      <x:c r="I161"/>
      <x:c r="J161"/>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6">
      <x:formula1>"Carolina,Arthur,Jeanne"</x:formula1>
    </x:dataValidation>
    <x:dataValidation type="list" allowBlank="1" showErrorMessage="1" sqref="I14:I113 D117:D123">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5b2e6e9e1e9d4be7"/>
</x:worksheet>
</file>

<file path=xl/worksheets/sheet33.xml><?xml version="1.0" encoding="utf-8"?>
<x:worksheet xmlns:x="http://schemas.openxmlformats.org/spreadsheetml/2006/main">
  <x:sheetPr>
    <x:tabColor rgb="FFFFFF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7.43000030517578" customWidth="1"/>
    <x:col min="6" max="7" width="30" customWidth="1"/>
    <x:col min="8" max="8" width="34" customWidth="1"/>
    <x:col min="9" max="10" width="18" customWidth="1"/>
    <x:col min="11" max="11" width="30" customWidth="1"/>
    <x:col min="12" max="27" width="8.710000038146973" customWidth="1"/>
  </x:cols>
  <x:sheetData>
    <x:row r="1" ht="27.75" customHeight="1">
      <x:c r="A1" s="67" t="s">
        <x:v>230</x:v>
      </x:c>
      <x:c r="B1" s="4"/>
      <x:c r="C1" s="4"/>
      <x:c r="D1" s="4"/>
      <x:c r="E1" s="4"/>
      <x:c r="F1" s="4"/>
      <x:c r="G1" s="4"/>
      <x:c r="H1" s="4"/>
      <x:c r="I1" s="5"/>
    </x:row>
    <x:row r="2" hidden="1">
      <x:c r="A2" s="22" t="s">
        <x:v>193</x:v>
      </x:c>
      <x:c r="B2" s="4"/>
      <x:c r="C2" s="4"/>
      <x:c r="D2" s="4"/>
      <x:c r="E2" s="4"/>
      <x:c r="F2" s="4"/>
      <x:c r="G2" s="4"/>
      <x:c r="H2" s="4"/>
      <x:c r="I2" s="5"/>
    </x:row>
    <x:row r="3" hidden="1">
      <x:c r="A3" s="23" t="s">
        <x:v>50</x:v>
      </x:c>
      <x:c r="B3" s="53">
        <x:v>43.0</x:v>
      </x:c>
    </x:row>
    <x:row r="4" hidden="1">
      <x:c r="A4" s="23" t="s">
        <x:v>51</x:v>
      </x:c>
      <x:c r="B4" s="7" t="s">
        <x:v>132</x:v>
      </x:c>
    </x:row>
    <x:row r="5" hidden="1">
      <x:c r="A5" s="23" t="s">
        <x:v>52</x:v>
      </x:c>
      <x:c r="B5" s="7" t="s">
        <x:v>75</x:v>
      </x:c>
    </x:row>
    <x:row r="6" hidden="1">
      <x:c r="A6" s="23" t="s">
        <x:v>194</x:v>
      </x:c>
      <x:c r="B6" s="7" t="s">
        <x:v>195</x:v>
      </x:c>
    </x:row>
    <x:row r="7" hidden="1">
      <x:c r="A7" s="23" t="s">
        <x:v>196</x:v>
      </x:c>
      <x:c r="B7" s="7" t="s">
        <x:v>197</x:v>
      </x:c>
    </x:row>
    <x:row r="8">
      <x:c r="A8" s="23" t="s">
        <x:v>53</x:v>
      </x:c>
      <x:c r="B8" s="7" t="s">
        <x:v>133</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c r="E139"/>
    </x:row>
    <x:row r="140" ht="54" customHeight="1">
      <x:c r="E140"/>
    </x:row>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6">
      <x:formula1>"Carolina,Arthur,Jeanne"</x:formula1>
    </x:dataValidation>
    <x:dataValidation type="list" allowBlank="1" showErrorMessage="1" sqref="I16:I115 D119:D123">
      <x:formula1>"Supports claim,Partially supports claim,Does not support claim"</x:formula1>
    </x:dataValidation>
    <x:dataValidation type="list" allowBlank="1" showErrorMessage="1" sqref="H16:H115">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22bd45076f024eaa"/>
</x:worksheet>
</file>

<file path=xl/worksheets/sheet34.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9.43000030517578" customWidth="1"/>
    <x:col min="6" max="7" width="30" customWidth="1"/>
    <x:col min="8" max="8" width="34" customWidth="1"/>
    <x:col min="9" max="10" width="18" customWidth="1"/>
    <x:col min="11" max="11" width="30" customWidth="1"/>
    <x:col min="12" max="27" width="8.710000038146973" customWidth="1"/>
  </x:cols>
  <x:sheetData>
    <x:row r="1" ht="27.75" customHeight="1">
      <x:c r="A1" s="67" t="s">
        <x:v>231</x:v>
      </x:c>
      <x:c r="B1" s="4"/>
      <x:c r="C1" s="4"/>
      <x:c r="D1" s="4"/>
      <x:c r="E1" s="4"/>
      <x:c r="F1" s="4"/>
      <x:c r="G1" s="4"/>
      <x:c r="H1" s="4"/>
      <x:c r="I1" s="5"/>
    </x:row>
    <x:row r="2" hidden="1">
      <x:c r="A2" s="22" t="s">
        <x:v>193</x:v>
      </x:c>
      <x:c r="B2" s="4"/>
      <x:c r="C2" s="4"/>
      <x:c r="D2" s="4"/>
      <x:c r="E2" s="4"/>
      <x:c r="F2" s="4"/>
      <x:c r="G2" s="4"/>
      <x:c r="H2" s="4"/>
      <x:c r="I2" s="5"/>
    </x:row>
    <x:row r="3" hidden="1">
      <x:c r="A3" s="23" t="s">
        <x:v>50</x:v>
      </x:c>
      <x:c r="B3" s="53">
        <x:v>44.0</x:v>
      </x:c>
    </x:row>
    <x:row r="4" hidden="1">
      <x:c r="A4" s="23" t="s">
        <x:v>51</x:v>
      </x:c>
      <x:c r="B4" s="7" t="s">
        <x:v>132</x:v>
      </x:c>
    </x:row>
    <x:row r="5" hidden="1">
      <x:c r="A5" s="23" t="s">
        <x:v>52</x:v>
      </x:c>
      <x:c r="B5" s="7" t="s">
        <x:v>75</x:v>
      </x:c>
    </x:row>
    <x:row r="6" hidden="1">
      <x:c r="A6" s="23" t="s">
        <x:v>194</x:v>
      </x:c>
      <x:c r="B6" s="7" t="s">
        <x:v>195</x:v>
      </x:c>
    </x:row>
    <x:row r="7" hidden="1">
      <x:c r="A7" s="23" t="s">
        <x:v>196</x:v>
      </x:c>
      <x:c r="B7" s="7" t="s">
        <x:v>197</x:v>
      </x:c>
    </x:row>
    <x:row r="8">
      <x:c r="A8" s="23" t="s">
        <x:v>53</x:v>
      </x:c>
      <x:c r="B8" s="7" t="s">
        <x:v>134</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x:c r="B158"/>
      <x:c r="C158"/>
      <x:c r="D158"/>
      <x:c r="E158"/>
      <x:c r="F158"/>
      <x:c r="G158"/>
      <x:c r="H158"/>
      <x:c r="I158"/>
      <x:c r="J158"/>
      <x:c r="K158" s="7"/>
    </x:row>
    <x:row r="159" ht="15.75" customHeight="1">
      <x:c r="A159"/>
      <x:c r="B159"/>
      <x:c r="C159"/>
      <x:c r="D159"/>
      <x:c r="E159"/>
      <x:c r="F159"/>
      <x:c r="G159"/>
      <x:c r="H159"/>
      <x:c r="I159"/>
      <x:c r="J159"/>
      <x:c r="K159" s="7"/>
    </x:row>
    <x:row r="160" ht="54" customHeight="1">
      <x:c r="A160"/>
      <x:c r="B160"/>
      <x:c r="C160"/>
      <x:c r="D160"/>
      <x:c r="E160"/>
      <x:c r="F160"/>
      <x:c r="G160"/>
      <x:c r="H160"/>
      <x:c r="I160"/>
      <x:c r="J160"/>
      <x:c r="K160" s="7"/>
    </x:row>
    <x:row r="161" ht="15.75" customHeight="1">
      <x:c r="A161"/>
      <x:c r="B161"/>
      <x:c r="C161"/>
      <x:c r="D161"/>
      <x:c r="E161"/>
      <x:c r="F161"/>
      <x:c r="G161"/>
      <x:c r="H161"/>
      <x:c r="I161"/>
      <x:c r="J161"/>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6">
      <x:formula1>"Carolina,Arthur,Jeanne"</x:formula1>
    </x:dataValidation>
    <x:dataValidation type="list" allowBlank="1" showErrorMessage="1" sqref="I14:I113 D117:D123">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d60e7bbbfea74654"/>
</x:worksheet>
</file>

<file path=xl/worksheets/sheet35.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2.43000030517578" customWidth="1"/>
    <x:col min="3" max="3" width="55.290000915527344" customWidth="1"/>
    <x:col min="4" max="4" width="18" customWidth="1"/>
    <x:col min="5" max="5" width="71.70999908447266" customWidth="1"/>
    <x:col min="6" max="7" width="30" customWidth="1"/>
    <x:col min="8" max="8" width="34" customWidth="1"/>
    <x:col min="9" max="9" width="18" customWidth="1"/>
    <x:col min="10" max="10" width="51.43000030517578" customWidth="1"/>
    <x:col min="11" max="11" width="30" customWidth="1"/>
    <x:col min="12" max="27" width="8.710000038146973" customWidth="1"/>
  </x:cols>
  <x:sheetData>
    <x:row r="1" ht="27.75" customHeight="1">
      <x:c r="A1" s="67" t="s">
        <x:v>232</x:v>
      </x:c>
      <x:c r="B1" s="4"/>
      <x:c r="C1" s="4"/>
      <x:c r="D1" s="4"/>
      <x:c r="E1" s="4"/>
      <x:c r="F1" s="4"/>
      <x:c r="G1" s="4"/>
      <x:c r="H1" s="4"/>
      <x:c r="I1" s="5"/>
    </x:row>
    <x:row r="2" hidden="1">
      <x:c r="A2" s="22" t="s">
        <x:v>193</x:v>
      </x:c>
      <x:c r="B2" s="4"/>
      <x:c r="C2" s="4"/>
      <x:c r="D2" s="4"/>
      <x:c r="E2" s="4"/>
      <x:c r="F2" s="4"/>
      <x:c r="G2" s="4"/>
      <x:c r="H2" s="4"/>
      <x:c r="I2" s="5"/>
    </x:row>
    <x:row r="3" hidden="1">
      <x:c r="A3" s="23" t="s">
        <x:v>50</x:v>
      </x:c>
      <x:c r="B3" s="53">
        <x:v>47.0</x:v>
      </x:c>
    </x:row>
    <x:row r="4" hidden="1">
      <x:c r="A4" s="23" t="s">
        <x:v>51</x:v>
      </x:c>
      <x:c r="B4" s="7" t="s">
        <x:v>90</x:v>
      </x:c>
    </x:row>
    <x:row r="5" hidden="1">
      <x:c r="A5" s="23" t="s">
        <x:v>52</x:v>
      </x:c>
      <x:c r="B5" s="7" t="s">
        <x:v>75</x:v>
      </x:c>
    </x:row>
    <x:row r="6" hidden="1">
      <x:c r="A6" s="23" t="s">
        <x:v>194</x:v>
      </x:c>
      <x:c r="B6" s="7" t="s">
        <x:v>195</x:v>
      </x:c>
    </x:row>
    <x:row r="7" hidden="1">
      <x:c r="A7" s="23" t="s">
        <x:v>196</x:v>
      </x:c>
      <x:c r="B7" s="7" t="s">
        <x:v>197</x:v>
      </x:c>
    </x:row>
    <x:row r="8">
      <x:c r="A8" s="23" t="s">
        <x:v>53</x:v>
      </x:c>
      <x:c r="B8" s="7" t="s">
        <x:v>137</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c r="K126" s="86"/>
    </x:row>
    <x:row r="127">
      <x:c r="A127" s="96"/>
      <x:c r="B127" s="96"/>
      <x:c r="C127" s="96"/>
      <x:c r="D127" s="96"/>
      <x:c r="E127" s="96"/>
      <x:c r="F127" s="96"/>
      <x:c r="G127" s="96"/>
      <x:c r="H127" s="97"/>
      <x:c r="I127" s="97"/>
      <x:c r="J127" s="97"/>
      <x:c r="K127" s="86"/>
    </x:row>
    <x:row r="128">
      <x:c r="A128" s="96"/>
      <x:c r="B128" s="96"/>
      <x:c r="C128" s="96"/>
      <x:c r="D128" s="96"/>
      <x:c r="E128" s="96"/>
      <x:c r="F128" s="96"/>
      <x:c r="G128" s="96"/>
      <x:c r="H128" s="97"/>
      <x:c r="I128" s="97"/>
      <x:c r="J128" s="97"/>
      <x:c r="K128" s="86"/>
    </x:row>
    <x:row r="129">
      <x:c r="A129" s="96"/>
      <x:c r="B129" s="96"/>
      <x:c r="C129" s="96"/>
      <x:c r="D129" s="96"/>
      <x:c r="E129" s="96"/>
      <x:c r="F129" s="96"/>
      <x:c r="G129" s="96"/>
      <x:c r="H129" s="97"/>
      <x:c r="I129" s="97"/>
      <x:c r="J129" s="97"/>
      <x:c r="K129" s="86"/>
    </x:row>
    <x:row r="130">
      <x:c r="A130" s="96"/>
      <x:c r="B130" s="96"/>
      <x:c r="C130" s="96"/>
      <x:c r="D130" s="96"/>
      <x:c r="E130" s="96"/>
      <x:c r="F130" s="96"/>
      <x:c r="G130" s="96"/>
      <x:c r="H130" s="97"/>
      <x:c r="I130" s="97"/>
      <x:c r="J130" s="97"/>
      <x:c r="K130" s="86"/>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15.75" customHeight="1"/>
    <x:row r="151" ht="15.75" customHeight="1"/>
    <x:row r="152" ht="15.75" customHeight="1"/>
    <x:row r="153" ht="54" customHeight="1"/>
    <x:row r="154" ht="15.75" customHeight="1"/>
    <x:row r="155" ht="15.75" customHeight="1"/>
    <x:row r="156" ht="15.75" customHeight="1"/>
    <x:row r="157" ht="15.75" customHeight="1"/>
    <x:row r="158" ht="15.75" customHeight="1"/>
    <x:row r="159" ht="15.75" customHeight="1">
      <x:c r="A159"/>
      <x:c r="B159"/>
      <x:c r="C159"/>
      <x:c r="D159"/>
      <x:c r="E159"/>
      <x:c r="F159"/>
      <x:c r="G159"/>
      <x:c r="H159"/>
      <x:c r="I159"/>
      <x:c r="J159"/>
      <x:c r="K159" s="7"/>
    </x:row>
    <x:row r="160" ht="15.75" customHeight="1">
      <x:c r="A160"/>
      <x:c r="B160"/>
      <x:c r="C160"/>
      <x:c r="D160"/>
      <x:c r="E160"/>
      <x:c r="F160"/>
      <x:c r="G160"/>
      <x:c r="H160"/>
      <x:c r="I160"/>
      <x:c r="J160"/>
      <x:c r="K160" s="7"/>
    </x:row>
    <x:row r="161" ht="54" customHeight="1">
      <x:c r="A161"/>
      <x:c r="B161"/>
      <x:c r="C161"/>
      <x:c r="D161"/>
      <x:c r="E161"/>
      <x:c r="F161"/>
      <x:c r="G161"/>
      <x:c r="H161"/>
      <x:c r="I161"/>
      <x:c r="J161"/>
      <x:c r="K161" s="7"/>
    </x:row>
    <x:row r="162" ht="15.75" customHeight="1">
      <x:c r="A162"/>
      <x:c r="B162"/>
      <x:c r="C162"/>
      <x:c r="D162"/>
      <x:c r="E162"/>
      <x:c r="F162"/>
      <x:c r="G162"/>
      <x:c r="H162"/>
      <x:c r="I162"/>
      <x:c r="J162"/>
      <x:c r="K162" s="7"/>
    </x:row>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7">
      <x:formula1>"Carolina,Arthur,Jeanne"</x:formula1>
    </x:dataValidation>
    <x:dataValidation type="list" allowBlank="1" showErrorMessage="1" sqref="I14:I113 D117:D124">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0">
      <x:formula1>"Review completed,Review is required"</x:formula1>
    </x:dataValidation>
    <x:dataValidation type="list" allowBlank="1" showErrorMessage="1" sqref="B128">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fad512a6122e418e"/>
</x:worksheet>
</file>

<file path=xl/worksheets/sheet36.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51.56999969482422" customWidth="1"/>
    <x:col min="3" max="3" width="38.290000915527344" customWidth="1"/>
    <x:col min="4" max="4" width="18" customWidth="1"/>
    <x:col min="5" max="5" width="60.56999969482422" customWidth="1"/>
    <x:col min="6" max="7" width="30" customWidth="1"/>
    <x:col min="8" max="8" width="34" customWidth="1"/>
    <x:col min="9" max="9" width="18" customWidth="1"/>
    <x:col min="10" max="10" width="40" customWidth="1"/>
    <x:col min="11" max="11" width="30" customWidth="1"/>
    <x:col min="12" max="27" width="8.710000038146973" customWidth="1"/>
  </x:cols>
  <x:sheetData>
    <x:row r="1" ht="27.75" customHeight="1">
      <x:c r="A1" s="67" t="s">
        <x:v>233</x:v>
      </x:c>
      <x:c r="B1" s="4"/>
      <x:c r="C1" s="4"/>
      <x:c r="D1" s="4"/>
      <x:c r="E1" s="4"/>
      <x:c r="F1" s="4"/>
      <x:c r="G1" s="4"/>
      <x:c r="H1" s="4"/>
      <x:c r="I1" s="5"/>
    </x:row>
    <x:row r="2" hidden="1">
      <x:c r="A2" s="22" t="s">
        <x:v>193</x:v>
      </x:c>
      <x:c r="B2" s="4"/>
      <x:c r="C2" s="4"/>
      <x:c r="D2" s="4"/>
      <x:c r="E2" s="4"/>
      <x:c r="F2" s="4"/>
      <x:c r="G2" s="4"/>
      <x:c r="H2" s="4"/>
      <x:c r="I2" s="5"/>
    </x:row>
    <x:row r="3" hidden="1">
      <x:c r="A3" s="23" t="s">
        <x:v>50</x:v>
      </x:c>
      <x:c r="B3" s="53">
        <x:v>50.0</x:v>
      </x:c>
    </x:row>
    <x:row r="4" hidden="1">
      <x:c r="A4" s="23" t="s">
        <x:v>51</x:v>
      </x:c>
      <x:c r="B4" s="7" t="s">
        <x:v>139</x:v>
      </x:c>
    </x:row>
    <x:row r="5" hidden="1">
      <x:c r="A5" s="23" t="s">
        <x:v>52</x:v>
      </x:c>
      <x:c r="B5" s="7" t="s">
        <x:v>75</x:v>
      </x:c>
    </x:row>
    <x:row r="6" hidden="1">
      <x:c r="A6" s="23" t="s">
        <x:v>194</x:v>
      </x:c>
      <x:c r="B6" s="7" t="s">
        <x:v>195</x:v>
      </x:c>
    </x:row>
    <x:row r="7" hidden="1">
      <x:c r="A7" s="23" t="s">
        <x:v>196</x:v>
      </x:c>
      <x:c r="B7" s="7" t="s">
        <x:v>197</x:v>
      </x:c>
    </x:row>
    <x:row r="8">
      <x:c r="A8" s="23" t="s">
        <x:v>53</x:v>
      </x:c>
      <x:c r="B8" s="7" t="s">
        <x:v>141</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ht="54" customHeight="1">
      <x:c r="A127" s="96"/>
      <x:c r="B127" s="96"/>
      <x:c r="C127" s="96"/>
      <x:c r="D127" s="96"/>
      <x:c r="E127" s="96"/>
      <x:c r="F127" s="96"/>
      <x:c r="G127" s="96"/>
      <x:c r="H127" s="97"/>
      <x:c r="I127" s="97"/>
      <x:c r="J127" s="97"/>
    </x:row>
    <x:row r="128" ht="54" customHeight="1">
      <x:c r="A128" s="96"/>
      <x:c r="B128" s="96"/>
      <x:c r="C128" s="96"/>
      <x:c r="D128" s="96"/>
      <x:c r="E128" s="96"/>
      <x:c r="F128" s="96"/>
      <x:c r="G128" s="96"/>
      <x:c r="H128" s="97"/>
      <x:c r="I128" s="97"/>
      <x:c r="J128" s="97"/>
    </x:row>
    <x:row r="129" ht="54" customHeight="1">
      <x:c r="A129" s="96"/>
      <x:c r="B129" s="96"/>
      <x:c r="C129" s="96"/>
      <x:c r="D129" s="96"/>
      <x:c r="E129" s="96"/>
      <x:c r="F129" s="96"/>
      <x:c r="G129" s="96"/>
      <x:c r="H129" s="97"/>
      <x:c r="I129" s="97"/>
      <x:c r="J129" s="97"/>
    </x:row>
    <x:row r="130" ht="54" customHeight="1">
      <x:c r="A130" s="96"/>
      <x:c r="B130" s="96"/>
      <x:c r="C130" s="96"/>
      <x:c r="D130" s="96"/>
      <x:c r="E130" s="96"/>
      <x:c r="F130" s="96"/>
      <x:c r="G130" s="96"/>
      <x:c r="H130" s="97"/>
      <x:c r="I130" s="97"/>
      <x:c r="J130" s="97"/>
    </x:row>
    <x:row r="131" ht="54" customHeight="1">
      <x:c r="A131" s="96"/>
      <x:c r="B131" s="96"/>
      <x:c r="C131" s="96"/>
      <x:c r="D131" s="96"/>
      <x:c r="E131" s="96"/>
      <x:c r="F131" s="96"/>
      <x:c r="G131" s="96"/>
      <x:c r="H131" s="97"/>
      <x:c r="I131" s="97"/>
      <x:c r="J131" s="97"/>
    </x:row>
    <x:row r="132" ht="54" customHeight="1">
      <x:c r="A132" s="96"/>
      <x:c r="B132" s="96"/>
      <x:c r="C132" s="96"/>
      <x:c r="D132" s="96"/>
      <x:c r="E132" s="96"/>
      <x:c r="F132" s="96"/>
      <x:c r="G132" s="96"/>
      <x:c r="H132" s="97"/>
      <x:c r="I132" s="97"/>
      <x:c r="J132" s="97"/>
    </x:row>
    <x:row r="133" ht="54" customHeight="1">
      <x:c r="A133" s="96"/>
      <x:c r="B133" s="96"/>
      <x:c r="C133" s="96"/>
      <x:c r="D133" s="96"/>
      <x:c r="E133" s="96"/>
      <x:c r="F133" s="96"/>
      <x:c r="G133" s="96"/>
      <x:c r="H133" s="97"/>
      <x:c r="I133" s="97"/>
      <x:c r="J133" s="97"/>
    </x:row>
    <x:row r="134" ht="54" customHeight="1">
      <x:c r="A134" s="96"/>
      <x:c r="B134" s="96"/>
      <x:c r="C134" s="96"/>
      <x:c r="D134" s="96"/>
      <x:c r="E134" s="96"/>
      <x:c r="F134" s="96"/>
      <x:c r="G134" s="96"/>
      <x:c r="H134" s="97"/>
      <x:c r="I134" s="97"/>
      <x:c r="J134" s="97"/>
    </x:row>
    <x:row r="135" ht="54" customHeight="1">
      <x:c r="A135" s="96"/>
      <x:c r="B135" s="96"/>
      <x:c r="C135" s="96"/>
      <x:c r="D135" s="96"/>
      <x:c r="E135" s="96"/>
      <x:c r="F135" s="96"/>
      <x:c r="G135" s="96"/>
      <x:c r="H135" s="97"/>
      <x:c r="I135" s="97"/>
      <x:c r="J135" s="97"/>
    </x:row>
    <x:row r="136" ht="54" customHeight="1">
      <x:c r="A136" s="96"/>
      <x:c r="B136" s="96"/>
      <x:c r="C136" s="96"/>
      <x:c r="D136" s="96"/>
      <x:c r="E136" s="96"/>
      <x:c r="F136" s="96"/>
      <x:c r="G136" s="96"/>
      <x:c r="H136" s="97"/>
      <x:c r="I136" s="97"/>
      <x:c r="J136" s="97"/>
    </x:row>
    <x:row r="137" ht="54" customHeight="1">
      <x:c r="A137" s="96"/>
      <x:c r="B137" s="96"/>
      <x:c r="C137" s="96"/>
      <x:c r="D137" s="96"/>
      <x:c r="E137" s="96"/>
      <x:c r="F137" s="96"/>
      <x:c r="G137" s="96"/>
      <x:c r="H137" s="97"/>
      <x:c r="I137" s="97"/>
      <x:c r="J137" s="97"/>
    </x:row>
    <x:row r="138" ht="54" customHeight="1">
      <x:c r="A138" s="96"/>
      <x:c r="B138" s="96"/>
      <x:c r="C138" s="96"/>
      <x:c r="D138" s="96"/>
      <x:c r="E138" s="96"/>
      <x:c r="F138" s="96"/>
      <x:c r="G138" s="96"/>
      <x:c r="H138" s="97"/>
      <x:c r="I138" s="97"/>
      <x:c r="J138" s="97"/>
    </x:row>
    <x:row r="139" ht="54" customHeight="1"/>
    <x:row r="140" ht="54" customHeight="1"/>
    <x:row r="141" ht="54" customHeight="1">
      <x:c r="A141" s="93" t="str">
        <x:v>Final expert verdict</x:v>
      </x:c>
      <x:c r="B141" s="93" t="str">
        <x:v>Final expert verdict</x:v>
      </x:c>
    </x:row>
    <x:row r="142" ht="54" customHeight="1">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15.75" customHeight="1"/>
    <x:row r="147" ht="15.75" customHeight="1"/>
    <x:row r="148" ht="15.75" customHeight="1"/>
    <x:row r="149" ht="54" customHeight="1"/>
    <x:row r="150" ht="15.75" customHeight="1"/>
    <x:row r="151" ht="15.75" customHeight="1"/>
    <x:row r="152" ht="15.75" customHeight="1"/>
    <x:row r="153" ht="15.75" customHeight="1"/>
    <x:row r="154" ht="15.75" customHeight="1"/>
    <x:row r="155" ht="15.75" customHeight="1">
      <x:c r="A155"/>
      <x:c r="B155"/>
      <x:c r="C155"/>
      <x:c r="D155"/>
      <x:c r="E155"/>
      <x:c r="F155"/>
      <x:c r="G155"/>
      <x:c r="H155"/>
      <x:c r="I155"/>
      <x:c r="J155"/>
      <x:c r="K155" s="7"/>
    </x:row>
    <x:row r="156" ht="15.75" customHeight="1">
      <x:c r="A156"/>
      <x:c r="B156"/>
      <x:c r="C156"/>
      <x:c r="D156"/>
      <x:c r="E156"/>
      <x:c r="F156"/>
      <x:c r="G156"/>
      <x:c r="H156"/>
      <x:c r="I156"/>
      <x:c r="J156"/>
      <x:c r="K156" s="7"/>
    </x:row>
    <x:row r="157" ht="54" customHeight="1">
      <x:c r="A157"/>
      <x:c r="B157"/>
      <x:c r="C157"/>
      <x:c r="D157"/>
      <x:c r="E157"/>
      <x:c r="F157"/>
      <x:c r="G157"/>
      <x:c r="H157"/>
      <x:c r="I157"/>
      <x:c r="J157"/>
      <x:c r="K157" s="7"/>
    </x:row>
    <x:row r="158" ht="15.75" customHeight="1">
      <x:c r="A158"/>
      <x:c r="B158"/>
      <x:c r="C158"/>
      <x:c r="D158"/>
      <x:c r="E158"/>
      <x:c r="F158"/>
      <x:c r="G158"/>
      <x:c r="H158"/>
      <x:c r="I158"/>
      <x:c r="J158"/>
      <x:c r="K158" s="7"/>
    </x:row>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23">
      <x:formula1>"Carolina,Arthur,Jeanne"</x:formula1>
    </x:dataValidation>
    <x:dataValidation type="list" allowBlank="1" showErrorMessage="1" sqref="I14:I113 D117:D120">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6">
      <x:formula1>"Review completed,Review is required"</x:formula1>
    </x:dataValidation>
    <x:dataValidation type="list" allowBlank="1" showErrorMessage="1" sqref="B124">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a1348d74e6734a4f"/>
</x:worksheet>
</file>

<file path=xl/worksheets/sheet37.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21" t="s">
        <x:v>234</x:v>
      </x:c>
      <x:c r="B1" s="4"/>
      <x:c r="C1" s="4"/>
      <x:c r="D1" s="4"/>
      <x:c r="E1" s="4"/>
      <x:c r="F1" s="4"/>
      <x:c r="G1" s="4"/>
      <x:c r="H1" s="4"/>
      <x:c r="I1" s="5"/>
    </x:row>
    <x:row r="2" hidden="1">
      <x:c r="A2" s="22" t="s">
        <x:v>193</x:v>
      </x:c>
      <x:c r="B2" s="4"/>
      <x:c r="C2" s="4"/>
      <x:c r="D2" s="4"/>
      <x:c r="E2" s="4"/>
      <x:c r="F2" s="4"/>
      <x:c r="G2" s="4"/>
      <x:c r="H2" s="4"/>
      <x:c r="I2" s="5"/>
    </x:row>
    <x:row r="3" hidden="1">
      <x:c r="A3" s="23" t="s">
        <x:v>50</x:v>
      </x:c>
      <x:c r="B3" s="24">
        <x:v>12.0</x:v>
      </x:c>
    </x:row>
    <x:row r="4" hidden="1">
      <x:c r="A4" s="23" t="s">
        <x:v>51</x:v>
      </x:c>
      <x:c r="B4" s="7" t="s">
        <x:v>87</x:v>
      </x:c>
    </x:row>
    <x:row r="5" hidden="1">
      <x:c r="A5" s="23" t="s">
        <x:v>52</x:v>
      </x:c>
      <x:c r="B5" s="7" t="s">
        <x:v>88</x:v>
      </x:c>
    </x:row>
    <x:row r="6" hidden="1">
      <x:c r="A6" s="23" t="s">
        <x:v>194</x:v>
      </x:c>
      <x:c r="B6" s="7" t="s">
        <x:v>195</x:v>
      </x:c>
    </x:row>
    <x:row r="7" hidden="1">
      <x:c r="A7" s="23" t="s">
        <x:v>196</x:v>
      </x:c>
      <x:c r="B7" s="7" t="s">
        <x:v>197</x:v>
      </x:c>
    </x:row>
    <x:row r="8">
      <x:c r="A8" s="23" t="s">
        <x:v>53</x:v>
      </x:c>
      <x:c r="B8" s="7" t="s">
        <x:v>89</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f0ec0bb16196467c"/>
</x:worksheet>
</file>

<file path=xl/worksheets/sheet38.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21" t="s">
        <x:v>235</x:v>
      </x:c>
      <x:c r="B1" s="4"/>
      <x:c r="C1" s="4"/>
      <x:c r="D1" s="4"/>
      <x:c r="E1" s="4"/>
      <x:c r="F1" s="4"/>
      <x:c r="G1" s="4"/>
      <x:c r="H1" s="4"/>
      <x:c r="I1" s="5"/>
    </x:row>
    <x:row r="2" hidden="1">
      <x:c r="A2" s="22" t="s">
        <x:v>193</x:v>
      </x:c>
      <x:c r="B2" s="4"/>
      <x:c r="C2" s="4"/>
      <x:c r="D2" s="4"/>
      <x:c r="E2" s="4"/>
      <x:c r="F2" s="4"/>
      <x:c r="G2" s="4"/>
      <x:c r="H2" s="4"/>
      <x:c r="I2" s="5"/>
    </x:row>
    <x:row r="3" hidden="1">
      <x:c r="A3" s="23" t="s">
        <x:v>50</x:v>
      </x:c>
      <x:c r="B3" s="24">
        <x:v>13.0</x:v>
      </x:c>
    </x:row>
    <x:row r="4" hidden="1">
      <x:c r="A4" s="23" t="s">
        <x:v>51</x:v>
      </x:c>
      <x:c r="B4" s="7" t="s">
        <x:v>90</x:v>
      </x:c>
    </x:row>
    <x:row r="5" hidden="1">
      <x:c r="A5" s="23" t="s">
        <x:v>52</x:v>
      </x:c>
      <x:c r="B5" s="7" t="s">
        <x:v>88</x:v>
      </x:c>
    </x:row>
    <x:row r="6" hidden="1">
      <x:c r="A6" s="23" t="s">
        <x:v>194</x:v>
      </x:c>
      <x:c r="B6" s="7" t="s">
        <x:v>195</x:v>
      </x:c>
    </x:row>
    <x:row r="7" hidden="1">
      <x:c r="A7" s="23" t="s">
        <x:v>196</x:v>
      </x:c>
      <x:c r="B7" s="7" t="s">
        <x:v>197</x:v>
      </x:c>
    </x:row>
    <x:row r="8">
      <x:c r="A8" s="23" t="s">
        <x:v>53</x:v>
      </x:c>
      <x:c r="B8" s="7" t="s">
        <x:v>91</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bb2385cf867c4f84"/>
</x:worksheet>
</file>

<file path=xl/worksheets/sheet39.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21" t="s">
        <x:v>236</x:v>
      </x:c>
      <x:c r="B1" s="4"/>
      <x:c r="C1" s="4"/>
      <x:c r="D1" s="4"/>
      <x:c r="E1" s="4"/>
      <x:c r="F1" s="4"/>
      <x:c r="G1" s="4"/>
      <x:c r="H1" s="4"/>
      <x:c r="I1" s="5"/>
    </x:row>
    <x:row r="2" hidden="1">
      <x:c r="A2" s="22" t="s">
        <x:v>193</x:v>
      </x:c>
      <x:c r="B2" s="4"/>
      <x:c r="C2" s="4"/>
      <x:c r="D2" s="4"/>
      <x:c r="E2" s="4"/>
      <x:c r="F2" s="4"/>
      <x:c r="G2" s="4"/>
      <x:c r="H2" s="4"/>
      <x:c r="I2" s="5"/>
    </x:row>
    <x:row r="3" hidden="1">
      <x:c r="A3" s="23" t="s">
        <x:v>50</x:v>
      </x:c>
      <x:c r="B3" s="24">
        <x:v>14.0</x:v>
      </x:c>
    </x:row>
    <x:row r="4" hidden="1">
      <x:c r="A4" s="23" t="s">
        <x:v>51</x:v>
      </x:c>
      <x:c r="B4" s="7" t="s">
        <x:v>92</x:v>
      </x:c>
    </x:row>
    <x:row r="5" hidden="1">
      <x:c r="A5" s="23" t="s">
        <x:v>52</x:v>
      </x:c>
      <x:c r="B5" s="7" t="s">
        <x:v>88</x:v>
      </x:c>
    </x:row>
    <x:row r="6" hidden="1">
      <x:c r="A6" s="23" t="s">
        <x:v>194</x:v>
      </x:c>
      <x:c r="B6" s="7" t="s">
        <x:v>195</x:v>
      </x:c>
    </x:row>
    <x:row r="7" hidden="1">
      <x:c r="A7" s="23" t="s">
        <x:v>196</x:v>
      </x:c>
      <x:c r="B7" s="7" t="s">
        <x:v>197</x:v>
      </x:c>
    </x:row>
    <x:row r="8">
      <x:c r="A8" s="23" t="s">
        <x:v>53</x:v>
      </x:c>
      <x:c r="B8" s="7" t="s">
        <x:v>93</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4040fba9b2c14250"/>
</x:worksheet>
</file>

<file path=xl/worksheets/sheet40.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21" t="s">
        <x:v>237</x:v>
      </x:c>
      <x:c r="B1" s="4"/>
      <x:c r="C1" s="4"/>
      <x:c r="D1" s="4"/>
      <x:c r="E1" s="4"/>
      <x:c r="F1" s="4"/>
      <x:c r="G1" s="4"/>
      <x:c r="H1" s="4"/>
      <x:c r="I1" s="5"/>
    </x:row>
    <x:row r="2" hidden="1">
      <x:c r="A2" s="22" t="s">
        <x:v>193</x:v>
      </x:c>
      <x:c r="B2" s="4"/>
      <x:c r="C2" s="4"/>
      <x:c r="D2" s="4"/>
      <x:c r="E2" s="4"/>
      <x:c r="F2" s="4"/>
      <x:c r="G2" s="4"/>
      <x:c r="H2" s="4"/>
      <x:c r="I2" s="5"/>
    </x:row>
    <x:row r="3" hidden="1">
      <x:c r="A3" s="23" t="s">
        <x:v>50</x:v>
      </x:c>
      <x:c r="B3" s="24">
        <x:v>18.0</x:v>
      </x:c>
    </x:row>
    <x:row r="4" hidden="1">
      <x:c r="A4" s="23" t="s">
        <x:v>51</x:v>
      </x:c>
      <x:c r="B4" s="7" t="s">
        <x:v>87</x:v>
      </x:c>
    </x:row>
    <x:row r="5" hidden="1">
      <x:c r="A5" s="23" t="s">
        <x:v>52</x:v>
      </x:c>
      <x:c r="B5" s="7" t="s">
        <x:v>97</x:v>
      </x:c>
    </x:row>
    <x:row r="6" hidden="1">
      <x:c r="A6" s="23" t="s">
        <x:v>194</x:v>
      </x:c>
      <x:c r="B6" s="7" t="s">
        <x:v>223</x:v>
      </x:c>
    </x:row>
    <x:row r="7" hidden="1">
      <x:c r="A7" s="23" t="s">
        <x:v>196</x:v>
      </x:c>
      <x:c r="B7" s="7" t="s">
        <x:v>197</x:v>
      </x:c>
    </x:row>
    <x:row r="8">
      <x:c r="A8" s="23" t="s">
        <x:v>53</x:v>
      </x:c>
      <x:c r="B8" s="7" t="s">
        <x:v>98</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65b015484b7a4504"/>
</x:worksheet>
</file>

<file path=xl/worksheets/sheet41.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27.139999389648438" customWidth="1"/>
    <x:col min="6" max="7" width="30" customWidth="1"/>
    <x:col min="8" max="8" width="30.43000030517578" customWidth="1"/>
    <x:col min="9" max="9" width="21.56999969482422" customWidth="1"/>
    <x:col min="10" max="25" width="8.710000038146973" customWidth="1"/>
  </x:cols>
  <x:sheetData>
    <x:row r="1" ht="27.75" customHeight="1">
      <x:c r="A1" s="21" t="s">
        <x:v>238</x:v>
      </x:c>
      <x:c r="B1" s="4"/>
      <x:c r="C1" s="4"/>
      <x:c r="D1" s="4"/>
      <x:c r="E1" s="4"/>
      <x:c r="F1" s="4"/>
      <x:c r="G1" s="4"/>
      <x:c r="H1" s="4"/>
      <x:c r="I1" s="5"/>
    </x:row>
    <x:row r="2" hidden="1">
      <x:c r="A2" s="22" t="s">
        <x:v>193</x:v>
      </x:c>
      <x:c r="B2" s="4"/>
      <x:c r="C2" s="4"/>
      <x:c r="D2" s="4"/>
      <x:c r="E2" s="4"/>
      <x:c r="F2" s="4"/>
      <x:c r="G2" s="4"/>
      <x:c r="H2" s="4"/>
      <x:c r="I2" s="5"/>
    </x:row>
    <x:row r="3" hidden="1">
      <x:c r="A3" s="23" t="s">
        <x:v>50</x:v>
      </x:c>
      <x:c r="B3" s="53">
        <x:v>19.0</x:v>
      </x:c>
    </x:row>
    <x:row r="4" hidden="1">
      <x:c r="A4" s="23" t="s">
        <x:v>51</x:v>
      </x:c>
      <x:c r="B4" s="79" t="s">
        <x:v>90</x:v>
      </x:c>
    </x:row>
    <x:row r="5" hidden="1">
      <x:c r="A5" s="23" t="s">
        <x:v>52</x:v>
      </x:c>
      <x:c r="B5" s="79" t="s">
        <x:v>97</x:v>
      </x:c>
    </x:row>
    <x:row r="6" hidden="1">
      <x:c r="A6" s="23" t="s">
        <x:v>194</x:v>
      </x:c>
      <x:c r="B6" s="79" t="s">
        <x:v>223</x:v>
      </x:c>
    </x:row>
    <x:row r="7" hidden="1">
      <x:c r="A7" s="23" t="s">
        <x:v>196</x:v>
      </x:c>
      <x:c r="B7" s="79" t="s">
        <x:v>197</x:v>
      </x:c>
    </x:row>
    <x:row r="8">
      <x:c r="A8" s="23" t="s">
        <x:v>53</x:v>
      </x:c>
      <x:c r="B8" s="54" t="s">
        <x:v>239</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ht="15.75" customHeight="1">
      <x:c r="A114" s="96"/>
      <x:c r="B114" s="96"/>
      <x:c r="C114" s="96"/>
      <x:c r="D114" s="96"/>
      <x:c r="E114" s="96"/>
      <x:c r="F114" s="96"/>
      <x:c r="G114" s="96"/>
      <x:c r="H114" s="97"/>
      <x:c r="I114" s="97"/>
      <x:c r="J114" s="97"/>
    </x:row>
    <x:row r="115" ht="15.75" customHeight="1">
      <x:c r="A115" s="96"/>
      <x:c r="B115" s="96"/>
      <x:c r="C115" s="96"/>
      <x:c r="D115" s="96"/>
      <x:c r="E115" s="96"/>
      <x:c r="F115" s="96"/>
      <x:c r="G115" s="96"/>
      <x:c r="H115" s="97"/>
      <x:c r="I115" s="97"/>
      <x:c r="J115" s="97"/>
    </x:row>
    <x:row r="116" ht="15.75" customHeight="1">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ht="15.75" customHeight="1">
      <x:c r="A137" s="96"/>
      <x:c r="B137" s="96"/>
      <x:c r="C137" s="96"/>
      <x:c r="D137" s="96"/>
      <x:c r="E137" s="96"/>
      <x:c r="F137" s="96"/>
      <x:c r="G137" s="96"/>
      <x:c r="H137" s="97"/>
      <x:c r="I137" s="97"/>
      <x:c r="J137" s="97"/>
    </x:row>
    <x:row r="138" ht="15.75" customHeight="1">
      <x:c r="A138" s="96"/>
      <x:c r="B138" s="96"/>
      <x:c r="C138" s="96"/>
      <x:c r="D138" s="96"/>
      <x:c r="E138" s="96"/>
      <x:c r="F138" s="96"/>
      <x:c r="G138" s="96"/>
      <x:c r="H138" s="97"/>
      <x:c r="I138" s="97"/>
      <x:c r="J138" s="97"/>
    </x:row>
    <x:row r="139" ht="15.75" customHeight="1">
      <x:c r="A139"/>
      <x:c r="B139"/>
    </x:row>
    <x:row r="140" ht="15.75" customHeight="1">
      <x:c r="A140"/>
      <x:c r="B140"/>
    </x:row>
    <x:row r="141">
      <x:c r="A141" s="93" t="str">
        <x:v>Final expert verdict</x:v>
      </x:c>
      <x:c r="B141" s="93" t="str">
        <x:v>Final expert verdict</x:v>
      </x:c>
    </x:row>
    <x:row r="142" ht="15.75" customHeight="1">
      <x:c r="A142" s="96" t="str">
        <x:v>Reviewer</x:v>
      </x:c>
      <x:c r="B142" s="97" t="str"/>
    </x:row>
    <x:row r="143" ht="15.75" customHeight="1">
      <x:c r="A143" s="96" t="str">
        <x:v>Is the answer acceptable?</x:v>
      </x:c>
      <x:c r="B143" s="97" t="str"/>
    </x:row>
    <x:row r="144" ht="42" customHeight="1">
      <x:c r="A144" s="96" t="str">
        <x:v>Overall comment / required fixes</x:v>
      </x:c>
      <x:c r="B144" s="97" t="str"/>
    </x:row>
    <x:row r="145" ht="15.75" customHeight="1">
      <x:c r="A145" s="96" t="str">
        <x:v>Review completed?</x:v>
      </x:c>
      <x:c r="B145" s="97" t="str"/>
    </x:row>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c7e60f0393724e17"/>
</x:worksheet>
</file>

<file path=xl/worksheets/sheet42.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27.139999389648438" customWidth="1"/>
    <x:col min="6" max="7" width="30" customWidth="1"/>
    <x:col min="8" max="8" width="30.43000030517578" customWidth="1"/>
    <x:col min="9" max="9" width="21.56999969482422" customWidth="1"/>
    <x:col min="10" max="25" width="8.710000038146973" customWidth="1"/>
  </x:cols>
  <x:sheetData>
    <x:row r="1" ht="27.75" customHeight="1">
      <x:c r="A1" s="21" t="s">
        <x:v>240</x:v>
      </x:c>
      <x:c r="B1" s="4"/>
      <x:c r="C1" s="4"/>
      <x:c r="D1" s="4"/>
      <x:c r="E1" s="4"/>
      <x:c r="F1" s="4"/>
      <x:c r="G1" s="4"/>
      <x:c r="H1" s="4"/>
      <x:c r="I1" s="5"/>
    </x:row>
    <x:row r="2" hidden="1">
      <x:c r="A2" s="22" t="s">
        <x:v>193</x:v>
      </x:c>
      <x:c r="B2" s="4"/>
      <x:c r="C2" s="4"/>
      <x:c r="D2" s="4"/>
      <x:c r="E2" s="4"/>
      <x:c r="F2" s="4"/>
      <x:c r="G2" s="4"/>
      <x:c r="H2" s="4"/>
      <x:c r="I2" s="5"/>
    </x:row>
    <x:row r="3" hidden="1">
      <x:c r="A3" s="23" t="s">
        <x:v>50</x:v>
      </x:c>
      <x:c r="B3" s="53">
        <x:v>20.0</x:v>
      </x:c>
    </x:row>
    <x:row r="4" hidden="1">
      <x:c r="A4" s="23" t="s">
        <x:v>51</x:v>
      </x:c>
      <x:c r="B4" s="79" t="s">
        <x:v>92</x:v>
      </x:c>
    </x:row>
    <x:row r="5" hidden="1">
      <x:c r="A5" s="23" t="s">
        <x:v>52</x:v>
      </x:c>
      <x:c r="B5" s="79" t="s">
        <x:v>97</x:v>
      </x:c>
    </x:row>
    <x:row r="6" hidden="1">
      <x:c r="A6" s="23" t="s">
        <x:v>194</x:v>
      </x:c>
      <x:c r="B6" s="79" t="s">
        <x:v>223</x:v>
      </x:c>
    </x:row>
    <x:row r="7" hidden="1">
      <x:c r="A7" s="23" t="s">
        <x:v>196</x:v>
      </x:c>
      <x:c r="B7" s="79" t="s">
        <x:v>197</x:v>
      </x:c>
    </x:row>
    <x:row r="8">
      <x:c r="A8" s="23" t="s">
        <x:v>53</x:v>
      </x:c>
      <x:c r="B8" s="54" t="s">
        <x:v>241</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ht="15.75" customHeight="1">
      <x:c r="A114" s="96"/>
      <x:c r="B114" s="96"/>
      <x:c r="C114" s="96"/>
      <x:c r="D114" s="96"/>
      <x:c r="E114" s="96"/>
      <x:c r="F114" s="96"/>
      <x:c r="G114" s="96"/>
      <x:c r="H114" s="97"/>
      <x:c r="I114" s="97"/>
      <x:c r="J114" s="97"/>
    </x:row>
    <x:row r="115" ht="15.75" customHeight="1">
      <x:c r="A115" s="96"/>
      <x:c r="B115" s="96"/>
      <x:c r="C115" s="96"/>
      <x:c r="D115" s="96"/>
      <x:c r="E115" s="96"/>
      <x:c r="F115" s="96"/>
      <x:c r="G115" s="96"/>
      <x:c r="H115" s="97"/>
      <x:c r="I115" s="97"/>
      <x:c r="J115" s="97"/>
    </x:row>
    <x:row r="116" ht="15.75" customHeight="1">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ht="15.75" customHeight="1">
      <x:c r="A137" s="96"/>
      <x:c r="B137" s="96"/>
      <x:c r="C137" s="96"/>
      <x:c r="D137" s="96"/>
      <x:c r="E137" s="96"/>
      <x:c r="F137" s="96"/>
      <x:c r="G137" s="96"/>
      <x:c r="H137" s="97"/>
      <x:c r="I137" s="97"/>
      <x:c r="J137" s="97"/>
    </x:row>
    <x:row r="138" ht="15.75" customHeight="1">
      <x:c r="A138" s="96"/>
      <x:c r="B138" s="96"/>
      <x:c r="C138" s="96"/>
      <x:c r="D138" s="96"/>
      <x:c r="E138" s="96"/>
      <x:c r="F138" s="96"/>
      <x:c r="G138" s="96"/>
      <x:c r="H138" s="97"/>
      <x:c r="I138" s="97"/>
      <x:c r="J138" s="97"/>
    </x:row>
    <x:row r="139" ht="15.75" customHeight="1">
      <x:c r="A139"/>
      <x:c r="B139"/>
    </x:row>
    <x:row r="140" ht="15.75" customHeight="1">
      <x:c r="A140"/>
      <x:c r="B140"/>
    </x:row>
    <x:row r="141">
      <x:c r="A141" s="93" t="str">
        <x:v>Final expert verdict</x:v>
      </x:c>
      <x:c r="B141" s="93" t="str">
        <x:v>Final expert verdict</x:v>
      </x:c>
    </x:row>
    <x:row r="142" ht="15.75" customHeight="1">
      <x:c r="A142" s="96" t="str">
        <x:v>Reviewer</x:v>
      </x:c>
      <x:c r="B142" s="97" t="str"/>
    </x:row>
    <x:row r="143" ht="15.75" customHeight="1">
      <x:c r="A143" s="96" t="str">
        <x:v>Is the answer acceptable?</x:v>
      </x:c>
      <x:c r="B143" s="97" t="str"/>
    </x:row>
    <x:row r="144" ht="42" customHeight="1">
      <x:c r="A144" s="96" t="str">
        <x:v>Overall comment / required fixes</x:v>
      </x:c>
      <x:c r="B144" s="97" t="str"/>
    </x:row>
    <x:row r="145" ht="15.75" customHeight="1">
      <x:c r="A145" s="96" t="str">
        <x:v>Review completed?</x:v>
      </x:c>
      <x:c r="B145" s="97" t="str"/>
    </x:row>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8436973b685441fb"/>
</x:worksheet>
</file>

<file path=xl/worksheets/sheet43.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67" t="s">
        <x:v>242</x:v>
      </x:c>
      <x:c r="B1" s="4"/>
      <x:c r="C1" s="4"/>
      <x:c r="D1" s="4"/>
      <x:c r="E1" s="4"/>
      <x:c r="F1" s="4"/>
      <x:c r="G1" s="4"/>
      <x:c r="H1" s="4"/>
      <x:c r="I1" s="5"/>
    </x:row>
    <x:row r="2" hidden="1">
      <x:c r="A2" s="22" t="s">
        <x:v>193</x:v>
      </x:c>
      <x:c r="B2" s="4"/>
      <x:c r="C2" s="4"/>
      <x:c r="D2" s="4"/>
      <x:c r="E2" s="4"/>
      <x:c r="F2" s="4"/>
      <x:c r="G2" s="4"/>
      <x:c r="H2" s="4"/>
      <x:c r="I2" s="5"/>
    </x:row>
    <x:row r="3" hidden="1">
      <x:c r="A3" s="23" t="s">
        <x:v>50</x:v>
      </x:c>
      <x:c r="B3" s="53">
        <x:v>24.0</x:v>
      </x:c>
    </x:row>
    <x:row r="4" hidden="1">
      <x:c r="A4" s="23" t="s">
        <x:v>51</x:v>
      </x:c>
      <x:c r="B4" s="7" t="s">
        <x:v>87</x:v>
      </x:c>
    </x:row>
    <x:row r="5" hidden="1">
      <x:c r="A5" s="23" t="s">
        <x:v>52</x:v>
      </x:c>
      <x:c r="B5" s="7" t="s">
        <x:v>75</x:v>
      </x:c>
    </x:row>
    <x:row r="6" hidden="1">
      <x:c r="A6" s="23" t="s">
        <x:v>194</x:v>
      </x:c>
      <x:c r="B6" s="7" t="s">
        <x:v>195</x:v>
      </x:c>
    </x:row>
    <x:row r="7" hidden="1">
      <x:c r="A7" s="23" t="s">
        <x:v>196</x:v>
      </x:c>
      <x:c r="B7" s="7" t="s">
        <x:v>197</x:v>
      </x:c>
    </x:row>
    <x:row r="8">
      <x:c r="A8" s="23" t="s">
        <x:v>53</x:v>
      </x:c>
      <x:c r="B8" s="90" t="s">
        <x:v>108</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b6126e2128994169"/>
</x:worksheet>
</file>

<file path=xl/worksheets/sheet44.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67" t="s">
        <x:v>243</x:v>
      </x:c>
      <x:c r="B1" s="4"/>
      <x:c r="C1" s="4"/>
      <x:c r="D1" s="4"/>
      <x:c r="E1" s="4"/>
      <x:c r="F1" s="4"/>
      <x:c r="G1" s="4"/>
      <x:c r="H1" s="4"/>
      <x:c r="I1" s="5"/>
    </x:row>
    <x:row r="2" hidden="1">
      <x:c r="A2" s="22" t="s">
        <x:v>193</x:v>
      </x:c>
      <x:c r="B2" s="4"/>
      <x:c r="C2" s="4"/>
      <x:c r="D2" s="4"/>
      <x:c r="E2" s="4"/>
      <x:c r="F2" s="4"/>
      <x:c r="G2" s="4"/>
      <x:c r="H2" s="4"/>
      <x:c r="I2" s="5"/>
    </x:row>
    <x:row r="3" hidden="1">
      <x:c r="A3" s="23" t="s">
        <x:v>50</x:v>
      </x:c>
      <x:c r="B3" s="53">
        <x:v>26.0</x:v>
      </x:c>
    </x:row>
    <x:row r="4" hidden="1">
      <x:c r="A4" s="23" t="s">
        <x:v>51</x:v>
      </x:c>
      <x:c r="B4" s="7" t="s">
        <x:v>92</x:v>
      </x:c>
    </x:row>
    <x:row r="5" hidden="1">
      <x:c r="A5" s="23" t="s">
        <x:v>52</x:v>
      </x:c>
      <x:c r="B5" s="7" t="s">
        <x:v>88</x:v>
      </x:c>
    </x:row>
    <x:row r="6" hidden="1">
      <x:c r="A6" s="23" t="s">
        <x:v>194</x:v>
      </x:c>
      <x:c r="B6" s="7" t="s">
        <x:v>195</x:v>
      </x:c>
    </x:row>
    <x:row r="7" hidden="1">
      <x:c r="A7" s="23" t="s">
        <x:v>196</x:v>
      </x:c>
      <x:c r="B7" s="7" t="s">
        <x:v>197</x:v>
      </x:c>
    </x:row>
    <x:row r="8">
      <x:c r="A8" s="23" t="s">
        <x:v>53</x:v>
      </x:c>
      <x:c r="B8" s="7" t="s">
        <x:v>109</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8af29eebd6d24aaa"/>
</x:worksheet>
</file>

<file path=xl/worksheets/sheet45.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67" t="s">
        <x:v>244</x:v>
      </x:c>
      <x:c r="B1" s="4"/>
      <x:c r="C1" s="4"/>
      <x:c r="D1" s="4"/>
      <x:c r="E1" s="4"/>
      <x:c r="F1" s="4"/>
      <x:c r="G1" s="4"/>
      <x:c r="H1" s="4"/>
      <x:c r="I1" s="5"/>
    </x:row>
    <x:row r="2" hidden="1">
      <x:c r="A2" s="22" t="s">
        <x:v>193</x:v>
      </x:c>
      <x:c r="B2" s="4"/>
      <x:c r="C2" s="4"/>
      <x:c r="D2" s="4"/>
      <x:c r="E2" s="4"/>
      <x:c r="F2" s="4"/>
      <x:c r="G2" s="4"/>
      <x:c r="H2" s="4"/>
      <x:c r="I2" s="5"/>
    </x:row>
    <x:row r="3" hidden="1">
      <x:c r="A3" s="23" t="s">
        <x:v>50</x:v>
      </x:c>
      <x:c r="B3" s="53">
        <x:v>27.0</x:v>
      </x:c>
    </x:row>
    <x:row r="4" hidden="1">
      <x:c r="A4" s="23" t="s">
        <x:v>51</x:v>
      </x:c>
      <x:c r="B4" s="7" t="s">
        <x:v>110</x:v>
      </x:c>
    </x:row>
    <x:row r="5" hidden="1">
      <x:c r="A5" s="23" t="s">
        <x:v>52</x:v>
      </x:c>
      <x:c r="B5" s="7" t="s">
        <x:v>75</x:v>
      </x:c>
    </x:row>
    <x:row r="6" hidden="1">
      <x:c r="A6" s="23" t="s">
        <x:v>194</x:v>
      </x:c>
      <x:c r="B6" s="7" t="s">
        <x:v>195</x:v>
      </x:c>
    </x:row>
    <x:row r="7" hidden="1">
      <x:c r="A7" s="23" t="s">
        <x:v>196</x:v>
      </x:c>
      <x:c r="B7" s="7" t="s">
        <x:v>197</x:v>
      </x:c>
    </x:row>
    <x:row r="8">
      <x:c r="A8" s="23" t="s">
        <x:v>53</x:v>
      </x:c>
      <x:c r="B8" s="54" t="s">
        <x:v>113</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bc19c95f9b024fdf"/>
</x:worksheet>
</file>

<file path=xl/worksheets/sheet46.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67" t="s">
        <x:v>245</x:v>
      </x:c>
      <x:c r="B1" s="4"/>
      <x:c r="C1" s="4"/>
      <x:c r="D1" s="4"/>
      <x:c r="E1" s="4"/>
      <x:c r="F1" s="4"/>
      <x:c r="G1" s="4"/>
      <x:c r="H1" s="4"/>
      <x:c r="I1" s="5"/>
    </x:row>
    <x:row r="2" hidden="1">
      <x:c r="A2" s="22" t="s">
        <x:v>193</x:v>
      </x:c>
      <x:c r="B2" s="4"/>
      <x:c r="C2" s="4"/>
      <x:c r="D2" s="4"/>
      <x:c r="E2" s="4"/>
      <x:c r="F2" s="4"/>
      <x:c r="G2" s="4"/>
      <x:c r="H2" s="4"/>
      <x:c r="I2" s="5"/>
    </x:row>
    <x:row r="3" hidden="1">
      <x:c r="A3" s="23" t="s">
        <x:v>50</x:v>
      </x:c>
      <x:c r="B3" s="53">
        <x:v>32.0</x:v>
      </x:c>
    </x:row>
    <x:row r="4" hidden="1">
      <x:c r="A4" s="23" t="s">
        <x:v>51</x:v>
      </x:c>
      <x:c r="B4" s="7" t="s">
        <x:v>114</x:v>
      </x:c>
    </x:row>
    <x:row r="5" hidden="1">
      <x:c r="A5" s="23" t="s">
        <x:v>52</x:v>
      </x:c>
      <x:c r="B5" s="7" t="s">
        <x:v>88</x:v>
      </x:c>
    </x:row>
    <x:row r="6" hidden="1">
      <x:c r="A6" s="23" t="s">
        <x:v>194</x:v>
      </x:c>
      <x:c r="B6" s="7" t="s">
        <x:v>204</x:v>
      </x:c>
    </x:row>
    <x:row r="7" hidden="1">
      <x:c r="A7" s="23" t="s">
        <x:v>196</x:v>
      </x:c>
      <x:c r="B7" s="7" t="s">
        <x:v>197</x:v>
      </x:c>
    </x:row>
    <x:row r="8">
      <x:c r="A8" s="23" t="s">
        <x:v>53</x:v>
      </x:c>
      <x:c r="B8" s="7" t="s">
        <x:v>117</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40a38341e82345ce"/>
</x:worksheet>
</file>

<file path=xl/worksheets/sheet47.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27.139999389648438" customWidth="1"/>
    <x:col min="6" max="7" width="30" customWidth="1"/>
    <x:col min="8" max="8" width="30.43000030517578" customWidth="1"/>
    <x:col min="9" max="9" width="21.56999969482422" customWidth="1"/>
    <x:col min="10" max="25" width="8.710000038146973" customWidth="1"/>
  </x:cols>
  <x:sheetData>
    <x:row r="1" ht="27.75" customHeight="1">
      <x:c r="A1" s="67" t="s">
        <x:v>246</x:v>
      </x:c>
      <x:c r="B1" s="4"/>
      <x:c r="C1" s="4"/>
      <x:c r="D1" s="4"/>
      <x:c r="E1" s="4"/>
      <x:c r="F1" s="4"/>
      <x:c r="G1" s="4"/>
      <x:c r="H1" s="4"/>
      <x:c r="I1" s="5"/>
    </x:row>
    <x:row r="2" hidden="1">
      <x:c r="A2" s="22" t="s">
        <x:v>193</x:v>
      </x:c>
      <x:c r="B2" s="4"/>
      <x:c r="C2" s="4"/>
      <x:c r="D2" s="4"/>
      <x:c r="E2" s="4"/>
      <x:c r="F2" s="4"/>
      <x:c r="G2" s="4"/>
      <x:c r="H2" s="4"/>
      <x:c r="I2" s="5"/>
    </x:row>
    <x:row r="3" hidden="1">
      <x:c r="A3" s="23" t="s">
        <x:v>50</x:v>
      </x:c>
      <x:c r="B3" s="53">
        <x:v>33.0</x:v>
      </x:c>
    </x:row>
    <x:row r="4" hidden="1">
      <x:c r="A4" s="23" t="s">
        <x:v>51</x:v>
      </x:c>
      <x:c r="B4" s="79" t="s">
        <x:v>118</x:v>
      </x:c>
    </x:row>
    <x:row r="5" hidden="1">
      <x:c r="A5" s="23" t="s">
        <x:v>52</x:v>
      </x:c>
      <x:c r="B5" s="79" t="s">
        <x:v>97</x:v>
      </x:c>
    </x:row>
    <x:row r="6" hidden="1">
      <x:c r="A6" s="23" t="s">
        <x:v>194</x:v>
      </x:c>
      <x:c r="B6" s="79" t="s">
        <x:v>223</x:v>
      </x:c>
    </x:row>
    <x:row r="7" hidden="1">
      <x:c r="A7" s="23" t="s">
        <x:v>196</x:v>
      </x:c>
      <x:c r="B7" s="79" t="s">
        <x:v>197</x:v>
      </x:c>
    </x:row>
    <x:row r="8">
      <x:c r="A8" s="23" t="s">
        <x:v>53</x:v>
      </x:c>
      <x:c r="B8" s="79" t="s">
        <x:v>119</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ht="15.75" customHeight="1">
      <x:c r="A114" s="96"/>
      <x:c r="B114" s="96"/>
      <x:c r="C114" s="96"/>
      <x:c r="D114" s="96"/>
      <x:c r="E114" s="96"/>
      <x:c r="F114" s="96"/>
      <x:c r="G114" s="96"/>
      <x:c r="H114" s="97"/>
      <x:c r="I114" s="97"/>
      <x:c r="J114" s="97"/>
    </x:row>
    <x:row r="115" ht="15.75" customHeight="1">
      <x:c r="A115" s="96"/>
      <x:c r="B115" s="96"/>
      <x:c r="C115" s="96"/>
      <x:c r="D115" s="96"/>
      <x:c r="E115" s="96"/>
      <x:c r="F115" s="96"/>
      <x:c r="G115" s="96"/>
      <x:c r="H115" s="97"/>
      <x:c r="I115" s="97"/>
      <x:c r="J115" s="97"/>
    </x:row>
    <x:row r="116" ht="15.75" customHeight="1">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ht="15.75" customHeight="1">
      <x:c r="A137" s="96"/>
      <x:c r="B137" s="96"/>
      <x:c r="C137" s="96"/>
      <x:c r="D137" s="96"/>
      <x:c r="E137" s="96"/>
      <x:c r="F137" s="96"/>
      <x:c r="G137" s="96"/>
      <x:c r="H137" s="97"/>
      <x:c r="I137" s="97"/>
      <x:c r="J137" s="97"/>
    </x:row>
    <x:row r="138" ht="15.75" customHeight="1">
      <x:c r="A138" s="96"/>
      <x:c r="B138" s="96"/>
      <x:c r="C138" s="96"/>
      <x:c r="D138" s="96"/>
      <x:c r="E138" s="96"/>
      <x:c r="F138" s="96"/>
      <x:c r="G138" s="96"/>
      <x:c r="H138" s="97"/>
      <x:c r="I138" s="97"/>
      <x:c r="J138" s="97"/>
    </x:row>
    <x:row r="139" ht="15.75" customHeight="1">
      <x:c r="A139"/>
      <x:c r="B139"/>
    </x:row>
    <x:row r="140" ht="15.75" customHeight="1">
      <x:c r="A140"/>
      <x:c r="B140"/>
    </x:row>
    <x:row r="141">
      <x:c r="A141" s="93" t="str">
        <x:v>Final expert verdict</x:v>
      </x:c>
      <x:c r="B141" s="93" t="str">
        <x:v>Final expert verdict</x:v>
      </x:c>
    </x:row>
    <x:row r="142" ht="15.75" customHeight="1">
      <x:c r="A142" s="96" t="str">
        <x:v>Reviewer</x:v>
      </x:c>
      <x:c r="B142" s="97" t="str"/>
    </x:row>
    <x:row r="143" ht="15.75" customHeight="1">
      <x:c r="A143" s="96" t="str">
        <x:v>Is the answer acceptable?</x:v>
      </x:c>
      <x:c r="B143" s="97" t="str"/>
    </x:row>
    <x:row r="144" ht="42" customHeight="1">
      <x:c r="A144" s="96" t="str">
        <x:v>Overall comment / required fixes</x:v>
      </x:c>
      <x:c r="B144" s="97" t="str"/>
    </x:row>
    <x:row r="145" ht="15.75" customHeight="1">
      <x:c r="A145" s="96" t="str">
        <x:v>Review completed?</x:v>
      </x:c>
      <x:c r="B145" s="97" t="str"/>
    </x:row>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f772049ffbd744ac"/>
</x:worksheet>
</file>

<file path=xl/worksheets/sheet48.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67" t="s">
        <x:v>247</x:v>
      </x:c>
      <x:c r="B1" s="4"/>
      <x:c r="C1" s="4"/>
      <x:c r="D1" s="4"/>
      <x:c r="E1" s="4"/>
      <x:c r="F1" s="4"/>
      <x:c r="G1" s="4"/>
      <x:c r="H1" s="4"/>
      <x:c r="I1" s="5"/>
    </x:row>
    <x:row r="2" hidden="1">
      <x:c r="A2" s="22" t="s">
        <x:v>193</x:v>
      </x:c>
      <x:c r="B2" s="4"/>
      <x:c r="C2" s="4"/>
      <x:c r="D2" s="4"/>
      <x:c r="E2" s="4"/>
      <x:c r="F2" s="4"/>
      <x:c r="G2" s="4"/>
      <x:c r="H2" s="4"/>
      <x:c r="I2" s="5"/>
    </x:row>
    <x:row r="3" hidden="1">
      <x:c r="A3" s="23" t="s">
        <x:v>50</x:v>
      </x:c>
      <x:c r="B3" s="53">
        <x:v>34.0</x:v>
      </x:c>
    </x:row>
    <x:row r="4" hidden="1">
      <x:c r="A4" s="23" t="s">
        <x:v>51</x:v>
      </x:c>
      <x:c r="B4" s="7" t="s">
        <x:v>120</x:v>
      </x:c>
    </x:row>
    <x:row r="5" hidden="1">
      <x:c r="A5" s="23" t="s">
        <x:v>52</x:v>
      </x:c>
      <x:c r="B5" s="7" t="s">
        <x:v>75</x:v>
      </x:c>
    </x:row>
    <x:row r="6" hidden="1">
      <x:c r="A6" s="23" t="s">
        <x:v>194</x:v>
      </x:c>
      <x:c r="B6" s="7" t="s">
        <x:v>195</x:v>
      </x:c>
    </x:row>
    <x:row r="7" hidden="1">
      <x:c r="A7" s="23" t="s">
        <x:v>196</x:v>
      </x:c>
      <x:c r="B7" s="7" t="s">
        <x:v>197</x:v>
      </x:c>
    </x:row>
    <x:row r="8">
      <x:c r="A8" s="23" t="s">
        <x:v>53</x:v>
      </x:c>
      <x:c r="B8" s="54" t="s">
        <x:v>122</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0aacf401d6bd4110"/>
</x:worksheet>
</file>

<file path=xl/worksheets/sheet49.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27.139999389648438" customWidth="1"/>
    <x:col min="6" max="7" width="30" customWidth="1"/>
    <x:col min="8" max="8" width="30.43000030517578" customWidth="1"/>
    <x:col min="9" max="9" width="21.56999969482422" customWidth="1"/>
    <x:col min="10" max="10" width="27.56999969482422" customWidth="1"/>
    <x:col min="11" max="25" width="8.710000038146973" customWidth="1"/>
  </x:cols>
  <x:sheetData>
    <x:row r="1" ht="27.75" customHeight="1">
      <x:c r="A1" s="67" t="s">
        <x:v>248</x:v>
      </x:c>
      <x:c r="B1" s="4"/>
      <x:c r="C1" s="4"/>
      <x:c r="D1" s="4"/>
      <x:c r="E1" s="4"/>
      <x:c r="F1" s="4"/>
      <x:c r="G1" s="4"/>
      <x:c r="H1" s="4"/>
      <x:c r="I1" s="5"/>
    </x:row>
    <x:row r="2" hidden="1">
      <x:c r="A2" s="22" t="s">
        <x:v>193</x:v>
      </x:c>
      <x:c r="B2" s="4"/>
      <x:c r="C2" s="4"/>
      <x:c r="D2" s="4"/>
      <x:c r="E2" s="4"/>
      <x:c r="F2" s="4"/>
      <x:c r="G2" s="4"/>
      <x:c r="H2" s="4"/>
      <x:c r="I2" s="5"/>
    </x:row>
    <x:row r="3" hidden="1">
      <x:c r="A3" s="23" t="s">
        <x:v>50</x:v>
      </x:c>
      <x:c r="B3" s="53">
        <x:v>36.0</x:v>
      </x:c>
    </x:row>
    <x:row r="4" hidden="1">
      <x:c r="A4" s="23" t="s">
        <x:v>51</x:v>
      </x:c>
      <x:c r="B4" s="79" t="s">
        <x:v>120</x:v>
      </x:c>
    </x:row>
    <x:row r="5" hidden="1">
      <x:c r="A5" s="23" t="s">
        <x:v>52</x:v>
      </x:c>
      <x:c r="B5" s="79" t="s">
        <x:v>97</x:v>
      </x:c>
    </x:row>
    <x:row r="6" hidden="1">
      <x:c r="A6" s="23" t="s">
        <x:v>194</x:v>
      </x:c>
      <x:c r="B6" s="79" t="s">
        <x:v>223</x:v>
      </x:c>
    </x:row>
    <x:row r="7" hidden="1">
      <x:c r="A7" s="23" t="s">
        <x:v>196</x:v>
      </x:c>
      <x:c r="B7" s="79" t="s">
        <x:v>197</x:v>
      </x:c>
    </x:row>
    <x:row r="8">
      <x:c r="A8" s="23" t="s">
        <x:v>53</x:v>
      </x:c>
      <x:c r="B8" s="79" t="s">
        <x:v>123</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ht="15.75" customHeight="1">
      <x:c r="A114" s="96"/>
      <x:c r="B114" s="96"/>
      <x:c r="C114" s="96"/>
      <x:c r="D114" s="96"/>
      <x:c r="E114" s="96"/>
      <x:c r="F114" s="96"/>
      <x:c r="G114" s="96"/>
      <x:c r="H114" s="97"/>
      <x:c r="I114" s="97"/>
      <x:c r="J114" s="97"/>
    </x:row>
    <x:row r="115" ht="15.75" customHeight="1">
      <x:c r="A115" s="96"/>
      <x:c r="B115" s="96"/>
      <x:c r="C115" s="96"/>
      <x:c r="D115" s="96"/>
      <x:c r="E115" s="96"/>
      <x:c r="F115" s="96"/>
      <x:c r="G115" s="96"/>
      <x:c r="H115" s="97"/>
      <x:c r="I115" s="97"/>
      <x:c r="J115" s="97"/>
    </x:row>
    <x:row r="116" ht="15.75" customHeight="1">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ht="15.75" customHeight="1">
      <x:c r="A137" s="96"/>
      <x:c r="B137" s="96"/>
      <x:c r="C137" s="96"/>
      <x:c r="D137" s="96"/>
      <x:c r="E137" s="96"/>
      <x:c r="F137" s="96"/>
      <x:c r="G137" s="96"/>
      <x:c r="H137" s="97"/>
      <x:c r="I137" s="97"/>
      <x:c r="J137" s="97"/>
    </x:row>
    <x:row r="138" ht="15.75" customHeight="1">
      <x:c r="A138" s="96"/>
      <x:c r="B138" s="96"/>
      <x:c r="C138" s="96"/>
      <x:c r="D138" s="96"/>
      <x:c r="E138" s="96"/>
      <x:c r="F138" s="96"/>
      <x:c r="G138" s="96"/>
      <x:c r="H138" s="97"/>
      <x:c r="I138" s="97"/>
      <x:c r="J138" s="97"/>
    </x:row>
    <x:row r="139" ht="15.75" customHeight="1">
      <x:c r="A139"/>
      <x:c r="B139"/>
    </x:row>
    <x:row r="140" ht="15.75" customHeight="1">
      <x:c r="A140"/>
      <x:c r="B140"/>
    </x:row>
    <x:row r="141">
      <x:c r="A141" s="93" t="str">
        <x:v>Final expert verdict</x:v>
      </x:c>
      <x:c r="B141" s="93" t="str">
        <x:v>Final expert verdict</x:v>
      </x:c>
    </x:row>
    <x:row r="142" ht="15.75" customHeight="1">
      <x:c r="A142" s="96" t="str">
        <x:v>Reviewer</x:v>
      </x:c>
      <x:c r="B142" s="97" t="str"/>
    </x:row>
    <x:row r="143" ht="15.75" customHeight="1">
      <x:c r="A143" s="96" t="str">
        <x:v>Is the answer acceptable?</x:v>
      </x:c>
      <x:c r="B143" s="97" t="str"/>
    </x:row>
    <x:row r="144" ht="42" customHeight="1">
      <x:c r="A144" s="96" t="str">
        <x:v>Overall comment / required fixes</x:v>
      </x:c>
      <x:c r="B144" s="97" t="str"/>
    </x:row>
    <x:row r="145" ht="15.75" customHeight="1">
      <x:c r="A145" s="96" t="str">
        <x:v>Review completed?</x:v>
      </x:c>
      <x:c r="B145" s="97" t="str"/>
    </x:row>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421da6197fd94893"/>
</x:worksheet>
</file>

<file path=xl/worksheets/sheet50.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34.13999938964844" customWidth="1"/>
    <x:col min="5" max="5" width="20" customWidth="1"/>
    <x:col min="6" max="6" width="38.13999938964844" customWidth="1"/>
    <x:col min="7" max="7" width="30" customWidth="1"/>
    <x:col min="8" max="8" width="34" customWidth="1"/>
    <x:col min="9" max="10" width="18" customWidth="1"/>
    <x:col min="11" max="11" width="30" customWidth="1"/>
    <x:col min="12" max="27" width="8.710000038146973" customWidth="1"/>
  </x:cols>
  <x:sheetData>
    <x:row r="1" ht="27.75" customHeight="1">
      <x:c r="A1" s="67" t="s">
        <x:v>249</x:v>
      </x:c>
      <x:c r="B1" s="4"/>
      <x:c r="C1" s="4"/>
      <x:c r="D1" s="4"/>
      <x:c r="E1" s="4"/>
      <x:c r="F1" s="4"/>
      <x:c r="G1" s="4"/>
      <x:c r="H1" s="4"/>
      <x:c r="I1" s="5"/>
    </x:row>
    <x:row r="2" hidden="1">
      <x:c r="A2" s="22" t="s">
        <x:v>193</x:v>
      </x:c>
      <x:c r="B2" s="4"/>
      <x:c r="C2" s="4"/>
      <x:c r="D2" s="4"/>
      <x:c r="E2" s="4"/>
      <x:c r="F2" s="4"/>
      <x:c r="G2" s="4"/>
      <x:c r="H2" s="4"/>
      <x:c r="I2" s="5"/>
    </x:row>
    <x:row r="3" hidden="1">
      <x:c r="A3" s="23" t="s">
        <x:v>50</x:v>
      </x:c>
      <x:c r="B3" s="53">
        <x:v>39.0</x:v>
      </x:c>
    </x:row>
    <x:row r="4" hidden="1">
      <x:c r="A4" s="23" t="s">
        <x:v>51</x:v>
      </x:c>
      <x:c r="B4" s="7" t="s">
        <x:v>124</x:v>
      </x:c>
    </x:row>
    <x:row r="5" hidden="1">
      <x:c r="A5" s="23" t="s">
        <x:v>52</x:v>
      </x:c>
      <x:c r="B5" s="7" t="s">
        <x:v>88</x:v>
      </x:c>
    </x:row>
    <x:row r="6" hidden="1">
      <x:c r="A6" s="23" t="s">
        <x:v>194</x:v>
      </x:c>
      <x:c r="B6" s="7" t="s">
        <x:v>204</x:v>
      </x:c>
    </x:row>
    <x:row r="7" hidden="1">
      <x:c r="A7" s="23" t="s">
        <x:v>196</x:v>
      </x:c>
      <x:c r="B7" s="7" t="s">
        <x:v>197</x:v>
      </x:c>
    </x:row>
    <x:row r="8">
      <x:c r="A8" s="23" t="s">
        <x:v>53</x:v>
      </x:c>
      <x:c r="B8" s="7" t="s">
        <x:v>127</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f3fbee86078d4ddb"/>
</x:worksheet>
</file>

<file path=xl/worksheets/sheet51.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27.139999389648438" customWidth="1"/>
    <x:col min="6" max="7" width="30" customWidth="1"/>
    <x:col min="8" max="8" width="30.43000030517578" customWidth="1"/>
    <x:col min="9" max="9" width="21.56999969482422" customWidth="1"/>
    <x:col min="10" max="25" width="8.710000038146973" customWidth="1"/>
  </x:cols>
  <x:sheetData>
    <x:row r="1" ht="27.75" customHeight="1">
      <x:c r="A1" s="67" t="s">
        <x:v>250</x:v>
      </x:c>
      <x:c r="B1" s="4"/>
      <x:c r="C1" s="4"/>
      <x:c r="D1" s="4"/>
      <x:c r="E1" s="4"/>
      <x:c r="F1" s="4"/>
      <x:c r="G1" s="4"/>
      <x:c r="H1" s="4"/>
      <x:c r="I1" s="5"/>
    </x:row>
    <x:row r="2" hidden="1">
      <x:c r="A2" s="22" t="s">
        <x:v>193</x:v>
      </x:c>
      <x:c r="B2" s="4"/>
      <x:c r="C2" s="4"/>
      <x:c r="D2" s="4"/>
      <x:c r="E2" s="4"/>
      <x:c r="F2" s="4"/>
      <x:c r="G2" s="4"/>
      <x:c r="H2" s="4"/>
      <x:c r="I2" s="5"/>
    </x:row>
    <x:row r="3" hidden="1">
      <x:c r="A3" s="23" t="s">
        <x:v>50</x:v>
      </x:c>
      <x:c r="B3" s="53">
        <x:v>40.0</x:v>
      </x:c>
    </x:row>
    <x:row r="4" hidden="1">
      <x:c r="A4" s="23" t="s">
        <x:v>51</x:v>
      </x:c>
      <x:c r="B4" s="79" t="s">
        <x:v>124</x:v>
      </x:c>
    </x:row>
    <x:row r="5" hidden="1">
      <x:c r="A5" s="23" t="s">
        <x:v>52</x:v>
      </x:c>
      <x:c r="B5" s="79" t="s">
        <x:v>97</x:v>
      </x:c>
    </x:row>
    <x:row r="6" hidden="1">
      <x:c r="A6" s="23" t="s">
        <x:v>194</x:v>
      </x:c>
      <x:c r="B6" s="79" t="s">
        <x:v>223</x:v>
      </x:c>
    </x:row>
    <x:row r="7" hidden="1">
      <x:c r="A7" s="23" t="s">
        <x:v>196</x:v>
      </x:c>
      <x:c r="B7" s="79" t="s">
        <x:v>197</x:v>
      </x:c>
    </x:row>
    <x:row r="8">
      <x:c r="A8" s="23" t="s">
        <x:v>53</x:v>
      </x:c>
      <x:c r="B8" s="79" t="s">
        <x:v>128</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ht="15.75" customHeight="1">
      <x:c r="A114" s="96"/>
      <x:c r="B114" s="96"/>
      <x:c r="C114" s="96"/>
      <x:c r="D114" s="96"/>
      <x:c r="E114" s="96"/>
      <x:c r="F114" s="96"/>
      <x:c r="G114" s="96"/>
      <x:c r="H114" s="97"/>
      <x:c r="I114" s="97"/>
      <x:c r="J114" s="97"/>
    </x:row>
    <x:row r="115" ht="15.75" customHeight="1">
      <x:c r="A115" s="96"/>
      <x:c r="B115" s="96"/>
      <x:c r="C115" s="96"/>
      <x:c r="D115" s="96"/>
      <x:c r="E115" s="96"/>
      <x:c r="F115" s="96"/>
      <x:c r="G115" s="96"/>
      <x:c r="H115" s="97"/>
      <x:c r="I115" s="97"/>
      <x:c r="J115" s="97"/>
    </x:row>
    <x:row r="116" ht="15.75" customHeight="1">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ht="15.75" customHeight="1">
      <x:c r="A137" s="96"/>
      <x:c r="B137" s="96"/>
      <x:c r="C137" s="96"/>
      <x:c r="D137" s="96"/>
      <x:c r="E137" s="96"/>
      <x:c r="F137" s="96"/>
      <x:c r="G137" s="96"/>
      <x:c r="H137" s="97"/>
      <x:c r="I137" s="97"/>
      <x:c r="J137" s="97"/>
    </x:row>
    <x:row r="138" ht="15.75" customHeight="1">
      <x:c r="A138" s="96"/>
      <x:c r="B138" s="96"/>
      <x:c r="C138" s="96"/>
      <x:c r="D138" s="96"/>
      <x:c r="E138" s="96"/>
      <x:c r="F138" s="96"/>
      <x:c r="G138" s="96"/>
      <x:c r="H138" s="97"/>
      <x:c r="I138" s="97"/>
      <x:c r="J138" s="97"/>
    </x:row>
    <x:row r="139" ht="15.75" customHeight="1">
      <x:c r="A139"/>
      <x:c r="B139"/>
    </x:row>
    <x:row r="140" ht="15.75" customHeight="1">
      <x:c r="A140"/>
      <x:c r="B140"/>
    </x:row>
    <x:row r="141">
      <x:c r="A141" s="93" t="str">
        <x:v>Final expert verdict</x:v>
      </x:c>
      <x:c r="B141" s="93" t="str">
        <x:v>Final expert verdict</x:v>
      </x:c>
    </x:row>
    <x:row r="142" ht="15.75" customHeight="1">
      <x:c r="A142" s="96" t="str">
        <x:v>Reviewer</x:v>
      </x:c>
      <x:c r="B142" s="97" t="str"/>
    </x:row>
    <x:row r="143" ht="15.75" customHeight="1">
      <x:c r="A143" s="96" t="str">
        <x:v>Is the answer acceptable?</x:v>
      </x:c>
      <x:c r="B143" s="97" t="str"/>
    </x:row>
    <x:row r="144" ht="42" customHeight="1">
      <x:c r="A144" s="96" t="str">
        <x:v>Overall comment / required fixes</x:v>
      </x:c>
      <x:c r="B144" s="97" t="str"/>
    </x:row>
    <x:row r="145" ht="15.75" customHeight="1">
      <x:c r="A145" s="96" t="str">
        <x:v>Review completed?</x:v>
      </x:c>
      <x:c r="B145" s="97" t="str"/>
    </x:row>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22e0e1710b804d84"/>
</x:worksheet>
</file>

<file path=xl/worksheets/sheet52.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59" customWidth="1"/>
    <x:col min="3" max="3" width="56" customWidth="1"/>
    <x:col min="4" max="4" width="18" customWidth="1"/>
    <x:col min="5" max="5" width="53.56999969482422" customWidth="1"/>
    <x:col min="6" max="7" width="30" customWidth="1"/>
    <x:col min="8" max="8" width="34" customWidth="1"/>
    <x:col min="9" max="9" width="18" customWidth="1"/>
    <x:col min="10" max="10" width="45.56999969482422" customWidth="1"/>
    <x:col min="11" max="11" width="30" customWidth="1"/>
    <x:col min="12" max="27" width="8.710000038146973" customWidth="1"/>
  </x:cols>
  <x:sheetData>
    <x:row r="1" ht="27.75" customHeight="1">
      <x:c r="A1" s="67" t="s">
        <x:v>251</x:v>
      </x:c>
      <x:c r="B1" s="4"/>
      <x:c r="C1" s="4"/>
      <x:c r="D1" s="4"/>
      <x:c r="E1" s="4"/>
      <x:c r="F1" s="4"/>
      <x:c r="G1" s="4"/>
      <x:c r="H1" s="4"/>
      <x:c r="I1" s="5"/>
    </x:row>
    <x:row r="2" hidden="1">
      <x:c r="A2" s="22" t="s">
        <x:v>193</x:v>
      </x:c>
      <x:c r="B2" s="4"/>
      <x:c r="C2" s="4"/>
      <x:c r="D2" s="4"/>
      <x:c r="E2" s="4"/>
      <x:c r="F2" s="4"/>
      <x:c r="G2" s="4"/>
      <x:c r="H2" s="4"/>
      <x:c r="I2" s="5"/>
    </x:row>
    <x:row r="3" hidden="1">
      <x:c r="A3" s="23" t="s">
        <x:v>50</x:v>
      </x:c>
      <x:c r="B3" s="53">
        <x:v>44.0</x:v>
      </x:c>
    </x:row>
    <x:row r="4" hidden="1">
      <x:c r="A4" s="23" t="s">
        <x:v>51</x:v>
      </x:c>
      <x:c r="B4" s="7" t="s">
        <x:v>132</x:v>
      </x:c>
    </x:row>
    <x:row r="5" hidden="1">
      <x:c r="A5" s="23" t="s">
        <x:v>52</x:v>
      </x:c>
      <x:c r="B5" s="7" t="s">
        <x:v>75</x:v>
      </x:c>
    </x:row>
    <x:row r="6" hidden="1">
      <x:c r="A6" s="23" t="s">
        <x:v>194</x:v>
      </x:c>
      <x:c r="B6" s="7" t="s">
        <x:v>195</x:v>
      </x:c>
    </x:row>
    <x:row r="7" hidden="1">
      <x:c r="A7" s="23" t="s">
        <x:v>196</x:v>
      </x:c>
      <x:c r="B7" s="7" t="s">
        <x:v>197</x:v>
      </x:c>
    </x:row>
    <x:row r="8">
      <x:c r="A8" s="23" t="s">
        <x:v>53</x:v>
      </x:c>
      <x:c r="B8" s="54" t="s">
        <x:v>135</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58d7e300ec724f62"/>
</x:worksheet>
</file>

<file path=xl/worksheets/sheet53.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61.13999938964844" customWidth="1"/>
    <x:col min="3" max="3" width="42" customWidth="1"/>
    <x:col min="4" max="4" width="25.43000030517578" customWidth="1"/>
    <x:col min="5" max="5" width="67" customWidth="1"/>
    <x:col min="6" max="7" width="30" customWidth="1"/>
    <x:col min="8" max="8" width="30.43000030517578" customWidth="1"/>
    <x:col min="9" max="9" width="21.56999969482422" customWidth="1"/>
    <x:col min="10" max="10" width="34.709999084472656" customWidth="1"/>
    <x:col min="11" max="25" width="8.710000038146973" customWidth="1"/>
  </x:cols>
  <x:sheetData>
    <x:row r="1" ht="27.75" customHeight="1">
      <x:c r="A1" s="67" t="s">
        <x:v>252</x:v>
      </x:c>
      <x:c r="B1" s="4"/>
      <x:c r="C1" s="4"/>
      <x:c r="D1" s="4"/>
      <x:c r="E1" s="4"/>
      <x:c r="F1" s="4"/>
      <x:c r="G1" s="4"/>
      <x:c r="H1" s="4"/>
      <x:c r="I1" s="5"/>
    </x:row>
    <x:row r="2" hidden="1">
      <x:c r="A2" s="22" t="s">
        <x:v>193</x:v>
      </x:c>
      <x:c r="B2" s="4"/>
      <x:c r="C2" s="4"/>
      <x:c r="D2" s="4"/>
      <x:c r="E2" s="4"/>
      <x:c r="F2" s="4"/>
      <x:c r="G2" s="4"/>
      <x:c r="H2" s="4"/>
      <x:c r="I2" s="5"/>
    </x:row>
    <x:row r="3" hidden="1">
      <x:c r="A3" s="23" t="s">
        <x:v>50</x:v>
      </x:c>
      <x:c r="B3" s="53">
        <x:v>46.0</x:v>
      </x:c>
    </x:row>
    <x:row r="4" hidden="1">
      <x:c r="A4" s="23" t="s">
        <x:v>51</x:v>
      </x:c>
      <x:c r="B4" s="79" t="s">
        <x:v>132</x:v>
      </x:c>
    </x:row>
    <x:row r="5" hidden="1">
      <x:c r="A5" s="23" t="s">
        <x:v>52</x:v>
      </x:c>
      <x:c r="B5" s="79" t="s">
        <x:v>97</x:v>
      </x:c>
    </x:row>
    <x:row r="6" hidden="1">
      <x:c r="A6" s="23" t="s">
        <x:v>194</x:v>
      </x:c>
      <x:c r="B6" s="79" t="s">
        <x:v>223</x:v>
      </x:c>
    </x:row>
    <x:row r="7" hidden="1">
      <x:c r="A7" s="23" t="s">
        <x:v>196</x:v>
      </x:c>
      <x:c r="B7" s="79" t="s">
        <x:v>197</x:v>
      </x:c>
    </x:row>
    <x:row r="8">
      <x:c r="A8" s="23" t="s">
        <x:v>53</x:v>
      </x:c>
      <x:c r="B8" s="79" t="s">
        <x:v>136</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ht="15.75" customHeight="1">
      <x:c r="A114" s="96"/>
      <x:c r="B114" s="96"/>
      <x:c r="C114" s="96"/>
      <x:c r="D114" s="96"/>
      <x:c r="E114" s="96"/>
      <x:c r="F114" s="96"/>
      <x:c r="G114" s="96"/>
      <x:c r="H114" s="97"/>
      <x:c r="I114" s="97"/>
      <x:c r="J114" s="97"/>
    </x:row>
    <x:row r="115" ht="15.75" customHeight="1">
      <x:c r="A115" s="96"/>
      <x:c r="B115" s="96"/>
      <x:c r="C115" s="96"/>
      <x:c r="D115" s="96"/>
      <x:c r="E115" s="96"/>
      <x:c r="F115" s="96"/>
      <x:c r="G115" s="96"/>
      <x:c r="H115" s="97"/>
      <x:c r="I115" s="97"/>
      <x:c r="J115" s="97"/>
    </x:row>
    <x:row r="116" ht="15.75" customHeight="1">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ht="15.75" customHeight="1">
      <x:c r="A137" s="96"/>
      <x:c r="B137" s="96"/>
      <x:c r="C137" s="96"/>
      <x:c r="D137" s="96"/>
      <x:c r="E137" s="96"/>
      <x:c r="F137" s="96"/>
      <x:c r="G137" s="96"/>
      <x:c r="H137" s="97"/>
      <x:c r="I137" s="97"/>
      <x:c r="J137" s="97"/>
    </x:row>
    <x:row r="138" ht="15.75" customHeight="1">
      <x:c r="A138" s="96"/>
      <x:c r="B138" s="96"/>
      <x:c r="C138" s="96"/>
      <x:c r="D138" s="96"/>
      <x:c r="E138" s="96"/>
      <x:c r="F138" s="96"/>
      <x:c r="G138" s="96"/>
      <x:c r="H138" s="97"/>
      <x:c r="I138" s="97"/>
      <x:c r="J138" s="97"/>
    </x:row>
    <x:row r="139" ht="15.75" customHeight="1">
      <x:c r="A139"/>
      <x:c r="B139"/>
    </x:row>
    <x:row r="140" ht="15.75" customHeight="1">
      <x:c r="A140"/>
      <x:c r="B140"/>
    </x:row>
    <x:row r="141">
      <x:c r="A141" s="93" t="str">
        <x:v>Final expert verdict</x:v>
      </x:c>
      <x:c r="B141" s="93" t="str">
        <x:v>Final expert verdict</x:v>
      </x:c>
    </x:row>
    <x:row r="142" ht="15.75" customHeight="1">
      <x:c r="A142" s="96" t="str">
        <x:v>Reviewer</x:v>
      </x:c>
      <x:c r="B142" s="97" t="str"/>
    </x:row>
    <x:row r="143" ht="15.75" customHeight="1">
      <x:c r="A143" s="96" t="str">
        <x:v>Is the answer acceptable?</x:v>
      </x:c>
      <x:c r="B143" s="97" t="str"/>
    </x:row>
    <x:row r="144" ht="42" customHeight="1">
      <x:c r="A144" s="96" t="str">
        <x:v>Overall comment / required fixes</x:v>
      </x:c>
      <x:c r="B144" s="97" t="str"/>
    </x:row>
    <x:row r="145" ht="15.75" customHeight="1">
      <x:c r="A145" s="96" t="str">
        <x:v>Review completed?</x:v>
      </x:c>
      <x:c r="B145" s="97" t="str"/>
    </x:row>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69c825caff2148cc"/>
</x:worksheet>
</file>

<file path=xl/worksheets/sheet54.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49" customWidth="1"/>
    <x:col min="3" max="3" width="49.709999084472656" customWidth="1"/>
    <x:col min="4" max="4" width="18" customWidth="1"/>
    <x:col min="5" max="5" width="56.290000915527344" customWidth="1"/>
    <x:col min="6" max="7" width="30" customWidth="1"/>
    <x:col min="8" max="8" width="34" customWidth="1"/>
    <x:col min="9" max="9" width="18" customWidth="1"/>
    <x:col min="10" max="10" width="45.86000061035156" customWidth="1"/>
    <x:col min="11" max="11" width="30" customWidth="1"/>
    <x:col min="12" max="27" width="8.710000038146973" customWidth="1"/>
  </x:cols>
  <x:sheetData>
    <x:row r="1" ht="27.75" customHeight="1">
      <x:c r="A1" s="67" t="s">
        <x:v>253</x:v>
      </x:c>
      <x:c r="B1" s="4"/>
      <x:c r="C1" s="4"/>
      <x:c r="D1" s="4"/>
      <x:c r="E1" s="4"/>
      <x:c r="F1" s="4"/>
      <x:c r="G1" s="4"/>
      <x:c r="H1" s="4"/>
      <x:c r="I1" s="5"/>
    </x:row>
    <x:row r="2" hidden="1">
      <x:c r="A2" s="22" t="s">
        <x:v>193</x:v>
      </x:c>
      <x:c r="B2" s="4"/>
      <x:c r="C2" s="4"/>
      <x:c r="D2" s="4"/>
      <x:c r="E2" s="4"/>
      <x:c r="F2" s="4"/>
      <x:c r="G2" s="4"/>
      <x:c r="H2" s="4"/>
      <x:c r="I2" s="5"/>
    </x:row>
    <x:row r="3" hidden="1">
      <x:c r="A3" s="23" t="s">
        <x:v>50</x:v>
      </x:c>
      <x:c r="B3" s="53">
        <x:v>48.0</x:v>
      </x:c>
    </x:row>
    <x:row r="4" hidden="1">
      <x:c r="A4" s="23" t="s">
        <x:v>51</x:v>
      </x:c>
      <x:c r="B4" s="7" t="s">
        <x:v>87</x:v>
      </x:c>
    </x:row>
    <x:row r="5" hidden="1">
      <x:c r="A5" s="23" t="s">
        <x:v>52</x:v>
      </x:c>
      <x:c r="B5" s="7" t="s">
        <x:v>88</x:v>
      </x:c>
    </x:row>
    <x:row r="6" hidden="1">
      <x:c r="A6" s="23" t="s">
        <x:v>194</x:v>
      </x:c>
      <x:c r="B6" s="7" t="s">
        <x:v>195</x:v>
      </x:c>
    </x:row>
    <x:row r="7" hidden="1">
      <x:c r="A7" s="23" t="s">
        <x:v>196</x:v>
      </x:c>
      <x:c r="B7" s="7" t="s">
        <x:v>197</x:v>
      </x:c>
    </x:row>
    <x:row r="8">
      <x:c r="A8" s="23" t="s">
        <x:v>53</x:v>
      </x:c>
      <x:c r="B8" s="7" t="s">
        <x:v>138</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x:c r="A114" s="96"/>
      <x:c r="B114" s="96"/>
      <x:c r="C114" s="96"/>
      <x:c r="D114" s="96"/>
      <x:c r="E114" s="96"/>
      <x:c r="F114" s="96"/>
      <x:c r="G114" s="96"/>
      <x:c r="H114" s="97"/>
      <x:c r="I114" s="97"/>
      <x:c r="J114" s="97"/>
    </x:row>
    <x:row r="115">
      <x:c r="A115" s="96"/>
      <x:c r="B115" s="96"/>
      <x:c r="C115" s="96"/>
      <x:c r="D115" s="96"/>
      <x:c r="E115" s="96"/>
      <x:c r="F115" s="96"/>
      <x:c r="G115" s="96"/>
      <x:c r="H115" s="97"/>
      <x:c r="I115" s="97"/>
      <x:c r="J115" s="97"/>
    </x:row>
    <x:row r="116">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x:c r="A137" s="96"/>
      <x:c r="B137" s="96"/>
      <x:c r="C137" s="96"/>
      <x:c r="D137" s="96"/>
      <x:c r="E137" s="96"/>
      <x:c r="F137" s="96"/>
      <x:c r="G137" s="96"/>
      <x:c r="H137" s="97"/>
      <x:c r="I137" s="97"/>
      <x:c r="J137" s="97"/>
    </x:row>
    <x:row r="138">
      <x:c r="A138" s="96"/>
      <x:c r="B138" s="96"/>
      <x:c r="C138" s="96"/>
      <x:c r="D138" s="96"/>
      <x:c r="E138" s="96"/>
      <x:c r="F138" s="96"/>
      <x:c r="G138" s="96"/>
      <x:c r="H138" s="97"/>
      <x:c r="I138" s="97"/>
      <x:c r="J138" s="97"/>
    </x:row>
    <x:row r="139">
      <x:c r="A139"/>
      <x:c r="B139"/>
    </x:row>
    <x:row r="140">
      <x:c r="A140"/>
      <x:c r="B140"/>
    </x:row>
    <x:row r="141">
      <x:c r="A141" s="93" t="str">
        <x:v>Final expert verdict</x:v>
      </x:c>
      <x:c r="B141" s="93" t="str">
        <x:v>Final expert verdict</x:v>
      </x:c>
    </x:row>
    <x:row r="142">
      <x:c r="A142" s="96" t="str">
        <x:v>Reviewer</x:v>
      </x:c>
      <x:c r="B142" s="97" t="str"/>
    </x:row>
    <x:row r="143" ht="54" customHeight="1">
      <x:c r="A143" s="96" t="str">
        <x:v>Is the answer acceptable?</x:v>
      </x:c>
      <x:c r="B143" s="97" t="str"/>
    </x:row>
    <x:row r="144" ht="42" customHeight="1">
      <x:c r="A144" s="96" t="str">
        <x:v>Overall comment / required fixes</x:v>
      </x:c>
      <x:c r="B144" s="97" t="str"/>
    </x:row>
    <x:row r="145" ht="54" customHeight="1">
      <x:c r="A145" s="96" t="str">
        <x:v>Review completed?</x:v>
      </x:c>
      <x:c r="B145" s="97" t="str"/>
    </x:row>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x:c r="B171"/>
      <x:c r="C171"/>
      <x:c r="D171"/>
      <x:c r="E171"/>
      <x:c r="F171"/>
      <x:c r="G171"/>
      <x:c r="H171"/>
      <x:c r="I171"/>
      <x:c r="J171"/>
      <x:c r="K171" s="7"/>
    </x:row>
    <x:row r="172" ht="15.75" customHeight="1">
      <x:c r="A172"/>
      <x:c r="B172"/>
      <x:c r="C172"/>
      <x:c r="D172"/>
      <x:c r="E172"/>
      <x:c r="F172"/>
      <x:c r="G172"/>
      <x:c r="H172"/>
      <x:c r="I172"/>
      <x:c r="J172"/>
      <x:c r="K172" s="7"/>
    </x:row>
    <x:row r="173" ht="54" customHeight="1">
      <x:c r="A173"/>
      <x:c r="B173"/>
      <x:c r="C173"/>
      <x:c r="D173"/>
      <x:c r="E173"/>
      <x:c r="F173"/>
      <x:c r="G173"/>
      <x:c r="H173"/>
      <x:c r="I173"/>
      <x:c r="J173"/>
      <x:c r="K173" s="7"/>
    </x:row>
    <x:row r="174" ht="15.75" customHeight="1">
      <x:c r="A174"/>
      <x:c r="B174"/>
      <x:c r="C174"/>
      <x:c r="D174"/>
      <x:c r="E174"/>
      <x:c r="F174"/>
      <x:c r="G174"/>
      <x:c r="H174"/>
      <x:c r="I174"/>
      <x:c r="J174"/>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8:I8"/>
    <x:mergeCell ref="A9:I9"/>
    <x:mergeCell ref="A10:I10"/>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e97d708b911b4327"/>
</x:worksheet>
</file>

<file path=xl/worksheets/sheet55.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46.86000061035156" customWidth="1"/>
    <x:col min="3" max="3" width="49.86000061035156" customWidth="1"/>
    <x:col min="4" max="4" width="25.43000030517578" customWidth="1"/>
    <x:col min="5" max="5" width="48.86000061035156" customWidth="1"/>
    <x:col min="6" max="7" width="30" customWidth="1"/>
    <x:col min="8" max="8" width="30.43000030517578" customWidth="1"/>
    <x:col min="9" max="9" width="21.56999969482422" customWidth="1"/>
    <x:col min="10" max="10" width="32.56999969482422" customWidth="1"/>
    <x:col min="11" max="25" width="8.710000038146973" customWidth="1"/>
  </x:cols>
  <x:sheetData>
    <x:row r="1" ht="27.75" customHeight="1">
      <x:c r="A1" s="67" t="s">
        <x:v>254</x:v>
      </x:c>
      <x:c r="B1" s="4"/>
      <x:c r="C1" s="4"/>
      <x:c r="D1" s="4"/>
      <x:c r="E1" s="4"/>
      <x:c r="F1" s="4"/>
      <x:c r="G1" s="4"/>
      <x:c r="H1" s="4"/>
      <x:c r="I1" s="5"/>
    </x:row>
    <x:row r="2" hidden="1">
      <x:c r="A2" s="22" t="s">
        <x:v>193</x:v>
      </x:c>
      <x:c r="B2" s="4"/>
      <x:c r="C2" s="4"/>
      <x:c r="D2" s="4"/>
      <x:c r="E2" s="4"/>
      <x:c r="F2" s="4"/>
      <x:c r="G2" s="4"/>
      <x:c r="H2" s="4"/>
      <x:c r="I2" s="5"/>
    </x:row>
    <x:row r="3" hidden="1">
      <x:c r="A3" s="23" t="s">
        <x:v>50</x:v>
      </x:c>
      <x:c r="B3" s="53">
        <x:v>51.0</x:v>
      </x:c>
    </x:row>
    <x:row r="4" hidden="1">
      <x:c r="A4" s="23" t="s">
        <x:v>51</x:v>
      </x:c>
      <x:c r="B4" s="79" t="s">
        <x:v>87</x:v>
      </x:c>
    </x:row>
    <x:row r="5" hidden="1">
      <x:c r="A5" s="23" t="s">
        <x:v>52</x:v>
      </x:c>
      <x:c r="B5" s="79" t="s">
        <x:v>97</x:v>
      </x:c>
    </x:row>
    <x:row r="6" hidden="1">
      <x:c r="A6" s="23" t="s">
        <x:v>194</x:v>
      </x:c>
      <x:c r="B6" s="79" t="s">
        <x:v>223</x:v>
      </x:c>
    </x:row>
    <x:row r="7" hidden="1">
      <x:c r="A7" s="23" t="s">
        <x:v>196</x:v>
      </x:c>
      <x:c r="B7" s="79" t="s">
        <x:v>197</x:v>
      </x:c>
    </x:row>
    <x:row r="8">
      <x:c r="A8" s="23" t="s">
        <x:v>53</x:v>
      </x:c>
      <x:c r="B8" s="79" t="s">
        <x:v>142</x:v>
      </x:c>
    </x:row>
    <x:row r="9">
      <x:c r="A9" s="22" t="s">
        <x:v>210</x:v>
      </x:c>
      <x:c r="B9" s="4"/>
      <x:c r="C9" s="4"/>
      <x:c r="D9" s="4"/>
      <x:c r="E9" s="4"/>
      <x:c r="F9" s="4"/>
      <x:c r="G9" s="4"/>
      <x:c r="H9" s="4"/>
      <x:c r="I9" s="5"/>
    </x:row>
    <x:row r="10">
      <x:c r="A10" s="2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ht="15.75" customHeight="1">
      <x:c r="A114" s="96"/>
      <x:c r="B114" s="96"/>
      <x:c r="C114" s="96"/>
      <x:c r="D114" s="96"/>
      <x:c r="E114" s="96"/>
      <x:c r="F114" s="96"/>
      <x:c r="G114" s="96"/>
      <x:c r="H114" s="97"/>
      <x:c r="I114" s="97"/>
      <x:c r="J114" s="97"/>
    </x:row>
    <x:row r="115" ht="15.75" customHeight="1">
      <x:c r="A115" s="96"/>
      <x:c r="B115" s="96"/>
      <x:c r="C115" s="96"/>
      <x:c r="D115" s="96"/>
      <x:c r="E115" s="96"/>
      <x:c r="F115" s="96"/>
      <x:c r="G115" s="96"/>
      <x:c r="H115" s="97"/>
      <x:c r="I115" s="97"/>
      <x:c r="J115" s="97"/>
    </x:row>
    <x:row r="116" ht="15.75" customHeight="1">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ht="15.75" customHeight="1">
      <x:c r="A137" s="96"/>
      <x:c r="B137" s="96"/>
      <x:c r="C137" s="96"/>
      <x:c r="D137" s="96"/>
      <x:c r="E137" s="96"/>
      <x:c r="F137" s="96"/>
      <x:c r="G137" s="96"/>
      <x:c r="H137" s="97"/>
      <x:c r="I137" s="97"/>
      <x:c r="J137" s="97"/>
    </x:row>
    <x:row r="138" ht="15.75" customHeight="1">
      <x:c r="A138" s="96"/>
      <x:c r="B138" s="96"/>
      <x:c r="C138" s="96"/>
      <x:c r="D138" s="96"/>
      <x:c r="E138" s="96"/>
      <x:c r="F138" s="96"/>
      <x:c r="G138" s="96"/>
      <x:c r="H138" s="97"/>
      <x:c r="I138" s="97"/>
      <x:c r="J138" s="97"/>
    </x:row>
    <x:row r="139" ht="15.75" customHeight="1">
      <x:c r="A139"/>
      <x:c r="B139"/>
    </x:row>
    <x:row r="140" ht="15.75" customHeight="1">
      <x:c r="A140"/>
      <x:c r="B140"/>
    </x:row>
    <x:row r="141">
      <x:c r="A141" s="93" t="str">
        <x:v>Final expert verdict</x:v>
      </x:c>
      <x:c r="B141" s="93" t="str">
        <x:v>Final expert verdict</x:v>
      </x:c>
    </x:row>
    <x:row r="142" ht="15.75" customHeight="1">
      <x:c r="A142" s="96" t="str">
        <x:v>Reviewer</x:v>
      </x:c>
      <x:c r="B142" s="97" t="str"/>
    </x:row>
    <x:row r="143" ht="15.75" customHeight="1">
      <x:c r="A143" s="96" t="str">
        <x:v>Is the answer acceptable?</x:v>
      </x:c>
      <x:c r="B143" s="97" t="str"/>
    </x:row>
    <x:row r="144" ht="42" customHeight="1">
      <x:c r="A144" s="96" t="str">
        <x:v>Overall comment / required fixes</x:v>
      </x:c>
      <x:c r="B144" s="97" t="str"/>
    </x:row>
    <x:row r="145" ht="15.75" customHeight="1">
      <x:c r="A145" s="96" t="str">
        <x:v>Review completed?</x:v>
      </x:c>
      <x:c r="B145" s="97" t="str"/>
    </x:row>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05a034bb297142a9"/>
</x:worksheet>
</file>

<file path=xl/worksheets/sheet56.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56.709999084472656" customWidth="1"/>
    <x:col min="3" max="3" width="51.56999969482422" customWidth="1"/>
    <x:col min="4" max="4" width="32" customWidth="1"/>
    <x:col min="5" max="5" width="52.290000915527344" customWidth="1"/>
    <x:col min="6" max="7" width="30" customWidth="1"/>
    <x:col min="8" max="8" width="30.43000030517578" customWidth="1"/>
    <x:col min="9" max="9" width="21.56999969482422" customWidth="1"/>
    <x:col min="10" max="25" width="8.710000038146973" customWidth="1"/>
  </x:cols>
  <x:sheetData>
    <x:row r="1" ht="27.75" customHeight="1">
      <x:c r="A1" s="67" t="s">
        <x:v>255</x:v>
      </x:c>
      <x:c r="B1" s="4"/>
      <x:c r="C1" s="4"/>
      <x:c r="D1" s="4"/>
      <x:c r="E1" s="4"/>
      <x:c r="F1" s="4"/>
      <x:c r="G1" s="4"/>
      <x:c r="H1" s="4"/>
      <x:c r="I1" s="5"/>
    </x:row>
    <x:row r="2" hidden="1">
      <x:c r="A2" s="22" t="s">
        <x:v>193</x:v>
      </x:c>
      <x:c r="B2" s="4"/>
      <x:c r="C2" s="4"/>
      <x:c r="D2" s="4"/>
      <x:c r="E2" s="4"/>
      <x:c r="F2" s="4"/>
      <x:c r="G2" s="4"/>
      <x:c r="H2" s="4"/>
      <x:c r="I2" s="5"/>
    </x:row>
    <x:row r="3" hidden="1">
      <x:c r="A3" s="23" t="s">
        <x:v>50</x:v>
      </x:c>
      <x:c r="B3" s="53">
        <x:v>52.0</x:v>
      </x:c>
    </x:row>
    <x:row r="4" hidden="1">
      <x:c r="A4" s="23" t="s">
        <x:v>51</x:v>
      </x:c>
      <x:c r="B4" s="79" t="s">
        <x:v>124</x:v>
      </x:c>
    </x:row>
    <x:row r="5" hidden="1">
      <x:c r="A5" s="23" t="s">
        <x:v>52</x:v>
      </x:c>
      <x:c r="B5" s="79" t="s">
        <x:v>97</x:v>
      </x:c>
    </x:row>
    <x:row r="6" hidden="1">
      <x:c r="A6" s="23" t="s">
        <x:v>194</x:v>
      </x:c>
      <x:c r="B6" s="79" t="s">
        <x:v>223</x:v>
      </x:c>
    </x:row>
    <x:row r="7" hidden="1">
      <x:c r="A7" s="23" t="s">
        <x:v>196</x:v>
      </x:c>
      <x:c r="B7" s="79" t="s">
        <x:v>197</x:v>
      </x:c>
    </x:row>
    <x:row r="8">
      <x:c r="A8" s="23" t="s">
        <x:v>53</x:v>
      </x:c>
      <x:c r="B8" s="79" t="s">
        <x:v>143</x:v>
      </x:c>
    </x:row>
    <x:row r="9">
      <x:c r="A9" s="23" t="s">
        <x:v>198</x:v>
      </x:c>
      <x:c r="B9" s="7"/>
      <x:c r="C9" s="23" t="s">
        <x:v>199</x:v>
      </x:c>
      <x:c r="D9" s="7"/>
      <x:c r="E9" s="23"/>
      <x:c r="F9" s="7"/>
      <x:c r="G9" s="7"/>
      <x:c r="H9" s="23"/>
      <x:c r="I9" s="7"/>
    </x:row>
    <x:row r="10">
      <x:c r="A10" s="22"/>
      <x:c r="B10" s="4"/>
      <x:c r="C10" s="4"/>
      <x:c r="D10" s="4"/>
      <x:c r="E10" s="4"/>
      <x:c r="F10" s="4"/>
      <x:c r="G10" s="4"/>
      <x:c r="H10" s="4"/>
      <x:c r="I10" s="5"/>
    </x:row>
    <x:row r="11">
      <x:c r="A11" s="93" t="str">
        <x:v>Notes</x:v>
      </x:c>
      <x:c r="B11" s="93" t="str">
        <x:v>Notes</x:v>
      </x:c>
      <x:c r="C11" s="93" t="str">
        <x:v>Notes</x:v>
      </x:c>
      <x:c r="D11" s="93" t="str">
        <x:v>Notes</x:v>
      </x:c>
      <x:c r="E11" s="93" t="str">
        <x:v>Notes</x:v>
      </x:c>
      <x:c r="F11" s="93" t="str">
        <x:v>Notes</x:v>
      </x:c>
      <x:c r="G11" s="93" t="str">
        <x:v>Notes</x:v>
      </x:c>
      <x:c r="H11" s="93" t="str">
        <x:v>Notes</x:v>
      </x:c>
      <x:c r="I11" s="93" t="str">
        <x:v>Notes</x:v>
      </x:c>
      <x:c r="J11" s="93" t="str">
        <x:v>Notes</x:v>
      </x:c>
    </x:row>
    <x:row r="12">
      <x:c r="A12" s="96" t="str">
        <x:v>Run ID</x:v>
      </x:c>
      <x:c r="B12" s="97" t="str"/>
      <x:c r="C12" s="96" t="str">
        <x:v>Run date</x:v>
      </x:c>
      <x:c r="D12" s="97" t="str"/>
      <x:c r="E12" s="96" t="str">
        <x:v>Model / prompt version</x:v>
      </x:c>
      <x:c r="F12" s="97" t="str"/>
      <x:c r="G12" s="96" t="str">
        <x:v>Corpus snapshot</x:v>
      </x:c>
      <x:c r="H12" s="97" t="str"/>
    </x:row>
    <x:row r="13" ht="44" customHeight="1">
      <x:c r="A13" s="97"/>
      <x:c r="B13" s="97"/>
      <x:c r="C13" s="97"/>
      <x:c r="D13" s="97"/>
      <x:c r="E13" s="97"/>
      <x:c r="F13" s="97"/>
      <x:c r="G13" s="97"/>
      <x:c r="H13" s="97"/>
      <x:c r="I13" s="97"/>
      <x:c r="J13" s="97"/>
    </x:row>
    <x:row r="14">
      <x:c r="A14" s="93" t="str">
        <x:v>Claim-by-claim review</x:v>
      </x:c>
      <x:c r="B14" s="93" t="str">
        <x:v>Claim-by-claim review</x:v>
      </x:c>
      <x:c r="C14" s="93" t="str">
        <x:v>Claim-by-claim review</x:v>
      </x:c>
      <x:c r="D14" s="93" t="str">
        <x:v>Claim-by-claim review</x:v>
      </x:c>
      <x:c r="E14" s="93" t="str">
        <x:v>Claim-by-claim review</x:v>
      </x:c>
      <x:c r="F14" s="93" t="str">
        <x:v>Claim-by-claim review</x:v>
      </x:c>
      <x:c r="G14" s="93" t="str">
        <x:v>Claim-by-claim review</x:v>
      </x:c>
      <x:c r="H14" s="93" t="str">
        <x:v>Claim-by-claim review</x:v>
      </x:c>
      <x:c r="I14" s="93" t="str">
        <x:v>Claim-by-claim review</x:v>
      </x:c>
      <x:c r="J14" s="93" t="str">
        <x:v>Claim-by-claim review</x:v>
      </x:c>
    </x:row>
    <x:row r="15">
      <x:c r="A15" s="105" t="str">
        <x:v>Claim ID</x:v>
      </x:c>
      <x:c r="B15" s="105" t="str">
        <x:v>Claim from answer</x:v>
      </x:c>
      <x:c r="C15" s="105" t="str">
        <x:v>Cited document</x:v>
      </x:c>
      <x:c r="D15" s="105" t="str">
        <x:v>Expert verdict</x:v>
      </x:c>
      <x:c r="E15" s="105" t="str">
        <x:v>Cited passage</x:v>
      </x:c>
      <x:c r="F15" s="105" t="str">
        <x:v>Required fix / comment</x:v>
      </x:c>
      <x:c r="G15"/>
      <x:c r="H15"/>
      <x:c r="I15"/>
      <x:c r="J15"/>
    </x:row>
    <x:row r="16">
      <x:c r="A16" s="96" t="n">
        <x:v>1</x:v>
      </x:c>
      <x:c r="B16" s="96"/>
      <x:c r="C16" s="96"/>
      <x:c r="D16" s="97"/>
      <x:c r="E16" s="96"/>
      <x:c r="F16" s="97"/>
      <x:c r="G16"/>
      <x:c r="H16"/>
      <x:c r="I16"/>
      <x:c r="J16"/>
    </x:row>
    <x:row r="17">
      <x:c r="A17" s="96" t="n">
        <x:v>2</x:v>
      </x:c>
      <x:c r="B17" s="96"/>
      <x:c r="C17" s="96"/>
      <x:c r="D17" s="97"/>
      <x:c r="E17" s="96"/>
      <x:c r="F17" s="97"/>
      <x:c r="G17"/>
      <x:c r="H17"/>
      <x:c r="I17"/>
      <x:c r="J17"/>
    </x:row>
    <x:row r="18">
      <x:c r="A18" s="96" t="n">
        <x:v>3</x:v>
      </x:c>
      <x:c r="B18" s="96"/>
      <x:c r="C18" s="96"/>
      <x:c r="D18" s="97"/>
      <x:c r="E18" s="96"/>
      <x:c r="F18" s="97"/>
      <x:c r="G18"/>
      <x:c r="H18"/>
      <x:c r="I18"/>
      <x:c r="J18"/>
    </x:row>
    <x:row r="19">
      <x:c r="A19" s="96" t="n">
        <x:v>4</x:v>
      </x:c>
      <x:c r="B19" s="96"/>
      <x:c r="C19" s="96"/>
      <x:c r="D19" s="97"/>
      <x:c r="E19" s="96"/>
      <x:c r="F19" s="97"/>
      <x:c r="G19"/>
      <x:c r="H19"/>
      <x:c r="I19"/>
      <x:c r="J19"/>
    </x:row>
    <x:row r="20">
      <x:c r="A20" s="96" t="n">
        <x:v>5</x:v>
      </x:c>
      <x:c r="B20" s="96"/>
      <x:c r="C20" s="96"/>
      <x:c r="D20" s="97"/>
      <x:c r="E20" s="96"/>
      <x:c r="F20" s="97"/>
      <x:c r="G20"/>
      <x:c r="H20"/>
      <x:c r="I20"/>
      <x:c r="J20"/>
    </x:row>
    <x:row r="21">
      <x:c r="A21" s="96" t="n">
        <x:v>6</x:v>
      </x:c>
      <x:c r="B21" s="96"/>
      <x:c r="C21" s="96"/>
      <x:c r="D21" s="97"/>
      <x:c r="E21" s="96"/>
      <x:c r="F21" s="97"/>
      <x:c r="G21"/>
      <x:c r="H21"/>
      <x:c r="I21"/>
      <x:c r="J21"/>
    </x:row>
    <x:row r="22">
      <x:c r="A22" s="96" t="n">
        <x:v>7</x:v>
      </x:c>
      <x:c r="B22" s="96"/>
      <x:c r="C22" s="96"/>
      <x:c r="D22" s="97"/>
      <x:c r="E22" s="96"/>
      <x:c r="F22" s="97"/>
      <x:c r="G22"/>
      <x:c r="H22"/>
      <x:c r="I22"/>
      <x:c r="J22"/>
    </x:row>
    <x:row r="23">
      <x:c r="A23" s="96" t="n">
        <x:v>8</x:v>
      </x:c>
      <x:c r="B23" s="96"/>
      <x:c r="C23" s="96"/>
      <x:c r="D23" s="97"/>
      <x:c r="E23" s="96"/>
      <x:c r="F23" s="97"/>
      <x:c r="G23"/>
      <x:c r="H23"/>
      <x:c r="I23"/>
      <x:c r="J23"/>
    </x:row>
    <x:row r="24">
      <x:c r="A24" s="96" t="n">
        <x:v>9</x:v>
      </x:c>
      <x:c r="B24" s="96"/>
      <x:c r="C24" s="96"/>
      <x:c r="D24" s="97"/>
      <x:c r="E24" s="96"/>
      <x:c r="F24" s="97"/>
      <x:c r="G24"/>
      <x:c r="H24"/>
      <x:c r="I24"/>
      <x:c r="J24"/>
    </x:row>
    <x:row r="25">
      <x:c r="A25" s="96" t="n">
        <x:v>10</x:v>
      </x:c>
      <x:c r="B25" s="96"/>
      <x:c r="C25" s="96"/>
      <x:c r="D25" s="97"/>
      <x:c r="E25" s="96"/>
      <x:c r="F25" s="97"/>
      <x:c r="G25"/>
      <x:c r="H25"/>
      <x:c r="I25"/>
      <x:c r="J25"/>
    </x:row>
    <x:row r="26">
      <x:c r="A26" s="96" t="n">
        <x:v>11</x:v>
      </x:c>
      <x:c r="B26" s="96"/>
      <x:c r="C26" s="96"/>
      <x:c r="D26" s="97"/>
      <x:c r="E26" s="96"/>
      <x:c r="F26" s="97"/>
      <x:c r="G26"/>
      <x:c r="H26"/>
      <x:c r="I26"/>
      <x:c r="J26"/>
    </x:row>
    <x:row r="27">
      <x:c r="A27" s="96" t="n">
        <x:v>12</x:v>
      </x:c>
      <x:c r="B27" s="96"/>
      <x:c r="C27" s="96"/>
      <x:c r="D27" s="97"/>
      <x:c r="E27" s="96"/>
      <x:c r="F27" s="97"/>
      <x:c r="G27"/>
      <x:c r="H27"/>
      <x:c r="I27"/>
      <x:c r="J27"/>
    </x:row>
    <x:row r="28">
      <x:c r="A28" s="96" t="n">
        <x:v>13</x:v>
      </x:c>
      <x:c r="B28" s="96"/>
      <x:c r="C28" s="96"/>
      <x:c r="D28" s="97"/>
      <x:c r="E28" s="96"/>
      <x:c r="F28" s="97"/>
      <x:c r="G28"/>
      <x:c r="H28"/>
      <x:c r="I28"/>
      <x:c r="J28"/>
    </x:row>
    <x:row r="29">
      <x:c r="A29" s="96" t="n">
        <x:v>14</x:v>
      </x:c>
      <x:c r="B29" s="96"/>
      <x:c r="C29" s="96"/>
      <x:c r="D29" s="97"/>
      <x:c r="E29" s="96"/>
      <x:c r="F29" s="97"/>
      <x:c r="G29"/>
      <x:c r="H29"/>
      <x:c r="I29"/>
      <x:c r="J29"/>
    </x:row>
    <x:row r="30">
      <x:c r="A30" s="96" t="n">
        <x:v>15</x:v>
      </x:c>
      <x:c r="B30" s="96"/>
      <x:c r="C30" s="96"/>
      <x:c r="D30" s="97"/>
      <x:c r="E30" s="96"/>
      <x:c r="F30" s="97"/>
      <x:c r="G30"/>
      <x:c r="H30"/>
      <x:c r="I30"/>
      <x:c r="J30"/>
    </x:row>
    <x:row r="31">
      <x:c r="A31" s="96" t="n">
        <x:v>16</x:v>
      </x:c>
      <x:c r="B31" s="96"/>
      <x:c r="C31" s="96"/>
      <x:c r="D31" s="97"/>
      <x:c r="E31" s="96"/>
      <x:c r="F31" s="97"/>
      <x:c r="G31"/>
      <x:c r="H31"/>
      <x:c r="I31"/>
      <x:c r="J31"/>
    </x:row>
    <x:row r="32">
      <x:c r="A32" s="96" t="n">
        <x:v>17</x:v>
      </x:c>
      <x:c r="B32" s="96"/>
      <x:c r="C32" s="96"/>
      <x:c r="D32" s="97"/>
      <x:c r="E32" s="96"/>
      <x:c r="F32" s="97"/>
      <x:c r="G32"/>
      <x:c r="H32"/>
      <x:c r="I32"/>
      <x:c r="J32"/>
    </x:row>
    <x:row r="33">
      <x:c r="A33" s="96" t="n">
        <x:v>18</x:v>
      </x:c>
      <x:c r="B33" s="96"/>
      <x:c r="C33" s="96"/>
      <x:c r="D33" s="97"/>
      <x:c r="E33" s="96"/>
      <x:c r="F33" s="97"/>
      <x:c r="G33"/>
      <x:c r="H33"/>
      <x:c r="I33"/>
      <x:c r="J33"/>
    </x:row>
    <x:row r="34">
      <x:c r="A34" s="96" t="n">
        <x:v>19</x:v>
      </x:c>
      <x:c r="B34" s="96"/>
      <x:c r="C34" s="96"/>
      <x:c r="D34" s="97"/>
      <x:c r="E34" s="96"/>
      <x:c r="F34" s="97"/>
      <x:c r="G34"/>
      <x:c r="H34"/>
      <x:c r="I34"/>
      <x:c r="J34"/>
    </x:row>
    <x:row r="35">
      <x:c r="A35" s="96" t="n">
        <x:v>20</x:v>
      </x:c>
      <x:c r="B35" s="96"/>
      <x:c r="C35" s="96"/>
      <x:c r="D35" s="97"/>
      <x:c r="E35" s="96"/>
      <x:c r="F35" s="97"/>
      <x:c r="G35"/>
      <x:c r="H35"/>
      <x:c r="I35"/>
      <x:c r="J35"/>
    </x:row>
    <x:row r="36">
      <x:c r="A36"/>
      <x:c r="B36"/>
      <x:c r="C36"/>
      <x:c r="D36"/>
      <x:c r="E36"/>
      <x:c r="F36"/>
      <x:c r="G36"/>
      <x:c r="H36"/>
      <x:c r="I36"/>
      <x:c r="J36"/>
    </x:row>
    <x:row r="37">
      <x:c r="A37" s="93" t="str">
        <x:v>Retrieval set review (full ranked list)</x:v>
      </x:c>
      <x:c r="B37" s="93" t="str">
        <x:v>Retrieval set review (full ranked list)</x:v>
      </x:c>
      <x:c r="C37" s="93" t="str">
        <x:v>Retrieval set review (full ranked list)</x:v>
      </x:c>
      <x:c r="D37" s="93" t="str">
        <x:v>Retrieval set review (full ranked list)</x:v>
      </x:c>
      <x:c r="E37" s="93" t="str">
        <x:v>Retrieval set review (full ranked list)</x:v>
      </x:c>
      <x:c r="F37" s="93" t="str">
        <x:v>Retrieval set review (full ranked list)</x:v>
      </x:c>
      <x:c r="G37" s="93" t="str">
        <x:v>Retrieval set review (full ranked list)</x:v>
      </x:c>
      <x:c r="H37" s="93" t="str">
        <x:v>Retrieval set review (full ranked list)</x:v>
      </x:c>
      <x:c r="I37" s="93" t="str">
        <x:v>Retrieval set review (full ranked list)</x:v>
      </x:c>
      <x:c r="J37" s="93" t="str">
        <x:v>Retrieval set review (full ranked list)</x:v>
      </x:c>
    </x:row>
    <x:row r="38">
      <x:c r="A38" s="105" t="str">
        <x:v>Rank</x:v>
      </x:c>
      <x:c r="B38" s="105" t="str">
        <x:v>Title</x:v>
      </x:c>
      <x:c r="C38" s="105" t="str">
        <x:v>Document name</x:v>
      </x:c>
      <x:c r="D38" s="105" t="str">
        <x:v>Document class</x:v>
      </x:c>
      <x:c r="E38" s="105" t="str">
        <x:v>Issued by</x:v>
      </x:c>
      <x:c r="F38" s="105" t="str">
        <x:v>Jurisdiction</x:v>
      </x:c>
      <x:c r="G38" s="105" t="str">
        <x:v>Cited in answer</x:v>
      </x:c>
      <x:c r="H38" s="105" t="str">
        <x:v>Required source?</x:v>
      </x:c>
      <x:c r="I38" s="105" t="str">
        <x:v>Expert verdict</x:v>
      </x:c>
      <x:c r="J38" s="105" t="str">
        <x:v>Notes</x:v>
      </x:c>
    </x:row>
    <x:row r="39">
      <x:c r="A39" s="96"/>
      <x:c r="B39" s="96"/>
      <x:c r="C39" s="96"/>
      <x:c r="D39" s="96"/>
      <x:c r="E39" s="96"/>
      <x:c r="F39" s="96"/>
      <x:c r="G39" s="96"/>
      <x:c r="H39" s="97"/>
      <x:c r="I39" s="97"/>
      <x:c r="J39" s="97"/>
    </x:row>
    <x:row r="40">
      <x:c r="A40" s="96"/>
      <x:c r="B40" s="96"/>
      <x:c r="C40" s="96"/>
      <x:c r="D40" s="96"/>
      <x:c r="E40" s="96"/>
      <x:c r="F40" s="96"/>
      <x:c r="G40" s="96"/>
      <x:c r="H40" s="97"/>
      <x:c r="I40" s="97"/>
      <x:c r="J40" s="97"/>
    </x:row>
    <x:row r="41">
      <x:c r="A41" s="96"/>
      <x:c r="B41" s="96"/>
      <x:c r="C41" s="96"/>
      <x:c r="D41" s="96"/>
      <x:c r="E41" s="96"/>
      <x:c r="F41" s="96"/>
      <x:c r="G41" s="96"/>
      <x:c r="H41" s="97"/>
      <x:c r="I41" s="97"/>
      <x:c r="J41" s="97"/>
    </x:row>
    <x:row r="42">
      <x:c r="A42" s="96"/>
      <x:c r="B42" s="96"/>
      <x:c r="C42" s="96"/>
      <x:c r="D42" s="96"/>
      <x:c r="E42" s="96"/>
      <x:c r="F42" s="96"/>
      <x:c r="G42" s="96"/>
      <x:c r="H42" s="97"/>
      <x:c r="I42" s="97"/>
      <x:c r="J42" s="97"/>
    </x:row>
    <x:row r="43">
      <x:c r="A43" s="96"/>
      <x:c r="B43" s="96"/>
      <x:c r="C43" s="96"/>
      <x:c r="D43" s="96"/>
      <x:c r="E43" s="96"/>
      <x:c r="F43" s="96"/>
      <x:c r="G43" s="96"/>
      <x:c r="H43" s="97"/>
      <x:c r="I43" s="97"/>
      <x:c r="J43" s="97"/>
    </x:row>
    <x:row r="44">
      <x:c r="A44" s="96"/>
      <x:c r="B44" s="96"/>
      <x:c r="C44" s="96"/>
      <x:c r="D44" s="96"/>
      <x:c r="E44" s="96"/>
      <x:c r="F44" s="96"/>
      <x:c r="G44" s="96"/>
      <x:c r="H44" s="97"/>
      <x:c r="I44" s="97"/>
      <x:c r="J44" s="97"/>
    </x:row>
    <x:row r="45">
      <x:c r="A45" s="96"/>
      <x:c r="B45" s="96"/>
      <x:c r="C45" s="96"/>
      <x:c r="D45" s="96"/>
      <x:c r="E45" s="96"/>
      <x:c r="F45" s="96"/>
      <x:c r="G45" s="96"/>
      <x:c r="H45" s="97"/>
      <x:c r="I45" s="97"/>
      <x:c r="J45" s="97"/>
    </x:row>
    <x:row r="46">
      <x:c r="A46" s="96"/>
      <x:c r="B46" s="96"/>
      <x:c r="C46" s="96"/>
      <x:c r="D46" s="96"/>
      <x:c r="E46" s="96"/>
      <x:c r="F46" s="96"/>
      <x:c r="G46" s="96"/>
      <x:c r="H46" s="97"/>
      <x:c r="I46" s="97"/>
      <x:c r="J46" s="97"/>
    </x:row>
    <x:row r="47">
      <x:c r="A47" s="96"/>
      <x:c r="B47" s="96"/>
      <x:c r="C47" s="96"/>
      <x:c r="D47" s="96"/>
      <x:c r="E47" s="96"/>
      <x:c r="F47" s="96"/>
      <x:c r="G47" s="96"/>
      <x:c r="H47" s="97"/>
      <x:c r="I47" s="97"/>
      <x:c r="J47" s="97"/>
    </x:row>
    <x:row r="48">
      <x:c r="A48" s="96"/>
      <x:c r="B48" s="96"/>
      <x:c r="C48" s="96"/>
      <x:c r="D48" s="96"/>
      <x:c r="E48" s="96"/>
      <x:c r="F48" s="96"/>
      <x:c r="G48" s="96"/>
      <x:c r="H48" s="97"/>
      <x:c r="I48" s="97"/>
      <x:c r="J48" s="97"/>
    </x:row>
    <x:row r="49">
      <x:c r="A49" s="96"/>
      <x:c r="B49" s="96"/>
      <x:c r="C49" s="96"/>
      <x:c r="D49" s="96"/>
      <x:c r="E49" s="96"/>
      <x:c r="F49" s="96"/>
      <x:c r="G49" s="96"/>
      <x:c r="H49" s="97"/>
      <x:c r="I49" s="97"/>
      <x:c r="J49" s="97"/>
    </x:row>
    <x:row r="50">
      <x:c r="A50" s="96"/>
      <x:c r="B50" s="96"/>
      <x:c r="C50" s="96"/>
      <x:c r="D50" s="96"/>
      <x:c r="E50" s="96"/>
      <x:c r="F50" s="96"/>
      <x:c r="G50" s="96"/>
      <x:c r="H50" s="97"/>
      <x:c r="I50" s="97"/>
      <x:c r="J50" s="97"/>
    </x:row>
    <x:row r="51">
      <x:c r="A51" s="96"/>
      <x:c r="B51" s="96"/>
      <x:c r="C51" s="96"/>
      <x:c r="D51" s="96"/>
      <x:c r="E51" s="96"/>
      <x:c r="F51" s="96"/>
      <x:c r="G51" s="96"/>
      <x:c r="H51" s="97"/>
      <x:c r="I51" s="97"/>
      <x:c r="J51" s="97"/>
    </x:row>
    <x:row r="52">
      <x:c r="A52" s="96"/>
      <x:c r="B52" s="96"/>
      <x:c r="C52" s="96"/>
      <x:c r="D52" s="96"/>
      <x:c r="E52" s="96"/>
      <x:c r="F52" s="96"/>
      <x:c r="G52" s="96"/>
      <x:c r="H52" s="97"/>
      <x:c r="I52" s="97"/>
      <x:c r="J52" s="97"/>
    </x:row>
    <x:row r="53">
      <x:c r="A53" s="96"/>
      <x:c r="B53" s="96"/>
      <x:c r="C53" s="96"/>
      <x:c r="D53" s="96"/>
      <x:c r="E53" s="96"/>
      <x:c r="F53" s="96"/>
      <x:c r="G53" s="96"/>
      <x:c r="H53" s="97"/>
      <x:c r="I53" s="97"/>
      <x:c r="J53" s="97"/>
    </x:row>
    <x:row r="54">
      <x:c r="A54" s="96"/>
      <x:c r="B54" s="96"/>
      <x:c r="C54" s="96"/>
      <x:c r="D54" s="96"/>
      <x:c r="E54" s="96"/>
      <x:c r="F54" s="96"/>
      <x:c r="G54" s="96"/>
      <x:c r="H54" s="97"/>
      <x:c r="I54" s="97"/>
      <x:c r="J54" s="97"/>
    </x:row>
    <x:row r="55">
      <x:c r="A55" s="96"/>
      <x:c r="B55" s="96"/>
      <x:c r="C55" s="96"/>
      <x:c r="D55" s="96"/>
      <x:c r="E55" s="96"/>
      <x:c r="F55" s="96"/>
      <x:c r="G55" s="96"/>
      <x:c r="H55" s="97"/>
      <x:c r="I55" s="97"/>
      <x:c r="J55" s="97"/>
    </x:row>
    <x:row r="56">
      <x:c r="A56" s="96"/>
      <x:c r="B56" s="96"/>
      <x:c r="C56" s="96"/>
      <x:c r="D56" s="96"/>
      <x:c r="E56" s="96"/>
      <x:c r="F56" s="96"/>
      <x:c r="G56" s="96"/>
      <x:c r="H56" s="97"/>
      <x:c r="I56" s="97"/>
      <x:c r="J56" s="97"/>
    </x:row>
    <x:row r="57">
      <x:c r="A57" s="96"/>
      <x:c r="B57" s="96"/>
      <x:c r="C57" s="96"/>
      <x:c r="D57" s="96"/>
      <x:c r="E57" s="96"/>
      <x:c r="F57" s="96"/>
      <x:c r="G57" s="96"/>
      <x:c r="H57" s="97"/>
      <x:c r="I57" s="97"/>
      <x:c r="J57" s="97"/>
    </x:row>
    <x:row r="58">
      <x:c r="A58" s="96"/>
      <x:c r="B58" s="96"/>
      <x:c r="C58" s="96"/>
      <x:c r="D58" s="96"/>
      <x:c r="E58" s="96"/>
      <x:c r="F58" s="96"/>
      <x:c r="G58" s="96"/>
      <x:c r="H58" s="97"/>
      <x:c r="I58" s="97"/>
      <x:c r="J58" s="97"/>
    </x:row>
    <x:row r="59">
      <x:c r="A59" s="96"/>
      <x:c r="B59" s="96"/>
      <x:c r="C59" s="96"/>
      <x:c r="D59" s="96"/>
      <x:c r="E59" s="96"/>
      <x:c r="F59" s="96"/>
      <x:c r="G59" s="96"/>
      <x:c r="H59" s="97"/>
      <x:c r="I59" s="97"/>
      <x:c r="J59" s="97"/>
    </x:row>
    <x:row r="60">
      <x:c r="A60" s="96"/>
      <x:c r="B60" s="96"/>
      <x:c r="C60" s="96"/>
      <x:c r="D60" s="96"/>
      <x:c r="E60" s="96"/>
      <x:c r="F60" s="96"/>
      <x:c r="G60" s="96"/>
      <x:c r="H60" s="97"/>
      <x:c r="I60" s="97"/>
      <x:c r="J60" s="97"/>
    </x:row>
    <x:row r="61">
      <x:c r="A61" s="96"/>
      <x:c r="B61" s="96"/>
      <x:c r="C61" s="96"/>
      <x:c r="D61" s="96"/>
      <x:c r="E61" s="96"/>
      <x:c r="F61" s="96"/>
      <x:c r="G61" s="96"/>
      <x:c r="H61" s="97"/>
      <x:c r="I61" s="97"/>
      <x:c r="J61" s="97"/>
    </x:row>
    <x:row r="62">
      <x:c r="A62" s="96"/>
      <x:c r="B62" s="96"/>
      <x:c r="C62" s="96"/>
      <x:c r="D62" s="96"/>
      <x:c r="E62" s="96"/>
      <x:c r="F62" s="96"/>
      <x:c r="G62" s="96"/>
      <x:c r="H62" s="97"/>
      <x:c r="I62" s="97"/>
      <x:c r="J62" s="97"/>
    </x:row>
    <x:row r="63">
      <x:c r="A63" s="96"/>
      <x:c r="B63" s="96"/>
      <x:c r="C63" s="96"/>
      <x:c r="D63" s="96"/>
      <x:c r="E63" s="96"/>
      <x:c r="F63" s="96"/>
      <x:c r="G63" s="96"/>
      <x:c r="H63" s="97"/>
      <x:c r="I63" s="97"/>
      <x:c r="J63" s="97"/>
    </x:row>
    <x:row r="64">
      <x:c r="A64" s="96"/>
      <x:c r="B64" s="96"/>
      <x:c r="C64" s="96"/>
      <x:c r="D64" s="96"/>
      <x:c r="E64" s="96"/>
      <x:c r="F64" s="96"/>
      <x:c r="G64" s="96"/>
      <x:c r="H64" s="97"/>
      <x:c r="I64" s="97"/>
      <x:c r="J64" s="97"/>
    </x:row>
    <x:row r="65">
      <x:c r="A65" s="96"/>
      <x:c r="B65" s="96"/>
      <x:c r="C65" s="96"/>
      <x:c r="D65" s="96"/>
      <x:c r="E65" s="96"/>
      <x:c r="F65" s="96"/>
      <x:c r="G65" s="96"/>
      <x:c r="H65" s="97"/>
      <x:c r="I65" s="97"/>
      <x:c r="J65" s="97"/>
    </x:row>
    <x:row r="66">
      <x:c r="A66" s="96"/>
      <x:c r="B66" s="96"/>
      <x:c r="C66" s="96"/>
      <x:c r="D66" s="96"/>
      <x:c r="E66" s="96"/>
      <x:c r="F66" s="96"/>
      <x:c r="G66" s="96"/>
      <x:c r="H66" s="97"/>
      <x:c r="I66" s="97"/>
      <x:c r="J66" s="97"/>
    </x:row>
    <x:row r="67">
      <x:c r="A67" s="96"/>
      <x:c r="B67" s="96"/>
      <x:c r="C67" s="96"/>
      <x:c r="D67" s="96"/>
      <x:c r="E67" s="96"/>
      <x:c r="F67" s="96"/>
      <x:c r="G67" s="96"/>
      <x:c r="H67" s="97"/>
      <x:c r="I67" s="97"/>
      <x:c r="J67" s="97"/>
    </x:row>
    <x:row r="68">
      <x:c r="A68" s="96"/>
      <x:c r="B68" s="96"/>
      <x:c r="C68" s="96"/>
      <x:c r="D68" s="96"/>
      <x:c r="E68" s="96"/>
      <x:c r="F68" s="96"/>
      <x:c r="G68" s="96"/>
      <x:c r="H68" s="97"/>
      <x:c r="I68" s="97"/>
      <x:c r="J68" s="97"/>
    </x:row>
    <x:row r="69">
      <x:c r="A69" s="96"/>
      <x:c r="B69" s="96"/>
      <x:c r="C69" s="96"/>
      <x:c r="D69" s="96"/>
      <x:c r="E69" s="96"/>
      <x:c r="F69" s="96"/>
      <x:c r="G69" s="96"/>
      <x:c r="H69" s="97"/>
      <x:c r="I69" s="97"/>
      <x:c r="J69" s="97"/>
    </x:row>
    <x:row r="70">
      <x:c r="A70" s="96"/>
      <x:c r="B70" s="96"/>
      <x:c r="C70" s="96"/>
      <x:c r="D70" s="96"/>
      <x:c r="E70" s="96"/>
      <x:c r="F70" s="96"/>
      <x:c r="G70" s="96"/>
      <x:c r="H70" s="97"/>
      <x:c r="I70" s="97"/>
      <x:c r="J70" s="97"/>
    </x:row>
    <x:row r="71">
      <x:c r="A71" s="96"/>
      <x:c r="B71" s="96"/>
      <x:c r="C71" s="96"/>
      <x:c r="D71" s="96"/>
      <x:c r="E71" s="96"/>
      <x:c r="F71" s="96"/>
      <x:c r="G71" s="96"/>
      <x:c r="H71" s="97"/>
      <x:c r="I71" s="97"/>
      <x:c r="J71" s="97"/>
    </x:row>
    <x:row r="72">
      <x:c r="A72" s="96"/>
      <x:c r="B72" s="96"/>
      <x:c r="C72" s="96"/>
      <x:c r="D72" s="96"/>
      <x:c r="E72" s="96"/>
      <x:c r="F72" s="96"/>
      <x:c r="G72" s="96"/>
      <x:c r="H72" s="97"/>
      <x:c r="I72" s="97"/>
      <x:c r="J72" s="97"/>
    </x:row>
    <x:row r="73">
      <x:c r="A73" s="96"/>
      <x:c r="B73" s="96"/>
      <x:c r="C73" s="96"/>
      <x:c r="D73" s="96"/>
      <x:c r="E73" s="96"/>
      <x:c r="F73" s="96"/>
      <x:c r="G73" s="96"/>
      <x:c r="H73" s="97"/>
      <x:c r="I73" s="97"/>
      <x:c r="J73" s="97"/>
    </x:row>
    <x:row r="74">
      <x:c r="A74" s="96"/>
      <x:c r="B74" s="96"/>
      <x:c r="C74" s="96"/>
      <x:c r="D74" s="96"/>
      <x:c r="E74" s="96"/>
      <x:c r="F74" s="96"/>
      <x:c r="G74" s="96"/>
      <x:c r="H74" s="97"/>
      <x:c r="I74" s="97"/>
      <x:c r="J74" s="97"/>
    </x:row>
    <x:row r="75">
      <x:c r="A75" s="96"/>
      <x:c r="B75" s="96"/>
      <x:c r="C75" s="96"/>
      <x:c r="D75" s="96"/>
      <x:c r="E75" s="96"/>
      <x:c r="F75" s="96"/>
      <x:c r="G75" s="96"/>
      <x:c r="H75" s="97"/>
      <x:c r="I75" s="97"/>
      <x:c r="J75" s="97"/>
    </x:row>
    <x:row r="76">
      <x:c r="A76" s="96"/>
      <x:c r="B76" s="96"/>
      <x:c r="C76" s="96"/>
      <x:c r="D76" s="96"/>
      <x:c r="E76" s="96"/>
      <x:c r="F76" s="96"/>
      <x:c r="G76" s="96"/>
      <x:c r="H76" s="97"/>
      <x:c r="I76" s="97"/>
      <x:c r="J76" s="97"/>
    </x:row>
    <x:row r="77">
      <x:c r="A77" s="96"/>
      <x:c r="B77" s="96"/>
      <x:c r="C77" s="96"/>
      <x:c r="D77" s="96"/>
      <x:c r="E77" s="96"/>
      <x:c r="F77" s="96"/>
      <x:c r="G77" s="96"/>
      <x:c r="H77" s="97"/>
      <x:c r="I77" s="97"/>
      <x:c r="J77" s="97"/>
    </x:row>
    <x:row r="78">
      <x:c r="A78" s="96"/>
      <x:c r="B78" s="96"/>
      <x:c r="C78" s="96"/>
      <x:c r="D78" s="96"/>
      <x:c r="E78" s="96"/>
      <x:c r="F78" s="96"/>
      <x:c r="G78" s="96"/>
      <x:c r="H78" s="97"/>
      <x:c r="I78" s="97"/>
      <x:c r="J78" s="97"/>
    </x:row>
    <x:row r="79">
      <x:c r="A79" s="96"/>
      <x:c r="B79" s="96"/>
      <x:c r="C79" s="96"/>
      <x:c r="D79" s="96"/>
      <x:c r="E79" s="96"/>
      <x:c r="F79" s="96"/>
      <x:c r="G79" s="96"/>
      <x:c r="H79" s="97"/>
      <x:c r="I79" s="97"/>
      <x:c r="J79" s="97"/>
    </x:row>
    <x:row r="80">
      <x:c r="A80" s="96"/>
      <x:c r="B80" s="96"/>
      <x:c r="C80" s="96"/>
      <x:c r="D80" s="96"/>
      <x:c r="E80" s="96"/>
      <x:c r="F80" s="96"/>
      <x:c r="G80" s="96"/>
      <x:c r="H80" s="97"/>
      <x:c r="I80" s="97"/>
      <x:c r="J80" s="97"/>
    </x:row>
    <x:row r="81">
      <x:c r="A81" s="96"/>
      <x:c r="B81" s="96"/>
      <x:c r="C81" s="96"/>
      <x:c r="D81" s="96"/>
      <x:c r="E81" s="96"/>
      <x:c r="F81" s="96"/>
      <x:c r="G81" s="96"/>
      <x:c r="H81" s="97"/>
      <x:c r="I81" s="97"/>
      <x:c r="J81" s="97"/>
    </x:row>
    <x:row r="82">
      <x:c r="A82" s="96"/>
      <x:c r="B82" s="96"/>
      <x:c r="C82" s="96"/>
      <x:c r="D82" s="96"/>
      <x:c r="E82" s="96"/>
      <x:c r="F82" s="96"/>
      <x:c r="G82" s="96"/>
      <x:c r="H82" s="97"/>
      <x:c r="I82" s="97"/>
      <x:c r="J82" s="97"/>
    </x:row>
    <x:row r="83">
      <x:c r="A83" s="96"/>
      <x:c r="B83" s="96"/>
      <x:c r="C83" s="96"/>
      <x:c r="D83" s="96"/>
      <x:c r="E83" s="96"/>
      <x:c r="F83" s="96"/>
      <x:c r="G83" s="96"/>
      <x:c r="H83" s="97"/>
      <x:c r="I83" s="97"/>
      <x:c r="J83" s="97"/>
    </x:row>
    <x:row r="84">
      <x:c r="A84" s="96"/>
      <x:c r="B84" s="96"/>
      <x:c r="C84" s="96"/>
      <x:c r="D84" s="96"/>
      <x:c r="E84" s="96"/>
      <x:c r="F84" s="96"/>
      <x:c r="G84" s="96"/>
      <x:c r="H84" s="97"/>
      <x:c r="I84" s="97"/>
      <x:c r="J84" s="97"/>
    </x:row>
    <x:row r="85">
      <x:c r="A85" s="96"/>
      <x:c r="B85" s="96"/>
      <x:c r="C85" s="96"/>
      <x:c r="D85" s="96"/>
      <x:c r="E85" s="96"/>
      <x:c r="F85" s="96"/>
      <x:c r="G85" s="96"/>
      <x:c r="H85" s="97"/>
      <x:c r="I85" s="97"/>
      <x:c r="J85" s="97"/>
    </x:row>
    <x:row r="86">
      <x:c r="A86" s="96"/>
      <x:c r="B86" s="96"/>
      <x:c r="C86" s="96"/>
      <x:c r="D86" s="96"/>
      <x:c r="E86" s="96"/>
      <x:c r="F86" s="96"/>
      <x:c r="G86" s="96"/>
      <x:c r="H86" s="97"/>
      <x:c r="I86" s="97"/>
      <x:c r="J86" s="97"/>
    </x:row>
    <x:row r="87">
      <x:c r="A87" s="96"/>
      <x:c r="B87" s="96"/>
      <x:c r="C87" s="96"/>
      <x:c r="D87" s="96"/>
      <x:c r="E87" s="96"/>
      <x:c r="F87" s="96"/>
      <x:c r="G87" s="96"/>
      <x:c r="H87" s="97"/>
      <x:c r="I87" s="97"/>
      <x:c r="J87" s="97"/>
    </x:row>
    <x:row r="88">
      <x:c r="A88" s="96"/>
      <x:c r="B88" s="96"/>
      <x:c r="C88" s="96"/>
      <x:c r="D88" s="96"/>
      <x:c r="E88" s="96"/>
      <x:c r="F88" s="96"/>
      <x:c r="G88" s="96"/>
      <x:c r="H88" s="97"/>
      <x:c r="I88" s="97"/>
      <x:c r="J88" s="97"/>
    </x:row>
    <x:row r="89">
      <x:c r="A89" s="96"/>
      <x:c r="B89" s="96"/>
      <x:c r="C89" s="96"/>
      <x:c r="D89" s="96"/>
      <x:c r="E89" s="96"/>
      <x:c r="F89" s="96"/>
      <x:c r="G89" s="96"/>
      <x:c r="H89" s="97"/>
      <x:c r="I89" s="97"/>
      <x:c r="J89" s="97"/>
    </x:row>
    <x:row r="90">
      <x:c r="A90" s="96"/>
      <x:c r="B90" s="96"/>
      <x:c r="C90" s="96"/>
      <x:c r="D90" s="96"/>
      <x:c r="E90" s="96"/>
      <x:c r="F90" s="96"/>
      <x:c r="G90" s="96"/>
      <x:c r="H90" s="97"/>
      <x:c r="I90" s="97"/>
      <x:c r="J90" s="97"/>
    </x:row>
    <x:row r="91">
      <x:c r="A91" s="96"/>
      <x:c r="B91" s="96"/>
      <x:c r="C91" s="96"/>
      <x:c r="D91" s="96"/>
      <x:c r="E91" s="96"/>
      <x:c r="F91" s="96"/>
      <x:c r="G91" s="96"/>
      <x:c r="H91" s="97"/>
      <x:c r="I91" s="97"/>
      <x:c r="J91" s="97"/>
    </x:row>
    <x:row r="92">
      <x:c r="A92" s="96"/>
      <x:c r="B92" s="96"/>
      <x:c r="C92" s="96"/>
      <x:c r="D92" s="96"/>
      <x:c r="E92" s="96"/>
      <x:c r="F92" s="96"/>
      <x:c r="G92" s="96"/>
      <x:c r="H92" s="97"/>
      <x:c r="I92" s="97"/>
      <x:c r="J92" s="97"/>
    </x:row>
    <x:row r="93">
      <x:c r="A93" s="96"/>
      <x:c r="B93" s="96"/>
      <x:c r="C93" s="96"/>
      <x:c r="D93" s="96"/>
      <x:c r="E93" s="96"/>
      <x:c r="F93" s="96"/>
      <x:c r="G93" s="96"/>
      <x:c r="H93" s="97"/>
      <x:c r="I93" s="97"/>
      <x:c r="J93" s="97"/>
    </x:row>
    <x:row r="94">
      <x:c r="A94" s="96"/>
      <x:c r="B94" s="96"/>
      <x:c r="C94" s="96"/>
      <x:c r="D94" s="96"/>
      <x:c r="E94" s="96"/>
      <x:c r="F94" s="96"/>
      <x:c r="G94" s="96"/>
      <x:c r="H94" s="97"/>
      <x:c r="I94" s="97"/>
      <x:c r="J94" s="97"/>
    </x:row>
    <x:row r="95">
      <x:c r="A95" s="96"/>
      <x:c r="B95" s="96"/>
      <x:c r="C95" s="96"/>
      <x:c r="D95" s="96"/>
      <x:c r="E95" s="96"/>
      <x:c r="F95" s="96"/>
      <x:c r="G95" s="96"/>
      <x:c r="H95" s="97"/>
      <x:c r="I95" s="97"/>
      <x:c r="J95" s="97"/>
    </x:row>
    <x:row r="96">
      <x:c r="A96" s="96"/>
      <x:c r="B96" s="96"/>
      <x:c r="C96" s="96"/>
      <x:c r="D96" s="96"/>
      <x:c r="E96" s="96"/>
      <x:c r="F96" s="96"/>
      <x:c r="G96" s="96"/>
      <x:c r="H96" s="97"/>
      <x:c r="I96" s="97"/>
      <x:c r="J96" s="97"/>
    </x:row>
    <x:row r="97">
      <x:c r="A97" s="96"/>
      <x:c r="B97" s="96"/>
      <x:c r="C97" s="96"/>
      <x:c r="D97" s="96"/>
      <x:c r="E97" s="96"/>
      <x:c r="F97" s="96"/>
      <x:c r="G97" s="96"/>
      <x:c r="H97" s="97"/>
      <x:c r="I97" s="97"/>
      <x:c r="J97" s="97"/>
    </x:row>
    <x:row r="98">
      <x:c r="A98" s="96"/>
      <x:c r="B98" s="96"/>
      <x:c r="C98" s="96"/>
      <x:c r="D98" s="96"/>
      <x:c r="E98" s="96"/>
      <x:c r="F98" s="96"/>
      <x:c r="G98" s="96"/>
      <x:c r="H98" s="97"/>
      <x:c r="I98" s="97"/>
      <x:c r="J98" s="97"/>
    </x:row>
    <x:row r="99">
      <x:c r="A99" s="96"/>
      <x:c r="B99" s="96"/>
      <x:c r="C99" s="96"/>
      <x:c r="D99" s="96"/>
      <x:c r="E99" s="96"/>
      <x:c r="F99" s="96"/>
      <x:c r="G99" s="96"/>
      <x:c r="H99" s="97"/>
      <x:c r="I99" s="97"/>
      <x:c r="J99" s="97"/>
    </x:row>
    <x:row r="100">
      <x:c r="A100" s="96"/>
      <x:c r="B100" s="96"/>
      <x:c r="C100" s="96"/>
      <x:c r="D100" s="96"/>
      <x:c r="E100" s="96"/>
      <x:c r="F100" s="96"/>
      <x:c r="G100" s="96"/>
      <x:c r="H100" s="97"/>
      <x:c r="I100" s="97"/>
      <x:c r="J100" s="97"/>
    </x:row>
    <x:row r="101">
      <x:c r="A101" s="96"/>
      <x:c r="B101" s="96"/>
      <x:c r="C101" s="96"/>
      <x:c r="D101" s="96"/>
      <x:c r="E101" s="96"/>
      <x:c r="F101" s="96"/>
      <x:c r="G101" s="96"/>
      <x:c r="H101" s="97"/>
      <x:c r="I101" s="97"/>
      <x:c r="J101" s="97"/>
    </x:row>
    <x:row r="102">
      <x:c r="A102" s="96"/>
      <x:c r="B102" s="96"/>
      <x:c r="C102" s="96"/>
      <x:c r="D102" s="96"/>
      <x:c r="E102" s="96"/>
      <x:c r="F102" s="96"/>
      <x:c r="G102" s="96"/>
      <x:c r="H102" s="97"/>
      <x:c r="I102" s="97"/>
      <x:c r="J102" s="97"/>
    </x:row>
    <x:row r="103">
      <x:c r="A103" s="96"/>
      <x:c r="B103" s="96"/>
      <x:c r="C103" s="96"/>
      <x:c r="D103" s="96"/>
      <x:c r="E103" s="96"/>
      <x:c r="F103" s="96"/>
      <x:c r="G103" s="96"/>
      <x:c r="H103" s="97"/>
      <x:c r="I103" s="97"/>
      <x:c r="J103" s="97"/>
    </x:row>
    <x:row r="104">
      <x:c r="A104" s="96"/>
      <x:c r="B104" s="96"/>
      <x:c r="C104" s="96"/>
      <x:c r="D104" s="96"/>
      <x:c r="E104" s="96"/>
      <x:c r="F104" s="96"/>
      <x:c r="G104" s="96"/>
      <x:c r="H104" s="97"/>
      <x:c r="I104" s="97"/>
      <x:c r="J104" s="97"/>
    </x:row>
    <x:row r="105">
      <x:c r="A105" s="96"/>
      <x:c r="B105" s="96"/>
      <x:c r="C105" s="96"/>
      <x:c r="D105" s="96"/>
      <x:c r="E105" s="96"/>
      <x:c r="F105" s="96"/>
      <x:c r="G105" s="96"/>
      <x:c r="H105" s="97"/>
      <x:c r="I105" s="97"/>
      <x:c r="J105" s="97"/>
    </x:row>
    <x:row r="106">
      <x:c r="A106" s="96"/>
      <x:c r="B106" s="96"/>
      <x:c r="C106" s="96"/>
      <x:c r="D106" s="96"/>
      <x:c r="E106" s="96"/>
      <x:c r="F106" s="96"/>
      <x:c r="G106" s="96"/>
      <x:c r="H106" s="97"/>
      <x:c r="I106" s="97"/>
      <x:c r="J106" s="97"/>
    </x:row>
    <x:row r="107">
      <x:c r="A107" s="96"/>
      <x:c r="B107" s="96"/>
      <x:c r="C107" s="96"/>
      <x:c r="D107" s="96"/>
      <x:c r="E107" s="96"/>
      <x:c r="F107" s="96"/>
      <x:c r="G107" s="96"/>
      <x:c r="H107" s="97"/>
      <x:c r="I107" s="97"/>
      <x:c r="J107" s="97"/>
    </x:row>
    <x:row r="108">
      <x:c r="A108" s="96"/>
      <x:c r="B108" s="96"/>
      <x:c r="C108" s="96"/>
      <x:c r="D108" s="96"/>
      <x:c r="E108" s="96"/>
      <x:c r="F108" s="96"/>
      <x:c r="G108" s="96"/>
      <x:c r="H108" s="97"/>
      <x:c r="I108" s="97"/>
      <x:c r="J108" s="97"/>
    </x:row>
    <x:row r="109">
      <x:c r="A109" s="96"/>
      <x:c r="B109" s="96"/>
      <x:c r="C109" s="96"/>
      <x:c r="D109" s="96"/>
      <x:c r="E109" s="96"/>
      <x:c r="F109" s="96"/>
      <x:c r="G109" s="96"/>
      <x:c r="H109" s="97"/>
      <x:c r="I109" s="97"/>
      <x:c r="J109" s="97"/>
    </x:row>
    <x:row r="110">
      <x:c r="A110" s="96"/>
      <x:c r="B110" s="96"/>
      <x:c r="C110" s="96"/>
      <x:c r="D110" s="96"/>
      <x:c r="E110" s="96"/>
      <x:c r="F110" s="96"/>
      <x:c r="G110" s="96"/>
      <x:c r="H110" s="97"/>
      <x:c r="I110" s="97"/>
      <x:c r="J110" s="97"/>
    </x:row>
    <x:row r="111">
      <x:c r="A111" s="96"/>
      <x:c r="B111" s="96"/>
      <x:c r="C111" s="96"/>
      <x:c r="D111" s="96"/>
      <x:c r="E111" s="96"/>
      <x:c r="F111" s="96"/>
      <x:c r="G111" s="96"/>
      <x:c r="H111" s="97"/>
      <x:c r="I111" s="97"/>
      <x:c r="J111" s="97"/>
    </x:row>
    <x:row r="112">
      <x:c r="A112" s="96"/>
      <x:c r="B112" s="96"/>
      <x:c r="C112" s="96"/>
      <x:c r="D112" s="96"/>
      <x:c r="E112" s="96"/>
      <x:c r="F112" s="96"/>
      <x:c r="G112" s="96"/>
      <x:c r="H112" s="97"/>
      <x:c r="I112" s="97"/>
      <x:c r="J112" s="97"/>
    </x:row>
    <x:row r="113">
      <x:c r="A113" s="96"/>
      <x:c r="B113" s="96"/>
      <x:c r="C113" s="96"/>
      <x:c r="D113" s="96"/>
      <x:c r="E113" s="96"/>
      <x:c r="F113" s="96"/>
      <x:c r="G113" s="96"/>
      <x:c r="H113" s="97"/>
      <x:c r="I113" s="97"/>
      <x:c r="J113" s="97"/>
    </x:row>
    <x:row r="114" ht="15.75" customHeight="1">
      <x:c r="A114" s="96"/>
      <x:c r="B114" s="96"/>
      <x:c r="C114" s="96"/>
      <x:c r="D114" s="96"/>
      <x:c r="E114" s="96"/>
      <x:c r="F114" s="96"/>
      <x:c r="G114" s="96"/>
      <x:c r="H114" s="97"/>
      <x:c r="I114" s="97"/>
      <x:c r="J114" s="97"/>
    </x:row>
    <x:row r="115" ht="15.75" customHeight="1">
      <x:c r="A115" s="96"/>
      <x:c r="B115" s="96"/>
      <x:c r="C115" s="96"/>
      <x:c r="D115" s="96"/>
      <x:c r="E115" s="96"/>
      <x:c r="F115" s="96"/>
      <x:c r="G115" s="96"/>
      <x:c r="H115" s="97"/>
      <x:c r="I115" s="97"/>
      <x:c r="J115" s="97"/>
    </x:row>
    <x:row r="116" ht="15.75" customHeight="1">
      <x:c r="A116" s="96"/>
      <x:c r="B116" s="96"/>
      <x:c r="C116" s="96"/>
      <x:c r="D116" s="96"/>
      <x:c r="E116" s="96"/>
      <x:c r="F116" s="96"/>
      <x:c r="G116" s="96"/>
      <x:c r="H116" s="97"/>
      <x:c r="I116" s="97"/>
      <x:c r="J116" s="97"/>
    </x:row>
    <x:row r="117">
      <x:c r="A117" s="96"/>
      <x:c r="B117" s="96"/>
      <x:c r="C117" s="96"/>
      <x:c r="D117" s="96"/>
      <x:c r="E117" s="96"/>
      <x:c r="F117" s="96"/>
      <x:c r="G117" s="96"/>
      <x:c r="H117" s="97"/>
      <x:c r="I117" s="97"/>
      <x:c r="J117" s="97"/>
    </x:row>
    <x:row r="118">
      <x:c r="A118" s="96"/>
      <x:c r="B118" s="96"/>
      <x:c r="C118" s="96"/>
      <x:c r="D118" s="96"/>
      <x:c r="E118" s="96"/>
      <x:c r="F118" s="96"/>
      <x:c r="G118" s="96"/>
      <x:c r="H118" s="97"/>
      <x:c r="I118" s="97"/>
      <x:c r="J118" s="97"/>
    </x:row>
    <x:row r="119">
      <x:c r="A119" s="96"/>
      <x:c r="B119" s="96"/>
      <x:c r="C119" s="96"/>
      <x:c r="D119" s="96"/>
      <x:c r="E119" s="96"/>
      <x:c r="F119" s="96"/>
      <x:c r="G119" s="96"/>
      <x:c r="H119" s="97"/>
      <x:c r="I119" s="97"/>
      <x:c r="J119" s="97"/>
    </x:row>
    <x:row r="120">
      <x:c r="A120" s="96"/>
      <x:c r="B120" s="96"/>
      <x:c r="C120" s="96"/>
      <x:c r="D120" s="96"/>
      <x:c r="E120" s="96"/>
      <x:c r="F120" s="96"/>
      <x:c r="G120" s="96"/>
      <x:c r="H120" s="97"/>
      <x:c r="I120" s="97"/>
      <x:c r="J120" s="97"/>
    </x:row>
    <x:row r="121">
      <x:c r="A121" s="96"/>
      <x:c r="B121" s="96"/>
      <x:c r="C121" s="96"/>
      <x:c r="D121" s="96"/>
      <x:c r="E121" s="96"/>
      <x:c r="F121" s="96"/>
      <x:c r="G121" s="96"/>
      <x:c r="H121" s="97"/>
      <x:c r="I121" s="97"/>
      <x:c r="J121" s="97"/>
    </x:row>
    <x:row r="122">
      <x:c r="A122" s="96"/>
      <x:c r="B122" s="96"/>
      <x:c r="C122" s="96"/>
      <x:c r="D122" s="96"/>
      <x:c r="E122" s="96"/>
      <x:c r="F122" s="96"/>
      <x:c r="G122" s="96"/>
      <x:c r="H122" s="97"/>
      <x:c r="I122" s="97"/>
      <x:c r="J122" s="97"/>
    </x:row>
    <x:row r="123">
      <x:c r="A123" s="96"/>
      <x:c r="B123" s="96"/>
      <x:c r="C123" s="96"/>
      <x:c r="D123" s="96"/>
      <x:c r="E123" s="96"/>
      <x:c r="F123" s="96"/>
      <x:c r="G123" s="96"/>
      <x:c r="H123" s="97"/>
      <x:c r="I123" s="97"/>
      <x:c r="J123" s="97"/>
    </x:row>
    <x:row r="124">
      <x:c r="A124" s="96"/>
      <x:c r="B124" s="96"/>
      <x:c r="C124" s="96"/>
      <x:c r="D124" s="96"/>
      <x:c r="E124" s="96"/>
      <x:c r="F124" s="96"/>
      <x:c r="G124" s="96"/>
      <x:c r="H124" s="97"/>
      <x:c r="I124" s="97"/>
      <x:c r="J124" s="97"/>
    </x:row>
    <x:row r="125">
      <x:c r="A125" s="96"/>
      <x:c r="B125" s="96"/>
      <x:c r="C125" s="96"/>
      <x:c r="D125" s="96"/>
      <x:c r="E125" s="96"/>
      <x:c r="F125" s="96"/>
      <x:c r="G125" s="96"/>
      <x:c r="H125" s="97"/>
      <x:c r="I125" s="97"/>
      <x:c r="J125" s="97"/>
    </x:row>
    <x:row r="126">
      <x:c r="A126" s="96"/>
      <x:c r="B126" s="96"/>
      <x:c r="C126" s="96"/>
      <x:c r="D126" s="96"/>
      <x:c r="E126" s="96"/>
      <x:c r="F126" s="96"/>
      <x:c r="G126" s="96"/>
      <x:c r="H126" s="97"/>
      <x:c r="I126" s="97"/>
      <x:c r="J126" s="97"/>
    </x:row>
    <x:row r="127">
      <x:c r="A127" s="96"/>
      <x:c r="B127" s="96"/>
      <x:c r="C127" s="96"/>
      <x:c r="D127" s="96"/>
      <x:c r="E127" s="96"/>
      <x:c r="F127" s="96"/>
      <x:c r="G127" s="96"/>
      <x:c r="H127" s="97"/>
      <x:c r="I127" s="97"/>
      <x:c r="J127" s="97"/>
    </x:row>
    <x:row r="128">
      <x:c r="A128" s="96"/>
      <x:c r="B128" s="96"/>
      <x:c r="C128" s="96"/>
      <x:c r="D128" s="96"/>
      <x:c r="E128" s="96"/>
      <x:c r="F128" s="96"/>
      <x:c r="G128" s="96"/>
      <x:c r="H128" s="97"/>
      <x:c r="I128" s="97"/>
      <x:c r="J128" s="97"/>
    </x:row>
    <x:row r="129">
      <x:c r="A129" s="96"/>
      <x:c r="B129" s="96"/>
      <x:c r="C129" s="96"/>
      <x:c r="D129" s="96"/>
      <x:c r="E129" s="96"/>
      <x:c r="F129" s="96"/>
      <x:c r="G129" s="96"/>
      <x:c r="H129" s="97"/>
      <x:c r="I129" s="97"/>
      <x:c r="J129" s="97"/>
    </x:row>
    <x:row r="130">
      <x:c r="A130" s="96"/>
      <x:c r="B130" s="96"/>
      <x:c r="C130" s="96"/>
      <x:c r="D130" s="96"/>
      <x:c r="E130" s="96"/>
      <x:c r="F130" s="96"/>
      <x:c r="G130" s="96"/>
      <x:c r="H130" s="97"/>
      <x:c r="I130" s="97"/>
      <x:c r="J130" s="97"/>
    </x:row>
    <x:row r="131">
      <x:c r="A131" s="96"/>
      <x:c r="B131" s="96"/>
      <x:c r="C131" s="96"/>
      <x:c r="D131" s="96"/>
      <x:c r="E131" s="96"/>
      <x:c r="F131" s="96"/>
      <x:c r="G131" s="96"/>
      <x:c r="H131" s="97"/>
      <x:c r="I131" s="97"/>
      <x:c r="J131" s="97"/>
    </x:row>
    <x:row r="132">
      <x:c r="A132" s="96"/>
      <x:c r="B132" s="96"/>
      <x:c r="C132" s="96"/>
      <x:c r="D132" s="96"/>
      <x:c r="E132" s="96"/>
      <x:c r="F132" s="96"/>
      <x:c r="G132" s="96"/>
      <x:c r="H132" s="97"/>
      <x:c r="I132" s="97"/>
      <x:c r="J132" s="97"/>
    </x:row>
    <x:row r="133">
      <x:c r="A133" s="96"/>
      <x:c r="B133" s="96"/>
      <x:c r="C133" s="96"/>
      <x:c r="D133" s="96"/>
      <x:c r="E133" s="96"/>
      <x:c r="F133" s="96"/>
      <x:c r="G133" s="96"/>
      <x:c r="H133" s="97"/>
      <x:c r="I133" s="97"/>
      <x:c r="J133" s="97"/>
    </x:row>
    <x:row r="134">
      <x:c r="A134" s="96"/>
      <x:c r="B134" s="96"/>
      <x:c r="C134" s="96"/>
      <x:c r="D134" s="96"/>
      <x:c r="E134" s="96"/>
      <x:c r="F134" s="96"/>
      <x:c r="G134" s="96"/>
      <x:c r="H134" s="97"/>
      <x:c r="I134" s="97"/>
      <x:c r="J134" s="97"/>
    </x:row>
    <x:row r="135">
      <x:c r="A135" s="96"/>
      <x:c r="B135" s="96"/>
      <x:c r="C135" s="96"/>
      <x:c r="D135" s="96"/>
      <x:c r="E135" s="96"/>
      <x:c r="F135" s="96"/>
      <x:c r="G135" s="96"/>
      <x:c r="H135" s="97"/>
      <x:c r="I135" s="97"/>
      <x:c r="J135" s="97"/>
    </x:row>
    <x:row r="136">
      <x:c r="A136" s="96"/>
      <x:c r="B136" s="96"/>
      <x:c r="C136" s="96"/>
      <x:c r="D136" s="96"/>
      <x:c r="E136" s="96"/>
      <x:c r="F136" s="96"/>
      <x:c r="G136" s="96"/>
      <x:c r="H136" s="97"/>
      <x:c r="I136" s="97"/>
      <x:c r="J136" s="97"/>
    </x:row>
    <x:row r="137" ht="15.75" customHeight="1">
      <x:c r="A137" s="96"/>
      <x:c r="B137" s="96"/>
      <x:c r="C137" s="96"/>
      <x:c r="D137" s="96"/>
      <x:c r="E137" s="96"/>
      <x:c r="F137" s="96"/>
      <x:c r="G137" s="96"/>
      <x:c r="H137" s="97"/>
      <x:c r="I137" s="97"/>
      <x:c r="J137" s="97"/>
    </x:row>
    <x:row r="138" ht="15.75" customHeight="1">
      <x:c r="A138" s="96"/>
      <x:c r="B138" s="96"/>
      <x:c r="C138" s="96"/>
      <x:c r="D138" s="96"/>
      <x:c r="E138" s="96"/>
      <x:c r="F138" s="96"/>
      <x:c r="G138" s="96"/>
      <x:c r="H138" s="97"/>
      <x:c r="I138" s="97"/>
      <x:c r="J138" s="97"/>
    </x:row>
    <x:row r="139" ht="15.75" customHeight="1">
      <x:c r="A139"/>
      <x:c r="B139"/>
    </x:row>
    <x:row r="140" ht="15.75" customHeight="1">
      <x:c r="A140"/>
      <x:c r="B140"/>
    </x:row>
    <x:row r="141">
      <x:c r="A141" s="93" t="str">
        <x:v>Final expert verdict</x:v>
      </x:c>
      <x:c r="B141" s="93" t="str">
        <x:v>Final expert verdict</x:v>
      </x:c>
    </x:row>
    <x:row r="142" ht="15.75" customHeight="1">
      <x:c r="A142" s="96" t="str">
        <x:v>Reviewer</x:v>
      </x:c>
      <x:c r="B142" s="97" t="str"/>
    </x:row>
    <x:row r="143" ht="15.75" customHeight="1">
      <x:c r="A143" s="96" t="str">
        <x:v>Is the answer acceptable?</x:v>
      </x:c>
      <x:c r="B143" s="97" t="str"/>
    </x:row>
    <x:row r="144" ht="42" customHeight="1">
      <x:c r="A144" s="96" t="str">
        <x:v>Overall comment / required fixes</x:v>
      </x:c>
      <x:c r="B144" s="97" t="str"/>
    </x:row>
    <x:row r="145" ht="15.75" customHeight="1">
      <x:c r="A145" s="96" t="str">
        <x:v>Review completed?</x:v>
      </x:c>
      <x:c r="B145" s="97" t="str"/>
    </x:row>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10:I10"/>
    <x:mergeCell ref="A1:I1"/>
    <x:mergeCell ref="A2:I2"/>
    <x:mergeCell ref="B3:I3"/>
    <x:mergeCell ref="B4:I4"/>
    <x:mergeCell ref="B5:I5"/>
    <x:mergeCell ref="B6:I6"/>
    <x:mergeCell ref="B7:I7"/>
    <x:mergeCell ref="A11:J11"/>
    <x:mergeCell ref="A13:J13"/>
    <x:mergeCell ref="A14:J14"/>
    <x:mergeCell ref="A37:J37"/>
    <x:mergeCell ref="A141:B141"/>
  </x:mergeCells>
  <x:dataValidations count="10">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 type="list" sqref="D16:D35">
      <x:formula1>"Supports claim,Partially supports claim,Does not support claim,Wrong source,Missing citation,Not a legal claim"</x:formula1>
    </x:dataValidation>
    <x:dataValidation type="list" sqref="H39:H138">
      <x:formula1>"Yes,No"</x:formula1>
    </x:dataValidation>
    <x:dataValidation type="list" sqref="I39:I138">
      <x:formula1>"Supports claim,Partially supports claim,Does not support claim,Wrong source,Missing citation,Not a legal claim"</x:formula1>
    </x:dataValidation>
    <x:dataValidation type="list" sqref="B143">
      <x:formula1>"Acceptable,Partly acceptable,Not acceptable"</x:formula1>
    </x:dataValidation>
    <x:dataValidation type="list" sqref="B145">
      <x:formula1>"Not started,In review,Completed,Needs follow-up"</x:formula1>
    </x:dataValidation>
  </x:dataValidations>
  <x:pageMargins left="0.7" right="0.7" top="0.75" bottom="0.75" header="0.3" footer="0.3"/>
  <x:legacyDrawing xmlns:r="http://schemas.openxmlformats.org/officeDocument/2006/relationships" r:id="R67749ff183ef41bf"/>
</x:worksheet>
</file>