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comments/comment11.xml" ContentType="application/vnd.openxmlformats-officedocument.spreadsheetml.comments+xml"/>
  <Override PartName="/xl/worksheets/sheet16.xml" ContentType="application/vnd.openxmlformats-officedocument.spreadsheetml.worksheet+xml"/>
  <Override PartName="/xl/comments/comment12.xml" ContentType="application/vnd.openxmlformats-officedocument.spreadsheetml.comments+xml"/>
  <Override PartName="/xl/worksheets/sheet17.xml" ContentType="application/vnd.openxmlformats-officedocument.spreadsheetml.worksheet+xml"/>
  <Override PartName="/xl/comments/comment13.xml" ContentType="application/vnd.openxmlformats-officedocument.spreadsheetml.comments+xml"/>
  <Override PartName="/xl/worksheets/sheet18.xml" ContentType="application/vnd.openxmlformats-officedocument.spreadsheetml.worksheet+xml"/>
  <Override PartName="/xl/comments/comment14.xml" ContentType="application/vnd.openxmlformats-officedocument.spreadsheetml.comments+xml"/>
  <Override PartName="/xl/worksheets/sheet19.xml" ContentType="application/vnd.openxmlformats-officedocument.spreadsheetml.worksheet+xml"/>
  <Override PartName="/xl/comments/comment15.xml" ContentType="application/vnd.openxmlformats-officedocument.spreadsheetml.comments+xml"/>
  <Override PartName="/xl/worksheets/sheet20.xml" ContentType="application/vnd.openxmlformats-officedocument.spreadsheetml.worksheet+xml"/>
  <Override PartName="/xl/comments/comment16.xml" ContentType="application/vnd.openxmlformats-officedocument.spreadsheetml.comments+xml"/>
  <Override PartName="/xl/worksheets/sheet21.xml" ContentType="application/vnd.openxmlformats-officedocument.spreadsheetml.worksheet+xml"/>
  <Override PartName="/xl/comments/comment17.xml" ContentType="application/vnd.openxmlformats-officedocument.spreadsheetml.comments+xml"/>
  <Override PartName="/xl/worksheets/sheet22.xml" ContentType="application/vnd.openxmlformats-officedocument.spreadsheetml.worksheet+xml"/>
  <Override PartName="/xl/comments/comment18.xml" ContentType="application/vnd.openxmlformats-officedocument.spreadsheetml.comments+xml"/>
  <Override PartName="/xl/worksheets/sheet23.xml" ContentType="application/vnd.openxmlformats-officedocument.spreadsheetml.worksheet+xml"/>
  <Override PartName="/xl/comments/comment19.xml" ContentType="application/vnd.openxmlformats-officedocument.spreadsheetml.comments+xml"/>
  <Override PartName="/xl/worksheets/sheet24.xml" ContentType="application/vnd.openxmlformats-officedocument.spreadsheetml.worksheet+xml"/>
  <Override PartName="/xl/comments/comment20.xml" ContentType="application/vnd.openxmlformats-officedocument.spreadsheetml.comments+xml"/>
  <Override PartName="/xl/worksheets/sheet25.xml" ContentType="application/vnd.openxmlformats-officedocument.spreadsheetml.worksheet+xml"/>
  <Override PartName="/xl/comments/comment21.xml" ContentType="application/vnd.openxmlformats-officedocument.spreadsheetml.comments+xml"/>
  <Override PartName="/xl/worksheets/sheet26.xml" ContentType="application/vnd.openxmlformats-officedocument.spreadsheetml.worksheet+xml"/>
  <Override PartName="/xl/comments/comment22.xml" ContentType="application/vnd.openxmlformats-officedocument.spreadsheetml.comments+xml"/>
  <Override PartName="/xl/worksheets/sheet27.xml" ContentType="application/vnd.openxmlformats-officedocument.spreadsheetml.worksheet+xml"/>
  <Override PartName="/xl/comments/comment23.xml" ContentType="application/vnd.openxmlformats-officedocument.spreadsheetml.comments+xml"/>
  <Override PartName="/xl/worksheets/sheet28.xml" ContentType="application/vnd.openxmlformats-officedocument.spreadsheetml.worksheet+xml"/>
  <Override PartName="/xl/comments/comment24.xml" ContentType="application/vnd.openxmlformats-officedocument.spreadsheetml.comments+xml"/>
  <Override PartName="/xl/worksheets/sheet29.xml" ContentType="application/vnd.openxmlformats-officedocument.spreadsheetml.worksheet+xml"/>
  <Override PartName="/xl/comments/comment25.xml" ContentType="application/vnd.openxmlformats-officedocument.spreadsheetml.comments+xml"/>
  <Override PartName="/xl/worksheets/sheet30.xml" ContentType="application/vnd.openxmlformats-officedocument.spreadsheetml.worksheet+xml"/>
  <Override PartName="/xl/comments/comment26.xml" ContentType="application/vnd.openxmlformats-officedocument.spreadsheetml.comments+xml"/>
  <Override PartName="/xl/worksheets/sheet31.xml" ContentType="application/vnd.openxmlformats-officedocument.spreadsheetml.worksheet+xml"/>
  <Override PartName="/xl/comments/comment27.xml" ContentType="application/vnd.openxmlformats-officedocument.spreadsheetml.comments+xml"/>
  <Override PartName="/xl/worksheets/sheet32.xml" ContentType="application/vnd.openxmlformats-officedocument.spreadsheetml.worksheet+xml"/>
  <Override PartName="/xl/comments/comment28.xml" ContentType="application/vnd.openxmlformats-officedocument.spreadsheetml.comments+xml"/>
  <Override PartName="/xl/worksheets/sheet33.xml" ContentType="application/vnd.openxmlformats-officedocument.spreadsheetml.worksheet+xml"/>
  <Override PartName="/xl/comments/comment29.xml" ContentType="application/vnd.openxmlformats-officedocument.spreadsheetml.comments+xml"/>
  <Override PartName="/xl/worksheets/sheet34.xml" ContentType="application/vnd.openxmlformats-officedocument.spreadsheetml.worksheet+xml"/>
  <Override PartName="/xl/comments/comment30.xml" ContentType="application/vnd.openxmlformats-officedocument.spreadsheetml.comments+xml"/>
  <Override PartName="/xl/worksheets/sheet35.xml" ContentType="application/vnd.openxmlformats-officedocument.spreadsheetml.worksheet+xml"/>
  <Override PartName="/xl/comments/comment31.xml" ContentType="application/vnd.openxmlformats-officedocument.spreadsheetml.comments+xml"/>
  <Override PartName="/xl/worksheets/sheet36.xml" ContentType="application/vnd.openxmlformats-officedocument.spreadsheetml.worksheet+xml"/>
  <Override PartName="/xl/comments/comment32.xml" ContentType="application/vnd.openxmlformats-officedocument.spreadsheetml.comments+xml"/>
  <Override PartName="/xl/worksheets/sheet37.xml" ContentType="application/vnd.openxmlformats-officedocument.spreadsheetml.worksheet+xml"/>
  <Override PartName="/xl/comments/comment33.xml" ContentType="application/vnd.openxmlformats-officedocument.spreadsheetml.comments+xml"/>
  <Override PartName="/xl/worksheets/sheet38.xml" ContentType="application/vnd.openxmlformats-officedocument.spreadsheetml.worksheet+xml"/>
  <Override PartName="/xl/comments/comment34.xml" ContentType="application/vnd.openxmlformats-officedocument.spreadsheetml.comments+xml"/>
  <Override PartName="/xl/worksheets/sheet39.xml" ContentType="application/vnd.openxmlformats-officedocument.spreadsheetml.worksheet+xml"/>
  <Override PartName="/xl/comments/comment35.xml" ContentType="application/vnd.openxmlformats-officedocument.spreadsheetml.comments+xml"/>
  <Override PartName="/xl/worksheets/sheet40.xml" ContentType="application/vnd.openxmlformats-officedocument.spreadsheetml.worksheet+xml"/>
  <Override PartName="/xl/comments/comment36.xml" ContentType="application/vnd.openxmlformats-officedocument.spreadsheetml.comments+xml"/>
  <Override PartName="/xl/worksheets/sheet41.xml" ContentType="application/vnd.openxmlformats-officedocument.spreadsheetml.worksheet+xml"/>
  <Override PartName="/xl/comments/comment37.xml" ContentType="application/vnd.openxmlformats-officedocument.spreadsheetml.comments+xml"/>
  <Override PartName="/xl/worksheets/sheet42.xml" ContentType="application/vnd.openxmlformats-officedocument.spreadsheetml.worksheet+xml"/>
  <Override PartName="/xl/comments/comment38.xml" ContentType="application/vnd.openxmlformats-officedocument.spreadsheetml.comments+xml"/>
  <Override PartName="/xl/worksheets/sheet43.xml" ContentType="application/vnd.openxmlformats-officedocument.spreadsheetml.worksheet+xml"/>
  <Override PartName="/xl/comments/comment39.xml" ContentType="application/vnd.openxmlformats-officedocument.spreadsheetml.comments+xml"/>
  <Override PartName="/xl/worksheets/sheet44.xml" ContentType="application/vnd.openxmlformats-officedocument.spreadsheetml.worksheet+xml"/>
  <Override PartName="/xl/comments/comment40.xml" ContentType="application/vnd.openxmlformats-officedocument.spreadsheetml.comments+xml"/>
  <Override PartName="/xl/worksheets/sheet45.xml" ContentType="application/vnd.openxmlformats-officedocument.spreadsheetml.worksheet+xml"/>
  <Override PartName="/xl/comments/comment41.xml" ContentType="application/vnd.openxmlformats-officedocument.spreadsheetml.comments+xml"/>
  <Override PartName="/xl/worksheets/sheet46.xml" ContentType="application/vnd.openxmlformats-officedocument.spreadsheetml.worksheet+xml"/>
  <Override PartName="/xl/comments/comment42.xml" ContentType="application/vnd.openxmlformats-officedocument.spreadsheetml.comments+xml"/>
  <Override PartName="/xl/worksheets/sheet47.xml" ContentType="application/vnd.openxmlformats-officedocument.spreadsheetml.worksheet+xml"/>
  <Override PartName="/xl/comments/comment43.xml" ContentType="application/vnd.openxmlformats-officedocument.spreadsheetml.comments+xml"/>
  <Override PartName="/xl/worksheets/sheet48.xml" ContentType="application/vnd.openxmlformats-officedocument.spreadsheetml.worksheet+xml"/>
  <Override PartName="/xl/comments/comment44.xml" ContentType="application/vnd.openxmlformats-officedocument.spreadsheetml.comments+xml"/>
  <Override PartName="/xl/worksheets/sheet49.xml" ContentType="application/vnd.openxmlformats-officedocument.spreadsheetml.worksheet+xml"/>
  <Override PartName="/xl/comments/comment45.xml" ContentType="application/vnd.openxmlformats-officedocument.spreadsheetml.comments+xml"/>
  <Override PartName="/xl/worksheets/sheet50.xml" ContentType="application/vnd.openxmlformats-officedocument.spreadsheetml.worksheet+xml"/>
  <Override PartName="/xl/comments/comment46.xml" ContentType="application/vnd.openxmlformats-officedocument.spreadsheetml.comments+xml"/>
  <Override PartName="/xl/worksheets/sheet51.xml" ContentType="application/vnd.openxmlformats-officedocument.spreadsheetml.worksheet+xml"/>
  <Override PartName="/xl/comments/comment47.xml" ContentType="application/vnd.openxmlformats-officedocument.spreadsheetml.comments+xml"/>
  <Override PartName="/xl/worksheets/sheet52.xml" ContentType="application/vnd.openxmlformats-officedocument.spreadsheetml.worksheet+xml"/>
  <Override PartName="/xl/comments/comment48.xml" ContentType="application/vnd.openxmlformats-officedocument.spreadsheetml.comments+xml"/>
  <Override PartName="/xl/worksheets/sheet53.xml" ContentType="application/vnd.openxmlformats-officedocument.spreadsheetml.worksheet+xml"/>
  <Override PartName="/xl/comments/comment49.xml" ContentType="application/vnd.openxmlformats-officedocument.spreadsheetml.comments+xml"/>
  <Override PartName="/xl/worksheets/sheet54.xml" ContentType="application/vnd.openxmlformats-officedocument.spreadsheetml.worksheet+xml"/>
  <Override PartName="/xl/comments/comment50.xml" ContentType="application/vnd.openxmlformats-officedocument.spreadsheetml.comments+xml"/>
  <Override PartName="/xl/worksheets/sheet55.xml" ContentType="application/vnd.openxmlformats-officedocument.spreadsheetml.worksheet+xml"/>
  <Override PartName="/xl/comments/comment51.xml" ContentType="application/vnd.openxmlformats-officedocument.spreadsheetml.comments+xml"/>
  <Override PartName="/xl/worksheets/sheet56.xml" ContentType="application/vnd.openxmlformats-officedocument.spreadsheetml.worksheet+xml"/>
  <Override PartName="/xl/comments/comment5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Review Status" sheetId="2" state="visible" r:id="rId2"/>
    <sheet xmlns:r="http://schemas.openxmlformats.org/officeDocument/2006/relationships" name="Q01" sheetId="3" state="visible" r:id="rId3"/>
    <sheet xmlns:r="http://schemas.openxmlformats.org/officeDocument/2006/relationships" name="Lists" sheetId="4" state="hidden" r:id="rId4"/>
    <sheet xmlns:r="http://schemas.openxmlformats.org/officeDocument/2006/relationships" name="Scoring Summary" sheetId="5" state="visible" r:id="rId5"/>
    <sheet xmlns:r="http://schemas.openxmlformats.org/officeDocument/2006/relationships" name="Q02" sheetId="6" state="visible" r:id="rId6"/>
    <sheet xmlns:r="http://schemas.openxmlformats.org/officeDocument/2006/relationships" name="Q03" sheetId="7" state="visible" r:id="rId7"/>
    <sheet xmlns:r="http://schemas.openxmlformats.org/officeDocument/2006/relationships" name="Q04" sheetId="8" state="visible" r:id="rId8"/>
    <sheet xmlns:r="http://schemas.openxmlformats.org/officeDocument/2006/relationships" name="Q05" sheetId="9" state="visible" r:id="rId9"/>
    <sheet xmlns:r="http://schemas.openxmlformats.org/officeDocument/2006/relationships" name="Q06" sheetId="10" state="visible" r:id="rId10"/>
    <sheet xmlns:r="http://schemas.openxmlformats.org/officeDocument/2006/relationships" name="Q07" sheetId="11" state="visible" r:id="rId11"/>
    <sheet xmlns:r="http://schemas.openxmlformats.org/officeDocument/2006/relationships" name="Q08" sheetId="12" state="visible" r:id="rId12"/>
    <sheet xmlns:r="http://schemas.openxmlformats.org/officeDocument/2006/relationships" name="Q09" sheetId="13" state="visible" r:id="rId13"/>
    <sheet xmlns:r="http://schemas.openxmlformats.org/officeDocument/2006/relationships" name="Q10" sheetId="14" state="visible" r:id="rId14"/>
    <sheet xmlns:r="http://schemas.openxmlformats.org/officeDocument/2006/relationships" name="Q11" sheetId="15" state="visible" r:id="rId15"/>
    <sheet xmlns:r="http://schemas.openxmlformats.org/officeDocument/2006/relationships" name="Q12" sheetId="16" state="visible" r:id="rId16"/>
    <sheet xmlns:r="http://schemas.openxmlformats.org/officeDocument/2006/relationships" name="Q13" sheetId="17" state="visible" r:id="rId17"/>
    <sheet xmlns:r="http://schemas.openxmlformats.org/officeDocument/2006/relationships" name="Q14" sheetId="18" state="visible" r:id="rId18"/>
    <sheet xmlns:r="http://schemas.openxmlformats.org/officeDocument/2006/relationships" name="Q15" sheetId="19" state="visible" r:id="rId19"/>
    <sheet xmlns:r="http://schemas.openxmlformats.org/officeDocument/2006/relationships" name="Q16" sheetId="20" state="visible" r:id="rId20"/>
    <sheet xmlns:r="http://schemas.openxmlformats.org/officeDocument/2006/relationships" name="Q17" sheetId="21" state="visible" r:id="rId21"/>
    <sheet xmlns:r="http://schemas.openxmlformats.org/officeDocument/2006/relationships" name="Q18" sheetId="22" state="visible" r:id="rId22"/>
    <sheet xmlns:r="http://schemas.openxmlformats.org/officeDocument/2006/relationships" name="Q19" sheetId="23" state="visible" r:id="rId23"/>
    <sheet xmlns:r="http://schemas.openxmlformats.org/officeDocument/2006/relationships" name="Q20" sheetId="24" state="visible" r:id="rId24"/>
    <sheet xmlns:r="http://schemas.openxmlformats.org/officeDocument/2006/relationships" name="Q21" sheetId="25" state="visible" r:id="rId25"/>
    <sheet xmlns:r="http://schemas.openxmlformats.org/officeDocument/2006/relationships" name="Q22" sheetId="26" state="visible" r:id="rId26"/>
    <sheet xmlns:r="http://schemas.openxmlformats.org/officeDocument/2006/relationships" name="Q23" sheetId="27" state="visible" r:id="rId27"/>
    <sheet xmlns:r="http://schemas.openxmlformats.org/officeDocument/2006/relationships" name="Q24" sheetId="28" state="visible" r:id="rId28"/>
    <sheet xmlns:r="http://schemas.openxmlformats.org/officeDocument/2006/relationships" name="Q25" sheetId="29" state="visible" r:id="rId29"/>
    <sheet xmlns:r="http://schemas.openxmlformats.org/officeDocument/2006/relationships" name="Q26" sheetId="30" state="visible" r:id="rId30"/>
    <sheet xmlns:r="http://schemas.openxmlformats.org/officeDocument/2006/relationships" name="Q27" sheetId="31" state="visible" r:id="rId31"/>
    <sheet xmlns:r="http://schemas.openxmlformats.org/officeDocument/2006/relationships" name="Q28" sheetId="32" state="visible" r:id="rId32"/>
    <sheet xmlns:r="http://schemas.openxmlformats.org/officeDocument/2006/relationships" name="Q29" sheetId="33" state="visible" r:id="rId33"/>
    <sheet xmlns:r="http://schemas.openxmlformats.org/officeDocument/2006/relationships" name="Q30" sheetId="34" state="visible" r:id="rId34"/>
    <sheet xmlns:r="http://schemas.openxmlformats.org/officeDocument/2006/relationships" name="Q31" sheetId="35" state="visible" r:id="rId35"/>
    <sheet xmlns:r="http://schemas.openxmlformats.org/officeDocument/2006/relationships" name="Q32" sheetId="36" state="visible" r:id="rId36"/>
    <sheet xmlns:r="http://schemas.openxmlformats.org/officeDocument/2006/relationships" name="Q33" sheetId="37" state="visible" r:id="rId37"/>
    <sheet xmlns:r="http://schemas.openxmlformats.org/officeDocument/2006/relationships" name="Q34" sheetId="38" state="visible" r:id="rId38"/>
    <sheet xmlns:r="http://schemas.openxmlformats.org/officeDocument/2006/relationships" name="Q35" sheetId="39" state="visible" r:id="rId39"/>
    <sheet xmlns:r="http://schemas.openxmlformats.org/officeDocument/2006/relationships" name="Q36" sheetId="40" state="visible" r:id="rId40"/>
    <sheet xmlns:r="http://schemas.openxmlformats.org/officeDocument/2006/relationships" name="Q37" sheetId="41" state="visible" r:id="rId41"/>
    <sheet xmlns:r="http://schemas.openxmlformats.org/officeDocument/2006/relationships" name="Q38" sheetId="42" state="visible" r:id="rId42"/>
    <sheet xmlns:r="http://schemas.openxmlformats.org/officeDocument/2006/relationships" name="Q39" sheetId="43" state="visible" r:id="rId43"/>
    <sheet xmlns:r="http://schemas.openxmlformats.org/officeDocument/2006/relationships" name="Q40" sheetId="44" state="visible" r:id="rId44"/>
    <sheet xmlns:r="http://schemas.openxmlformats.org/officeDocument/2006/relationships" name="Q41" sheetId="45" state="visible" r:id="rId45"/>
    <sheet xmlns:r="http://schemas.openxmlformats.org/officeDocument/2006/relationships" name="Q42" sheetId="46" state="visible" r:id="rId46"/>
    <sheet xmlns:r="http://schemas.openxmlformats.org/officeDocument/2006/relationships" name="Q43" sheetId="47" state="visible" r:id="rId47"/>
    <sheet xmlns:r="http://schemas.openxmlformats.org/officeDocument/2006/relationships" name="Q44" sheetId="48" state="visible" r:id="rId48"/>
    <sheet xmlns:r="http://schemas.openxmlformats.org/officeDocument/2006/relationships" name="Q45" sheetId="49" state="visible" r:id="rId49"/>
    <sheet xmlns:r="http://schemas.openxmlformats.org/officeDocument/2006/relationships" name="Q46" sheetId="50" state="visible" r:id="rId50"/>
    <sheet xmlns:r="http://schemas.openxmlformats.org/officeDocument/2006/relationships" name="Q47" sheetId="51" state="visible" r:id="rId51"/>
    <sheet xmlns:r="http://schemas.openxmlformats.org/officeDocument/2006/relationships" name="Q48" sheetId="52" state="visible" r:id="rId52"/>
    <sheet xmlns:r="http://schemas.openxmlformats.org/officeDocument/2006/relationships" name="Q49" sheetId="53" state="visible" r:id="rId53"/>
    <sheet xmlns:r="http://schemas.openxmlformats.org/officeDocument/2006/relationships" name="Q50" sheetId="54" state="visible" r:id="rId54"/>
    <sheet xmlns:r="http://schemas.openxmlformats.org/officeDocument/2006/relationships" name="Q51" sheetId="55" state="visible" r:id="rId55"/>
    <sheet xmlns:r="http://schemas.openxmlformats.org/officeDocument/2006/relationships" name="Q52" sheetId="56" state="visible" r:id="rId56"/>
  </sheets>
  <definedNames>
    <definedName name="_xlnm._FilterDatabase" localSheetId="1" hidden="1">'Review Status'!$A$3:$H$55</definedName>
    <definedName name="_xlnm._FilterDatabase" localSheetId="2" hidden="1">'Q01'!$A$13:$H$22</definedName>
    <definedName name="_xlnm._FilterDatabase" localSheetId="4" hidden="1">'Scoring Summary'!$A$4:$E$56</definedName>
    <definedName name="_xlnm._FilterDatabase" localSheetId="5" hidden="1">'Q02'!$A$13:$H$22</definedName>
    <definedName name="_xlnm._FilterDatabase" localSheetId="6" hidden="1">'Q03'!$A$13:$H$22</definedName>
    <definedName name="_xlnm._FilterDatabase" localSheetId="7" hidden="1">'Q04'!$A$13:$H$22</definedName>
    <definedName name="_xlnm._FilterDatabase" localSheetId="8" hidden="1">'Q05'!$A$13:$H$22</definedName>
    <definedName name="_xlnm._FilterDatabase" localSheetId="9" hidden="1">'Q06'!$A$13:$H$22</definedName>
    <definedName name="_xlnm._FilterDatabase" localSheetId="10" hidden="1">'Q07'!$A$13:$H$22</definedName>
    <definedName name="_xlnm._FilterDatabase" localSheetId="11" hidden="1">'Q08'!$A$13:$H$22</definedName>
    <definedName name="_xlnm._FilterDatabase" localSheetId="12" hidden="1">'Q09'!$A$13:$H$22</definedName>
    <definedName name="_xlnm._FilterDatabase" localSheetId="13" hidden="1">'Q10'!$A$13:$H$22</definedName>
    <definedName name="_xlnm._FilterDatabase" localSheetId="14" hidden="1">'Q11'!$A$13:$H$22</definedName>
    <definedName name="_xlnm._FilterDatabase" localSheetId="15" hidden="1">'Q12'!$A$13:$H$22</definedName>
    <definedName name="_xlnm._FilterDatabase" localSheetId="16" hidden="1">'Q13'!$A$13:$H$22</definedName>
    <definedName name="_xlnm._FilterDatabase" localSheetId="17" hidden="1">'Q14'!$A$13:$H$22</definedName>
    <definedName name="_xlnm._FilterDatabase" localSheetId="18" hidden="1">'Q15'!$A$13:$H$22</definedName>
    <definedName name="_xlnm._FilterDatabase" localSheetId="19" hidden="1">'Q16'!$A$13:$H$22</definedName>
    <definedName name="_xlnm._FilterDatabase" localSheetId="20" hidden="1">'Q17'!$A$13:$H$22</definedName>
    <definedName name="_xlnm._FilterDatabase" localSheetId="21" hidden="1">'Q18'!$A$13:$H$22</definedName>
    <definedName name="_xlnm._FilterDatabase" localSheetId="22" hidden="1">'Q19'!$A$13:$H$22</definedName>
    <definedName name="_xlnm._FilterDatabase" localSheetId="23" hidden="1">'Q20'!$A$13:$H$22</definedName>
    <definedName name="_xlnm._FilterDatabase" localSheetId="24" hidden="1">'Q21'!$A$13:$H$22</definedName>
    <definedName name="_xlnm._FilterDatabase" localSheetId="25" hidden="1">'Q22'!$A$13:$H$22</definedName>
    <definedName name="_xlnm._FilterDatabase" localSheetId="26" hidden="1">'Q23'!$A$13:$H$22</definedName>
    <definedName name="_xlnm._FilterDatabase" localSheetId="27" hidden="1">'Q24'!$A$13:$H$22</definedName>
    <definedName name="_xlnm._FilterDatabase" localSheetId="28" hidden="1">'Q25'!$A$13:$H$22</definedName>
    <definedName name="_xlnm._FilterDatabase" localSheetId="29" hidden="1">'Q26'!$A$13:$H$22</definedName>
    <definedName name="_xlnm._FilterDatabase" localSheetId="30" hidden="1">'Q27'!$A$13:$H$22</definedName>
    <definedName name="_xlnm._FilterDatabase" localSheetId="31" hidden="1">'Q28'!$A$13:$H$22</definedName>
    <definedName name="_xlnm._FilterDatabase" localSheetId="32" hidden="1">'Q29'!$A$13:$H$22</definedName>
    <definedName name="_xlnm._FilterDatabase" localSheetId="33" hidden="1">'Q30'!$A$13:$H$22</definedName>
    <definedName name="_xlnm._FilterDatabase" localSheetId="34" hidden="1">'Q31'!$A$13:$H$22</definedName>
    <definedName name="_xlnm._FilterDatabase" localSheetId="35" hidden="1">'Q32'!$A$13:$H$22</definedName>
    <definedName name="_xlnm._FilterDatabase" localSheetId="36" hidden="1">'Q33'!$A$13:$H$22</definedName>
    <definedName name="_xlnm._FilterDatabase" localSheetId="37" hidden="1">'Q34'!$A$13:$H$22</definedName>
    <definedName name="_xlnm._FilterDatabase" localSheetId="38" hidden="1">'Q35'!$A$13:$H$22</definedName>
    <definedName name="_xlnm._FilterDatabase" localSheetId="39" hidden="1">'Q36'!$A$13:$H$22</definedName>
    <definedName name="_xlnm._FilterDatabase" localSheetId="40" hidden="1">'Q37'!$A$13:$H$22</definedName>
    <definedName name="_xlnm._FilterDatabase" localSheetId="41" hidden="1">'Q38'!$A$13:$H$22</definedName>
    <definedName name="_xlnm._FilterDatabase" localSheetId="42" hidden="1">'Q39'!$A$13:$H$22</definedName>
    <definedName name="_xlnm._FilterDatabase" localSheetId="43" hidden="1">'Q40'!$A$13:$H$22</definedName>
    <definedName name="_xlnm._FilterDatabase" localSheetId="44" hidden="1">'Q41'!$A$13:$H$22</definedName>
    <definedName name="_xlnm._FilterDatabase" localSheetId="45" hidden="1">'Q42'!$A$13:$H$22</definedName>
    <definedName name="_xlnm._FilterDatabase" localSheetId="46" hidden="1">'Q43'!$A$13:$H$22</definedName>
    <definedName name="_xlnm._FilterDatabase" localSheetId="47" hidden="1">'Q44'!$A$13:$H$22</definedName>
    <definedName name="_xlnm._FilterDatabase" localSheetId="48" hidden="1">'Q45'!$A$13:$H$22</definedName>
    <definedName name="_xlnm._FilterDatabase" localSheetId="49" hidden="1">'Q46'!$A$13:$H$22</definedName>
    <definedName name="_xlnm._FilterDatabase" localSheetId="50" hidden="1">'Q47'!$A$13:$H$22</definedName>
    <definedName name="_xlnm._FilterDatabase" localSheetId="51" hidden="1">'Q48'!$A$13:$H$22</definedName>
    <definedName name="_xlnm._FilterDatabase" localSheetId="52" hidden="1">'Q49'!$A$13:$H$22</definedName>
    <definedName name="_xlnm._FilterDatabase" localSheetId="53" hidden="1">'Q50'!$A$13:$H$22</definedName>
    <definedName name="_xlnm._FilterDatabase" localSheetId="54" hidden="1">'Q51'!$A$13:$H$22</definedName>
    <definedName name="_xlnm._FilterDatabase" localSheetId="55" hidden="1">'Q52'!$A$13:$H$22</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color theme="1"/>
      <sz val="11"/>
      <scheme val="minor"/>
    </font>
    <font>
      <name val="Calibri"/>
      <b val="1"/>
      <color rgb="FFFFFFFF"/>
      <sz val="16"/>
      <scheme val="minor"/>
    </font>
    <font/>
    <font>
      <name val="Calibri"/>
      <color theme="1"/>
      <scheme val="minor"/>
    </font>
    <font>
      <name val="Calibri"/>
      <b val="1"/>
      <color rgb="FF1F1F1F"/>
      <sz val="12"/>
      <scheme val="minor"/>
    </font>
    <font>
      <name val="Calibri"/>
      <color theme="1"/>
      <sz val="11"/>
    </font>
    <font>
      <name val="Calibri"/>
      <b val="1"/>
      <color rgb="FFFFFFFF"/>
      <scheme val="minor"/>
    </font>
    <font>
      <color rgb="FF0000FF"/>
      <u val="single"/>
    </font>
    <font>
      <name val="Calibri"/>
      <b val="1"/>
      <color theme="1"/>
      <scheme val="minor"/>
    </font>
    <font>
      <name val="Calibri"/>
      <i val="1"/>
      <color rgb="FF666666"/>
      <scheme val="minor"/>
    </font>
    <font>
      <name val="Calibri"/>
      <color theme="1"/>
      <sz val="11"/>
      <u val="single"/>
    </font>
  </fonts>
  <fills count="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F9900"/>
        <bgColor rgb="FFFF9900"/>
      </patternFill>
    </fill>
  </fills>
  <borders count="18">
    <border/>
    <border>
      <left/>
      <top/>
      <bottom/>
    </border>
    <border>
      <top/>
      <bottom/>
    </border>
    <border>
      <right/>
      <top/>
      <bottom/>
    </border>
    <border>
      <left/>
      <right/>
      <top/>
      <bottom/>
    </border>
    <border>
      <left style="thin">
        <color rgb="FFD9E2F3"/>
      </left>
      <right style="thin">
        <color rgb="FFD9E2F3"/>
      </right>
      <top style="thin">
        <color rgb="FFD9E2F3"/>
      </top>
      <bottom style="thin">
        <color rgb="FFD9E2F3"/>
      </bottom>
    </border>
    <border>
      <left style="thin">
        <color rgb="FFD9E2F3"/>
      </left>
      <right style="thin">
        <color rgb="FFD9E2F3"/>
      </right>
      <bottom style="thin">
        <color rgb="FFD9E2F3"/>
      </bottom>
    </border>
    <border>
      <left style="thin">
        <color rgb="FFD9E2F3"/>
      </left>
      <top style="thin">
        <color rgb="FFD9E2F3"/>
      </top>
      <bottom style="thin">
        <color rgb="FFD9E2F3"/>
      </bottom>
    </border>
    <border>
      <top style="thin">
        <color rgb="FFD9E2F3"/>
      </top>
      <bottom style="thin">
        <color rgb="FFD9E2F3"/>
      </bottom>
    </border>
    <border>
      <right style="thin">
        <color rgb="FFD9E2F3"/>
      </right>
      <top style="thin">
        <color rgb="FFD9E2F3"/>
      </top>
      <bottom style="thin">
        <color rgb="FFD9E2F3"/>
      </bottom>
    </border>
    <border>
      <left style="thin">
        <color rgb="FFD9E2F3"/>
      </left>
      <top style="thin">
        <color rgb="FFD9E2F3"/>
      </top>
    </border>
    <border>
      <top style="thin">
        <color rgb="FFD9E2F3"/>
      </top>
    </border>
    <border>
      <right style="thin">
        <color rgb="FFD9E2F3"/>
      </right>
      <top style="thin">
        <color rgb="FFD9E2F3"/>
      </top>
    </border>
    <border>
      <left style="thin">
        <color rgb="FFD9E2F3"/>
      </left>
      <bottom style="thin">
        <color rgb="FFD9E2F3"/>
      </bottom>
    </border>
    <border>
      <bottom style="thin">
        <color rgb="FFD9E2F3"/>
      </bottom>
    </border>
    <border>
      <right style="thin">
        <color rgb="FFD9E2F3"/>
      </right>
      <bottom style="thin">
        <color rgb="FFD9E2F3"/>
      </bottom>
    </border>
    <border>
      <left style="thin">
        <color rgb="FFD9E2F3"/>
      </left>
    </border>
    <border>
      <right style="thin">
        <color rgb="FFD9E2F3"/>
      </right>
    </border>
  </borders>
  <cellStyleXfs count="1">
    <xf numFmtId="0" fontId="0" fillId="0" borderId="0"/>
  </cellStyleXfs>
  <cellXfs count="53">
    <xf numFmtId="0" fontId="0" fillId="0" borderId="0" applyAlignment="1" pivotButton="0" quotePrefix="0" xfId="0">
      <alignment vertical="bottom"/>
    </xf>
    <xf numFmtId="0" fontId="1" fillId="2" borderId="1" applyAlignment="1" pivotButton="0" quotePrefix="0" xfId="0">
      <alignment vertical="center"/>
    </xf>
    <xf numFmtId="0" fontId="2" fillId="0" borderId="2" pivotButton="0" quotePrefix="0" xfId="0"/>
    <xf numFmtId="0" fontId="1" fillId="2" borderId="1" applyAlignment="1" pivotButton="0" quotePrefix="0" xfId="0">
      <alignment vertical="top" wrapText="1"/>
    </xf>
    <xf numFmtId="0" fontId="2" fillId="0" borderId="3" pivotButton="0" quotePrefix="0" xfId="0"/>
    <xf numFmtId="0" fontId="3" fillId="0" borderId="0" pivotButton="0" quotePrefix="0" xfId="0"/>
    <xf numFmtId="0" fontId="4" fillId="3" borderId="4" applyAlignment="1" pivotButton="0" quotePrefix="0" xfId="0">
      <alignment vertical="center"/>
    </xf>
    <xf numFmtId="0" fontId="5" fillId="0" borderId="0" applyAlignment="1" pivotButton="0" quotePrefix="0" xfId="0">
      <alignment vertical="top" wrapText="1"/>
    </xf>
    <xf numFmtId="0" fontId="6" fillId="2" borderId="5" applyAlignment="1" pivotButton="0" quotePrefix="0" xfId="0">
      <alignment vertical="top" wrapText="1"/>
    </xf>
    <xf numFmtId="0" fontId="7" fillId="0" borderId="0" pivotButton="0" quotePrefix="0" xfId="0"/>
    <xf numFmtId="0" fontId="4" fillId="3" borderId="1" applyAlignment="1" pivotButton="0" quotePrefix="0" xfId="0">
      <alignment vertical="top" wrapText="1"/>
    </xf>
    <xf numFmtId="0" fontId="5" fillId="0" borderId="5" applyAlignment="1" pivotButton="0" quotePrefix="0" xfId="0">
      <alignment vertical="top" wrapText="1"/>
    </xf>
    <xf numFmtId="0" fontId="5" fillId="0" borderId="5" applyAlignment="1" pivotButton="0" quotePrefix="0" xfId="0">
      <alignment vertical="top" wrapText="1"/>
    </xf>
    <xf numFmtId="0" fontId="8" fillId="0" borderId="0" applyAlignment="1" pivotButton="0" quotePrefix="0" xfId="0">
      <alignment vertical="top" wrapText="1"/>
    </xf>
    <xf numFmtId="164" fontId="5" fillId="0" borderId="5" applyAlignment="1" pivotButton="0" quotePrefix="0" xfId="0">
      <alignment vertical="top" wrapText="1"/>
    </xf>
    <xf numFmtId="0" fontId="5" fillId="0" borderId="0" applyAlignment="1" pivotButton="0" quotePrefix="0" xfId="0">
      <alignment horizontal="left" vertical="top" wrapText="1"/>
    </xf>
    <xf numFmtId="164" fontId="5" fillId="0" borderId="5" applyAlignment="1" pivotButton="0" quotePrefix="0" xfId="0">
      <alignment horizontal="right" vertical="top" wrapText="1"/>
    </xf>
    <xf numFmtId="0" fontId="8" fillId="0" borderId="0" pivotButton="0" quotePrefix="0" xfId="0"/>
    <xf numFmtId="0" fontId="3" fillId="0" borderId="0" pivotButton="0" quotePrefix="0" xfId="0"/>
    <xf numFmtId="0" fontId="9" fillId="4" borderId="0" applyAlignment="1" pivotButton="0" quotePrefix="0" xfId="0">
      <alignment vertical="top" wrapText="1"/>
    </xf>
    <xf numFmtId="0" fontId="10" fillId="0" borderId="5" applyAlignment="1" pivotButton="0" quotePrefix="0" xfId="0">
      <alignment vertical="top" wrapText="1"/>
    </xf>
    <xf numFmtId="0" fontId="6" fillId="2" borderId="5"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5" applyAlignment="1" pivotButton="0" quotePrefix="0" xfId="0">
      <alignment vertical="top" wrapText="1"/>
    </xf>
    <xf numFmtId="0" fontId="6" fillId="2" borderId="5" applyAlignment="1" pivotButton="0" quotePrefix="0" xfId="0">
      <alignment vertical="top" wrapText="1"/>
    </xf>
    <xf numFmtId="0" fontId="1" fillId="2" borderId="1" applyAlignment="1" pivotButton="0" quotePrefix="0" xfId="0">
      <alignment vertical="top" wrapText="1"/>
    </xf>
    <xf numFmtId="0" fontId="6" fillId="2" borderId="6" applyAlignment="1" pivotButton="0" quotePrefix="0" xfId="0">
      <alignment horizontal="center" vertical="center" wrapText="1"/>
    </xf>
    <xf numFmtId="0" fontId="6" fillId="2" borderId="6" applyAlignment="1" pivotButton="0" quotePrefix="0" xfId="0">
      <alignment horizontal="center" vertical="center" wrapText="1"/>
    </xf>
    <xf numFmtId="0" fontId="8" fillId="0" borderId="5" applyAlignment="1" pivotButton="0" quotePrefix="0" xfId="0">
      <alignment vertical="top" wrapText="1"/>
    </xf>
    <xf numFmtId="164" fontId="5" fillId="0" borderId="5" applyAlignment="1" pivotButton="0" quotePrefix="0" xfId="0">
      <alignment vertical="top" wrapText="1"/>
    </xf>
    <xf numFmtId="0" fontId="5" fillId="0" borderId="7" applyAlignment="1" pivotButton="0" quotePrefix="0" xfId="0">
      <alignment vertical="top" wrapText="1"/>
    </xf>
    <xf numFmtId="0" fontId="2" fillId="0" borderId="8" pivotButton="0" quotePrefix="0" xfId="0"/>
    <xf numFmtId="0" fontId="2" fillId="0" borderId="9" pivotButton="0" quotePrefix="0" xfId="0"/>
    <xf numFmtId="0" fontId="5" fillId="0" borderId="10" applyAlignment="1" pivotButton="0" quotePrefix="0" xfId="0">
      <alignment vertical="top" wrapText="1"/>
    </xf>
    <xf numFmtId="0" fontId="2" fillId="0" borderId="11" pivotButton="0" quotePrefix="0" xfId="0"/>
    <xf numFmtId="0" fontId="2" fillId="0" borderId="12" pivotButton="0" quotePrefix="0" xfId="0"/>
    <xf numFmtId="0" fontId="2" fillId="0" borderId="13" pivotButton="0" quotePrefix="0" xfId="0"/>
    <xf numFmtId="0" fontId="2" fillId="0" borderId="14" pivotButton="0" quotePrefix="0" xfId="0"/>
    <xf numFmtId="0" fontId="2" fillId="0" borderId="15" pivotButton="0" quotePrefix="0" xfId="0"/>
    <xf numFmtId="0" fontId="5" fillId="0" borderId="0" applyAlignment="1" pivotButton="0" quotePrefix="0" xfId="0">
      <alignment horizontal="left" vertical="top" wrapText="1"/>
    </xf>
    <xf numFmtId="0" fontId="5" fillId="0" borderId="0" applyAlignment="1" pivotButton="0" quotePrefix="0" xfId="0">
      <alignment vertical="top" wrapText="1"/>
    </xf>
    <xf numFmtId="0" fontId="0" fillId="0" borderId="0" pivotButton="0" quotePrefix="0" xfId="0"/>
    <xf numFmtId="0" fontId="1" fillId="2" borderId="4" applyAlignment="1" pivotButton="0" quotePrefix="0" xfId="0">
      <alignment vertical="center"/>
    </xf>
    <xf numFmtId="0" fontId="1" fillId="2" borderId="4" applyAlignment="1" pivotButton="0" quotePrefix="0" xfId="0">
      <alignment vertical="top" wrapText="1"/>
    </xf>
    <xf numFmtId="0" fontId="4" fillId="3" borderId="4" applyAlignment="1" pivotButton="0" quotePrefix="0" xfId="0">
      <alignment vertical="top" wrapText="1"/>
    </xf>
    <xf numFmtId="0" fontId="0" fillId="0" borderId="8" pivotButton="0" quotePrefix="0" xfId="0"/>
    <xf numFmtId="0" fontId="0" fillId="0" borderId="9"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5"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comments/comment1.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5.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6.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7.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8.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9.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0.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1.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2.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3.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4.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5.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6.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7.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8.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19.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0.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1.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2.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3.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4.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5.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6.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7.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8.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29.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0.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1.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2.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3.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4.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5.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6.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7.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8.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39.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0.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1.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2.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3.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4.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5.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6.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7.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8.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49.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50.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51.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comments/comment52.xml><?xml version="1.0" encoding="utf-8"?>
<comments xmlns="http://schemas.openxmlformats.org/spreadsheetml/2006/main">
  <authors>
    <author>None</author>
  </authors>
  <commentList>
    <comment ref="G13" authorId="0" shapeId="0">
      <text>
        <t>Fill “Expert verdict” only for sources marked “Yes” in “Required source?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VRbWxp2ykO4q5FEc_Y0KAG-My9fBGc-y/edit?gid=585722932" TargetMode="Externa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2.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3.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4.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5.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6.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7.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8.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9.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0.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1.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2.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3.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4.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5.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6.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7.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8.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9.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30.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1.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2.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3.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4.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5.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6.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7.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8.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9.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40.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41.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42.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43.xml.rels><Relationships xmlns="http://schemas.openxmlformats.org/package/2006/relationships"><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4.xml.rels><Relationships xmlns="http://schemas.openxmlformats.org/package/2006/relationships"><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5.xml.rels><Relationships xmlns="http://schemas.openxmlformats.org/package/2006/relationships"><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6.xml.rels><Relationships xmlns="http://schemas.openxmlformats.org/package/2006/relationships"><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7.xml.rels><Relationships xmlns="http://schemas.openxmlformats.org/package/2006/relationships"><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48.xml.rels><Relationships xmlns="http://schemas.openxmlformats.org/package/2006/relationships"><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49.xml.rels><Relationships xmlns="http://schemas.openxmlformats.org/package/2006/relationships"><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50.xml.rels><Relationships xmlns="http://schemas.openxmlformats.org/package/2006/relationships"><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51.xml.rels><Relationships xmlns="http://schemas.openxmlformats.org/package/2006/relationships"><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52.xml.rels><Relationships xmlns="http://schemas.openxmlformats.org/package/2006/relationships"><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53.xml.rels><Relationships xmlns="http://schemas.openxmlformats.org/package/2006/relationships"><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54.xml.rels><Relationships xmlns="http://schemas.openxmlformats.org/package/2006/relationships"><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55.xml.rels><Relationships xmlns="http://schemas.openxmlformats.org/package/2006/relationships"><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_rels/sheet56.xml.rels><Relationships xmlns="http://schemas.openxmlformats.org/package/2006/relationships"><Relationship Type="http://schemas.openxmlformats.org/officeDocument/2006/relationships/comments" Target="/xl/comments/comment52.xml" Id="comments"/><Relationship Type="http://schemas.openxmlformats.org/officeDocument/2006/relationships/vmlDrawing" Target="/xl/drawings/commentsDrawing52.vml" Id="anysvml"/></Relationships>
</file>

<file path=xl/worksheets/sheet1.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ColWidth="14.43" defaultRowHeight="15" customHeight="1"/>
  <cols>
    <col width="34" customWidth="1" style="41" min="1" max="1"/>
    <col width="18" customWidth="1" style="41" min="2" max="5"/>
    <col width="33.71" customWidth="1" style="41" min="6" max="6"/>
    <col width="8.710000000000001" customWidth="1" style="41" min="7" max="26"/>
  </cols>
  <sheetData>
    <row r="1" ht="27.75" customHeight="1" s="41">
      <c r="A1" s="42" t="inlineStr">
        <is>
          <t>Concurrences Gate 2 Expert Review Template</t>
        </is>
      </c>
    </row>
    <row r="3">
      <c r="A3" s="6" t="inlineStr">
        <is>
          <t>Purpose</t>
        </is>
      </c>
      <c r="B3" s="9" t="inlineStr">
        <is>
          <t>This workbook is for reviewing generated answers and retrieved sources for Approved benchmark questions only.</t>
        </is>
      </c>
    </row>
    <row r="5">
      <c r="A5" s="6" t="inlineStr">
        <is>
          <t>How experts should use this file</t>
        </is>
      </c>
    </row>
    <row r="6">
      <c r="A6" s="40" t="inlineStr">
        <is>
          <t>1. Open the tab for your question, for example Q01.</t>
        </is>
      </c>
    </row>
    <row r="7">
      <c r="A7" s="40" t="inlineStr">
        <is>
          <t>2. Review the generated answer and the sources retrieved by the system.</t>
        </is>
      </c>
    </row>
    <row r="8">
      <c r="A8" s="40" t="inlineStr">
        <is>
          <t>3. For each legal claim, mark whether the cited source supports it.</t>
        </is>
      </c>
    </row>
    <row r="9">
      <c r="A9" s="40" t="inlineStr">
        <is>
          <t>4. Add a short comment only where something must be fixed or clarified.</t>
        </is>
      </c>
    </row>
    <row r="10">
      <c r="A10" s="40" t="inlineStr">
        <is>
          <t>5. Mark the final expert verdict at the bottom of each question tab.</t>
        </is>
      </c>
    </row>
    <row r="11">
      <c r="A11" s="40" t="inlineStr">
        <is>
          <t>6. The team will use Review Status and Scoring Summary to track progress and calculate metrics.</t>
        </is>
      </c>
    </row>
    <row r="14">
      <c r="A14" s="6" t="inlineStr">
        <is>
          <t>Key dates</t>
        </is>
      </c>
    </row>
    <row r="15">
      <c r="A15" s="23" t="inlineStr">
        <is>
          <t>Answers and retrieval sets generated by</t>
        </is>
      </c>
      <c r="B15" s="29" t="n">
        <v>46251</v>
      </c>
    </row>
    <row r="16">
      <c r="A16" s="23" t="inlineStr">
        <is>
          <t>Expert claim-by-claim review completed by</t>
        </is>
      </c>
      <c r="B16" s="16" t="inlineStr">
        <is>
          <t>2026-08-21</t>
        </is>
      </c>
    </row>
    <row r="18">
      <c r="A18" s="17" t="inlineStr">
        <is>
          <t>Batch 1</t>
        </is>
      </c>
    </row>
    <row r="19">
      <c r="A19" s="18" t="inlineStr">
        <is>
          <t>Q15</t>
        </is>
      </c>
    </row>
    <row r="20">
      <c r="A20" s="18" t="inlineStr">
        <is>
          <t>Q16</t>
        </is>
      </c>
    </row>
    <row r="21" ht="15.75" customHeight="1" s="41">
      <c r="A21" s="18" t="inlineStr">
        <is>
          <t>Q17</t>
        </is>
      </c>
    </row>
    <row r="22" ht="15.75" customHeight="1" s="41">
      <c r="A22" s="18" t="inlineStr">
        <is>
          <t>Q25</t>
        </is>
      </c>
    </row>
    <row r="23" ht="15.75" customHeight="1" s="41">
      <c r="A23" s="18" t="inlineStr">
        <is>
          <t>Q28 ⚠️</t>
        </is>
      </c>
    </row>
    <row r="24" ht="15.75" customHeight="1" s="41">
      <c r="A24" s="18" t="inlineStr">
        <is>
          <t>Q29</t>
        </is>
      </c>
    </row>
    <row r="25" ht="15.75" customHeight="1" s="41">
      <c r="A25" s="18" t="inlineStr">
        <is>
          <t>Q35</t>
        </is>
      </c>
    </row>
    <row r="26" ht="15.75" customHeight="1" s="41">
      <c r="A26" s="18" t="inlineStr">
        <is>
          <t>Q41</t>
        </is>
      </c>
    </row>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8">
    <mergeCell ref="A11:F11"/>
    <mergeCell ref="A10:F10"/>
    <mergeCell ref="A1:F1"/>
    <mergeCell ref="A9:F9"/>
    <mergeCell ref="B3:F3"/>
    <mergeCell ref="A8:F8"/>
    <mergeCell ref="A6:F6"/>
    <mergeCell ref="A7:F7"/>
  </mergeCells>
  <hyperlinks>
    <hyperlink xmlns:r="http://schemas.openxmlformats.org/officeDocument/2006/relationships" ref="B3" location="gid=585722932" r:id="rId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55"/>
  <sheetViews>
    <sheetView showGridLines="0" workbookViewId="0">
      <pane ySplit="3" topLeftCell="A4" activePane="bottomLeft" state="frozen"/>
      <selection pane="bottomLeft" activeCell="B5" sqref="B5"/>
    </sheetView>
  </sheetViews>
  <sheetFormatPr baseColWidth="8" defaultColWidth="14.43" defaultRowHeight="15" customHeight="1"/>
  <cols>
    <col width="12" customWidth="1" style="41" min="1" max="1"/>
    <col width="28" customWidth="1" style="41" min="2" max="2"/>
    <col width="14" customWidth="1" style="41" min="3" max="3"/>
    <col width="70" customWidth="1" style="41" min="4" max="4"/>
    <col width="21.43" customWidth="1" style="41" min="5" max="5"/>
    <col width="18" customWidth="1" style="41" min="6" max="6"/>
    <col width="36" customWidth="1" style="41" min="7" max="7"/>
    <col width="12" customWidth="1" style="41" min="8" max="8"/>
    <col width="8.710000000000001" customWidth="1" style="41" min="9" max="22"/>
  </cols>
  <sheetData>
    <row r="1" ht="27.75" customHeight="1" s="41">
      <c r="A1" s="43" t="inlineStr">
        <is>
          <t>Review Status</t>
        </is>
      </c>
    </row>
    <row r="2">
      <c r="A2" s="40" t="n"/>
      <c r="B2" s="40" t="n"/>
      <c r="C2" s="40" t="n"/>
      <c r="D2" s="40" t="n"/>
      <c r="E2" s="40" t="n"/>
      <c r="F2" s="40" t="n"/>
      <c r="G2" s="40" t="n"/>
      <c r="H2" s="40" t="n"/>
    </row>
    <row r="3">
      <c r="A3" s="24" t="inlineStr">
        <is>
          <t>Question ID</t>
        </is>
      </c>
      <c r="B3" s="24" t="inlineStr">
        <is>
          <t>Topic</t>
        </is>
      </c>
      <c r="C3" s="24" t="inlineStr">
        <is>
          <t>Scope</t>
        </is>
      </c>
      <c r="D3" s="24" t="inlineStr">
        <is>
          <t>Question</t>
        </is>
      </c>
      <c r="E3" s="24" t="inlineStr">
        <is>
          <t>Expert review status</t>
        </is>
      </c>
      <c r="F3" s="24" t="inlineStr">
        <is>
          <t>Reviewer</t>
        </is>
      </c>
      <c r="G3" s="24" t="inlineStr">
        <is>
          <t>Main issue / follow-up</t>
        </is>
      </c>
      <c r="H3" s="24" t="inlineStr">
        <is>
          <t>Open tab</t>
        </is>
      </c>
    </row>
    <row r="4" ht="54" customHeight="1" s="41">
      <c r="A4" s="23" t="n">
        <v>1</v>
      </c>
      <c r="B4" s="23" t="inlineStr">
        <is>
          <t>Food delivery — market definition</t>
        </is>
      </c>
      <c r="C4" s="23" t="inlineStr">
        <is>
          <t>EU + UK + ES</t>
        </is>
      </c>
      <c r="D4" s="23" t="inlineStr">
        <is>
          <t>The relevant market in a food-delivery acquisition — how have the Commission and national authorities defined the relevant product and geographic markets, and on what rationales?</t>
        </is>
      </c>
      <c r="E4" s="23">
        <f>'Q01'!B40</f>
        <v/>
      </c>
      <c r="F4" s="23">
        <f>'Q01'!B37</f>
        <v/>
      </c>
      <c r="G4" s="23">
        <f>'Q01'!B39</f>
        <v/>
      </c>
      <c r="H4" s="20">
        <f>HYPERLINK("https://docs.google.com/spreadsheets/d/1SGTTCNk9crU1EZRgL9dlNhuv_RvcJLmSnfJtXz3RjEE/edit#gid=522724517&amp;range=A1","Open")</f>
        <v/>
      </c>
    </row>
    <row r="5" ht="54" customHeight="1" s="41">
      <c r="A5" s="23" t="n">
        <v>2</v>
      </c>
      <c r="B5" s="23" t="inlineStr">
        <is>
          <t>Food delivery — multi-sided platforms</t>
        </is>
      </c>
      <c r="C5" s="23" t="inlineStr">
        <is>
          <t>EU + UK + ES</t>
        </is>
      </c>
      <c r="D5" s="23" t="inlineStr">
        <is>
          <t>Food delivery as a multi-sided platform — have authorities analysed these platforms as two- or multi-sided markets, and which sides actually entered the analysis?</t>
        </is>
      </c>
      <c r="E5" s="23">
        <f>'Q02'!B40</f>
        <v/>
      </c>
      <c r="F5" s="23">
        <f>'Q02'!B37</f>
        <v/>
      </c>
      <c r="G5" s="23">
        <f>'Q02'!B39</f>
        <v/>
      </c>
      <c r="H5" s="20">
        <f>HYPERLINK("https://docs.google.com/spreadsheets/d/1SGTTCNk9crU1EZRgL9dlNhuv_RvcJLmSnfJtXz3RjEE/edit#gid=297064813&amp;range=A1","Open")</f>
        <v/>
      </c>
    </row>
    <row r="6" ht="54" customHeight="1" s="41">
      <c r="A6" s="23" t="n">
        <v>3</v>
      </c>
      <c r="B6" s="23" t="inlineStr">
        <is>
          <t>Food delivery — market boundary</t>
        </is>
      </c>
      <c r="C6" s="23" t="inlineStr">
        <is>
          <t>UK (ES colour)</t>
        </is>
      </c>
      <c r="D6" s="23" t="inlineStr">
        <is>
          <t>Grocery, quick commerce, and the market boundary — separate markets from restaurant meal delivery, or one broad on-demand delivery market?</t>
        </is>
      </c>
      <c r="E6" s="23">
        <f>'Q03'!B40</f>
        <v/>
      </c>
      <c r="F6" s="23">
        <f>'Q03'!B37</f>
        <v/>
      </c>
      <c r="G6" s="23">
        <f>'Q03'!B39</f>
        <v/>
      </c>
      <c r="H6" s="20">
        <f>HYPERLINK("https://docs.google.com/spreadsheets/d/1SGTTCNk9crU1EZRgL9dlNhuv_RvcJLmSnfJtXz3RjEE/edit#gid=1817894368&amp;range=A1","Open")</f>
        <v/>
      </c>
    </row>
    <row r="7" ht="54" customHeight="1" s="41">
      <c r="A7" s="23" t="n">
        <v>4</v>
      </c>
      <c r="B7" s="23" t="inlineStr">
        <is>
          <t>Food delivery — failing-firm defence</t>
        </is>
      </c>
      <c r="C7" s="23" t="inlineStr">
        <is>
          <t>UK</t>
        </is>
      </c>
      <c r="D7" s="23" t="inlineStr">
        <is>
          <t>The failing-firm defence in food delivery — has an exiting-firm counterfactual ever been accepted, did it survive to the final decision, and on what evidence?</t>
        </is>
      </c>
      <c r="E7" s="23">
        <f>'Q04'!B40</f>
        <v/>
      </c>
      <c r="F7" s="23">
        <f>'Q04'!B37</f>
        <v/>
      </c>
      <c r="G7" s="23">
        <f>'Q04'!B39</f>
        <v/>
      </c>
      <c r="H7" s="20">
        <f>HYPERLINK("https://docs.google.com/spreadsheets/d/1SGTTCNk9crU1EZRgL9dlNhuv_RvcJLmSnfJtXz3RjEE/edit#gid=1366002813&amp;range=A1","Open")</f>
        <v/>
      </c>
    </row>
    <row r="8" ht="54" customHeight="1" s="41">
      <c r="A8" s="23" t="n">
        <v>5</v>
      </c>
      <c r="B8" s="23" t="inlineStr">
        <is>
          <t>Food delivery — COVID-19</t>
        </is>
      </c>
      <c r="C8" s="23" t="inlineStr">
        <is>
          <t>UK</t>
        </is>
      </c>
      <c r="D8" s="23" t="inlineStr">
        <is>
          <t>COVID-19 in the competitive assessment — how did the pandemic actually enter the analysis: counterfactual, market definition, or not at all?</t>
        </is>
      </c>
      <c r="E8" s="23">
        <f>'Q05'!B40</f>
        <v/>
      </c>
      <c r="F8" s="23">
        <f>'Q05'!B37</f>
        <v/>
      </c>
      <c r="G8" s="23">
        <f>'Q05'!B39</f>
        <v/>
      </c>
      <c r="H8" s="20">
        <f>HYPERLINK("https://docs.google.com/spreadsheets/d/1SGTTCNk9crU1EZRgL9dlNhuv_RvcJLmSnfJtXz3RjEE/edit#gid=1044237719&amp;range=A1","Open")</f>
        <v/>
      </c>
    </row>
    <row r="9" ht="54" customHeight="1" s="41">
      <c r="A9" s="23" t="n">
        <v>6</v>
      </c>
      <c r="B9" s="23" t="inlineStr">
        <is>
          <t>Food delivery — potential competition</t>
        </is>
      </c>
      <c r="C9" s="23" t="inlineStr">
        <is>
          <t>UK</t>
        </is>
      </c>
      <c r="D9" s="23" t="inlineStr">
        <is>
          <t>Potential competition and re-entry — where the acquirer is not active in the UK, how has the CMA treated entry or re-entry absent the merger?</t>
        </is>
      </c>
      <c r="E9" s="23">
        <f>'Q06'!B40</f>
        <v/>
      </c>
      <c r="F9" s="23">
        <f>'Q06'!B37</f>
        <v/>
      </c>
      <c r="G9" s="23">
        <f>'Q06'!B39</f>
        <v/>
      </c>
      <c r="H9" s="20">
        <f>HYPERLINK("https://docs.google.com/spreadsheets/d/1SGTTCNk9crU1EZRgL9dlNhuv_RvcJLmSnfJtXz3RjEE/edit#gid=1384317690&amp;range=A1","Open")</f>
        <v/>
      </c>
    </row>
    <row r="10" ht="54" customHeight="1" s="41">
      <c r="A10" s="23" t="n">
        <v>7</v>
      </c>
      <c r="B10" s="23" t="inlineStr">
        <is>
          <t>Food delivery — no-poach agreements</t>
        </is>
      </c>
      <c r="C10" s="23" t="inlineStr">
        <is>
          <t>EU</t>
        </is>
      </c>
      <c r="D10" s="23" t="inlineStr">
        <is>
          <t>No-poach agreements under Article 101 — can a reciprocal agreement not to hire each other's staff infringe Article 101, and what is the leading precedent and fine?</t>
        </is>
      </c>
      <c r="E10" s="23">
        <f>'Q07'!B40</f>
        <v/>
      </c>
      <c r="F10" s="23">
        <f>'Q07'!B37</f>
        <v/>
      </c>
      <c r="G10" s="23">
        <f>'Q07'!B39</f>
        <v/>
      </c>
      <c r="H10" s="20">
        <f>HYPERLINK("https://docs.google.com/spreadsheets/d/1SGTTCNk9crU1EZRgL9dlNhuv_RvcJLmSnfJtXz3RjEE/edit#gid=480477156&amp;range=A1","Open")</f>
        <v/>
      </c>
    </row>
    <row r="11" ht="54" customHeight="1" s="41">
      <c r="A11" s="23" t="n">
        <v>8</v>
      </c>
      <c r="B11" s="23" t="inlineStr">
        <is>
          <t>Food delivery — remedies</t>
        </is>
      </c>
      <c r="C11" s="23" t="inlineStr">
        <is>
          <t>EU + UK + ES</t>
        </is>
      </c>
      <c r="D11" s="23" t="inlineStr">
        <is>
          <t>Remedies in food-delivery mergers — which European reviews ended in remedies or commitments, and what did they look like?</t>
        </is>
      </c>
      <c r="E11" s="23">
        <f>'Q08'!B40</f>
        <v/>
      </c>
      <c r="F11" s="23">
        <f>'Q08'!B37</f>
        <v/>
      </c>
      <c r="G11" s="23">
        <f>'Q08'!B39</f>
        <v/>
      </c>
      <c r="H11" s="20">
        <f>HYPERLINK("https://docs.google.com/spreadsheets/d/1SGTTCNk9crU1EZRgL9dlNhuv_RvcJLmSnfJtXz3RjEE/edit#gid=255925358&amp;range=A1","Open")</f>
        <v/>
      </c>
    </row>
    <row r="12" ht="54" customHeight="1" s="41">
      <c r="A12" s="23" t="n">
        <v>9</v>
      </c>
      <c r="B12" s="23" t="inlineStr">
        <is>
          <t>Food delivery — Spanish practice</t>
        </is>
      </c>
      <c r="C12" s="23" t="inlineStr">
        <is>
          <t>ES</t>
        </is>
      </c>
      <c r="D12" s="23" t="inlineStr">
        <is>
          <t>The Spanish (CNMC) food-delivery reviews — what is the CNMC's decisional practice, how many cases, and how were they resolved?</t>
        </is>
      </c>
      <c r="E12" s="23">
        <f>'Q09'!B40</f>
        <v/>
      </c>
      <c r="F12" s="23">
        <f>'Q09'!B37</f>
        <v/>
      </c>
      <c r="G12" s="23">
        <f>'Q09'!B39</f>
        <v/>
      </c>
      <c r="H12" s="20">
        <f>HYPERLINK("https://docs.google.com/spreadsheets/d/1SGTTCNk9crU1EZRgL9dlNhuv_RvcJLmSnfJtXz3RjEE/edit#gid=2000953996&amp;range=A1","Open")</f>
        <v/>
      </c>
    </row>
    <row r="13" ht="54" customHeight="1" s="41">
      <c r="A13" s="23" t="n">
        <v>10</v>
      </c>
      <c r="B13" s="23" t="inlineStr">
        <is>
          <t>Food delivery — minority shareholdings</t>
        </is>
      </c>
      <c r="C13" s="23" t="inlineStr">
        <is>
          <t>EU + UK</t>
        </is>
      </c>
      <c r="D13" s="23" t="inlineStr">
        <is>
          <t>Material influence and minority shareholdings — on what basis did the CMA take jurisdiction over a c.16% stake, and how else have authorities treated minority shareholdings in merger control?</t>
        </is>
      </c>
      <c r="E13" s="23">
        <f>'Q10'!B40</f>
        <v/>
      </c>
      <c r="F13" s="23">
        <f>'Q10'!B37</f>
        <v/>
      </c>
      <c r="G13" s="23">
        <f>'Q10'!B39</f>
        <v/>
      </c>
      <c r="H13" s="20">
        <f>HYPERLINK("https://docs.google.com/spreadsheets/d/1SGTTCNk9crU1EZRgL9dlNhuv_RvcJLmSnfJtXz3RjEE/edit#gid=1185272458&amp;range=A1","Open")</f>
        <v/>
      </c>
    </row>
    <row r="14" ht="54" customHeight="1" s="41">
      <c r="A14" s="23" t="n">
        <v>11</v>
      </c>
      <c r="B14" s="23" t="inlineStr">
        <is>
          <t>Food delivery — evolution of practice</t>
        </is>
      </c>
      <c r="C14" s="23" t="inlineStr">
        <is>
          <t>EU + UK + ES</t>
        </is>
      </c>
      <c r="D14" s="23" t="inlineStr">
        <is>
          <t>The evolution of European food-delivery merger control, 2017–2025 — how has practice evolved from the first national marketplace consolidations to the recent Commission decisions?</t>
        </is>
      </c>
      <c r="E14" s="23">
        <f>'Q11'!B40</f>
        <v/>
      </c>
      <c r="F14" s="23">
        <f>'Q11'!B37</f>
        <v/>
      </c>
      <c r="G14" s="23">
        <f>'Q11'!B39</f>
        <v/>
      </c>
      <c r="H14" s="20">
        <f>HYPERLINK("https://docs.google.com/spreadsheets/d/1SGTTCNk9crU1EZRgL9dlNhuv_RvcJLmSnfJtXz3RjEE/edit#gid=1792039940&amp;range=A1","Open")</f>
        <v/>
      </c>
    </row>
    <row r="15" ht="54" customHeight="1" s="41">
      <c r="A15" s="23" t="n">
        <v>12</v>
      </c>
      <c r="B15" s="23" t="inlineStr">
        <is>
          <t>Dawn raids — legal professional privilege</t>
        </is>
      </c>
      <c r="C15" s="23" t="inlineStr">
        <is>
          <t>France</t>
        </is>
      </c>
      <c r="D15" s="23" t="inlineStr">
        <is>
          <t>At what stage is attorney-client privilege breached during a dawn raid — when the inspector reads the document, or only when it is later used?</t>
        </is>
      </c>
      <c r="E15" s="23">
        <f>'Q12'!B40</f>
        <v/>
      </c>
      <c r="F15" s="23">
        <f>'Q12'!B37</f>
        <v/>
      </c>
      <c r="G15" s="23">
        <f>'Q12'!B39</f>
        <v/>
      </c>
      <c r="H15" s="20">
        <f>HYPERLINK("https://docs.google.com/spreadsheets/d/1SGTTCNk9crU1EZRgL9dlNhuv_RvcJLmSnfJtXz3RjEE/edit#gid=1162681808&amp;range=A1","Open")</f>
        <v/>
      </c>
    </row>
    <row r="16" ht="54" customHeight="1" s="41">
      <c r="A16" s="23" t="n">
        <v>13</v>
      </c>
      <c r="B16" s="23" t="inlineStr">
        <is>
          <t>Dawn raids — personal data</t>
        </is>
      </c>
      <c r="C16" s="23" t="inlineStr">
        <is>
          <t>France</t>
        </is>
      </c>
      <c r="D16" s="23" t="inlineStr">
        <is>
          <t>Under what conditions must the Competition Authority protect personal data during a dawn raid? Does the GDPR apply? Must documents be sealed on request?</t>
        </is>
      </c>
      <c r="E16" s="23">
        <f>'Q13'!B40</f>
        <v/>
      </c>
      <c r="F16" s="23">
        <f>'Q13'!B37</f>
        <v/>
      </c>
      <c r="G16" s="23">
        <f>'Q13'!B39</f>
        <v/>
      </c>
      <c r="H16" s="20">
        <f>HYPERLINK("https://docs.google.com/spreadsheets/d/1SGTTCNk9crU1EZRgL9dlNhuv_RvcJLmSnfJtXz3RjEE/edit#gid=1447177020&amp;range=A1","Open")</f>
        <v/>
      </c>
    </row>
    <row r="17" ht="54" customHeight="1" s="41">
      <c r="A17" s="23" t="n">
        <v>14</v>
      </c>
      <c r="B17" s="23" t="inlineStr">
        <is>
          <t>Dawn raids — challenging a seizure</t>
        </is>
      </c>
      <c r="C17" s="23" t="inlineStr">
        <is>
          <t>France</t>
        </is>
      </c>
      <c r="D17" s="23" t="inlineStr">
        <is>
          <t>After a dawn raid, can the President of the Court of Appeal be seized in interim proceedings to urgently resolve attorney-client privilege disputes? On what legal basis and under what conditions?</t>
        </is>
      </c>
      <c r="E17" s="23">
        <f>'Q14'!B40</f>
        <v/>
      </c>
      <c r="F17" s="23">
        <f>'Q14'!B37</f>
        <v/>
      </c>
      <c r="G17" s="23">
        <f>'Q14'!B39</f>
        <v/>
      </c>
      <c r="H17" s="20">
        <f>HYPERLINK("https://docs.google.com/spreadsheets/d/1SGTTCNk9crU1EZRgL9dlNhuv_RvcJLmSnfJtXz3RjEE/edit#gid=1075356362&amp;range=A1","Open")</f>
        <v/>
      </c>
    </row>
    <row r="18" ht="54" customHeight="1" s="41">
      <c r="A18" s="23" t="n">
        <v>15</v>
      </c>
      <c r="B18" s="23" t="inlineStr">
        <is>
          <t>Dawn raids — legal professional privilege</t>
        </is>
      </c>
      <c r="C18" s="23" t="inlineStr">
        <is>
          <t>EU</t>
        </is>
      </c>
      <c r="D18" s="23" t="inlineStr">
        <is>
          <t>At what stage is attorney-client privilege breached during a European Commission inspection under Article 20 of Regulation 1/2003 — when the inspector reads the document, or only when the Commission later uses it?</t>
        </is>
      </c>
      <c r="E18" s="23">
        <f>'Q15'!B40</f>
        <v/>
      </c>
      <c r="F18" s="23">
        <f>'Q15'!B37</f>
        <v/>
      </c>
      <c r="G18" s="23">
        <f>'Q15'!B39</f>
        <v/>
      </c>
      <c r="H18" s="20">
        <f>HYPERLINK("https://docs.google.com/spreadsheets/d/1SGTTCNk9crU1EZRgL9dlNhuv_RvcJLmSnfJtXz3RjEE/edit#gid=620738959&amp;range=A1","Open")</f>
        <v/>
      </c>
    </row>
    <row r="19" ht="54" customHeight="1" s="41">
      <c r="A19" s="23" t="n">
        <v>16</v>
      </c>
      <c r="B19" s="23" t="inlineStr">
        <is>
          <t>Dawn raids — personal data</t>
        </is>
      </c>
      <c r="C19" s="23" t="inlineStr">
        <is>
          <t>EU</t>
        </is>
      </c>
      <c r="D19" s="23" t="inlineStr">
        <is>
          <t>Under what conditions must the European Commission protect personal data during an inspection? Does the GDPR apply? Must documents be sealed on request?</t>
        </is>
      </c>
      <c r="E19" s="23">
        <f>'Q16'!B40</f>
        <v/>
      </c>
      <c r="F19" s="23">
        <f>'Q16'!B37</f>
        <v/>
      </c>
      <c r="G19" s="23">
        <f>'Q16'!B39</f>
        <v/>
      </c>
      <c r="H19" s="20">
        <f>HYPERLINK("https://docs.google.com/spreadsheets/d/1SGTTCNk9crU1EZRgL9dlNhuv_RvcJLmSnfJtXz3RjEE/edit#gid=141567022&amp;range=A1","Open")</f>
        <v/>
      </c>
    </row>
    <row r="20" ht="54" customHeight="1" s="41">
      <c r="A20" s="23" t="n">
        <v>17</v>
      </c>
      <c r="B20" s="23" t="inlineStr">
        <is>
          <t>Dawn raids — challenging a seizure</t>
        </is>
      </c>
      <c r="C20" s="23" t="inlineStr">
        <is>
          <t>EU</t>
        </is>
      </c>
      <c r="D20" s="23" t="inlineStr">
        <is>
          <t>What procedural avenues exist to challenge seizure of privileged documents after a European Commission inspection?</t>
        </is>
      </c>
      <c r="E20" s="23">
        <f>'Q17'!B40</f>
        <v/>
      </c>
      <c r="F20" s="23">
        <f>'Q17'!B37</f>
        <v/>
      </c>
      <c r="G20" s="23">
        <f>'Q17'!B39</f>
        <v/>
      </c>
      <c r="H20" s="20">
        <f>HYPERLINK("https://docs.google.com/spreadsheets/d/1SGTTCNk9crU1EZRgL9dlNhuv_RvcJLmSnfJtXz3RjEE/edit#gid=393784023&amp;range=A1","Open")</f>
        <v/>
      </c>
    </row>
    <row r="21" ht="54" customHeight="1" s="41">
      <c r="A21" s="23" t="n">
        <v>18</v>
      </c>
      <c r="B21" s="23" t="inlineStr">
        <is>
          <t>Dawn raids — legal professional privilege</t>
        </is>
      </c>
      <c r="C21" s="23" t="inlineStr">
        <is>
          <t>US</t>
        </is>
      </c>
      <c r="D21" s="23" t="inlineStr">
        <is>
          <t>At what stage is attorney-client privilege breached when US antitrust authorities gather documents — when the investigator reads the document, or only when it is later used?</t>
        </is>
      </c>
      <c r="E21" s="23">
        <f>'Q18'!B40</f>
        <v/>
      </c>
      <c r="F21" s="23">
        <f>'Q18'!B37</f>
        <v/>
      </c>
      <c r="G21" s="23">
        <f>'Q18'!B39</f>
        <v/>
      </c>
      <c r="H21" s="20">
        <f>HYPERLINK("https://docs.google.com/spreadsheets/d/1SGTTCNk9crU1EZRgL9dlNhuv_RvcJLmSnfJtXz3RjEE/edit#gid=631067114&amp;range=A1","Open")</f>
        <v/>
      </c>
    </row>
    <row r="22" ht="54" customHeight="1" s="41">
      <c r="A22" s="23" t="n">
        <v>19</v>
      </c>
      <c r="B22" s="23" t="inlineStr">
        <is>
          <t>Dawn raids — personal data</t>
        </is>
      </c>
      <c r="C22" s="23" t="inlineStr">
        <is>
          <t>US</t>
        </is>
      </c>
      <c r="D22" s="23" t="inlineStr">
        <is>
          <t>What protections apply to personal or otherwise sensitive data gathered by U.S. antitrust authorities, and on what grounds may material that is irrelevant, overbroad, privileged, or otherwise protected be segregated, withheld, returned, or destroyed?</t>
        </is>
      </c>
      <c r="E22" s="23">
        <f>'Q19'!B40</f>
        <v/>
      </c>
      <c r="F22" s="23">
        <f>'Q19'!B37</f>
        <v/>
      </c>
      <c r="G22" s="23">
        <f>'Q19'!B39</f>
        <v/>
      </c>
      <c r="H22" s="20">
        <f>HYPERLINK("https://docs.google.com/spreadsheets/d/1SGTTCNk9crU1EZRgL9dlNhuv_RvcJLmSnfJtXz3RjEE/edit#gid=1900000019&amp;range=A1","Open")</f>
        <v/>
      </c>
    </row>
    <row r="23" ht="54" customHeight="1" s="41">
      <c r="A23" s="23" t="n">
        <v>20</v>
      </c>
      <c r="B23" s="23" t="inlineStr">
        <is>
          <t>Dawn raids — challenging a seizure</t>
        </is>
      </c>
      <c r="C23" s="23" t="inlineStr">
        <is>
          <t>US</t>
        </is>
      </c>
      <c r="D23" s="23" t="inlineStr">
        <is>
          <t>What procedural avenues exist to challenge the seizure, review, retention, or use of privileged documents following the execution of a search warrant in a criminal antitrust investigation, and how do those remedies differ from procedures for modifying or setting aside a subpoena or Civil Investigative Demand (CID) in a civil antitrust investigation?</t>
        </is>
      </c>
      <c r="E23" s="23">
        <f>'Q20'!B40</f>
        <v/>
      </c>
      <c r="F23" s="23">
        <f>'Q20'!B37</f>
        <v/>
      </c>
      <c r="G23" s="23">
        <f>'Q20'!B39</f>
        <v/>
      </c>
      <c r="H23" s="20">
        <f>HYPERLINK("https://docs.google.com/spreadsheets/d/1SGTTCNk9crU1EZRgL9dlNhuv_RvcJLmSnfJtXz3RjEE/edit#gid=1900000020&amp;range=A1","Open")</f>
        <v/>
      </c>
    </row>
    <row r="24" ht="54" customHeight="1" s="41">
      <c r="A24" s="23" t="n">
        <v>21</v>
      </c>
      <c r="B24" s="23" t="inlineStr">
        <is>
          <t>Food delivery — data access</t>
        </is>
      </c>
      <c r="C24" s="23" t="inlineStr">
        <is>
          <t>EU + UK</t>
        </is>
      </c>
      <c r="D24" s="23" t="inlineStr">
        <is>
          <t>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c r="E24" s="23">
        <f>'Q21'!B40</f>
        <v/>
      </c>
      <c r="F24" s="23">
        <f>'Q21'!B37</f>
        <v/>
      </c>
      <c r="G24" s="23">
        <f>'Q21'!B39</f>
        <v/>
      </c>
      <c r="H24" s="20">
        <f>HYPERLINK("https://docs.google.com/spreadsheets/d/1SGTTCNk9crU1EZRgL9dlNhuv_RvcJLmSnfJtXz3RjEE/edit#gid=832901646&amp;range=A1","Open")</f>
        <v/>
      </c>
    </row>
    <row r="25" ht="54" customHeight="1" s="41">
      <c r="A25" s="23" t="n">
        <v>22</v>
      </c>
      <c r="B25" s="23" t="inlineStr">
        <is>
          <t>Food delivery — own fleet vs marketplace</t>
        </is>
      </c>
      <c r="C25" s="23" t="inlineStr">
        <is>
          <t>EU + UK + ES</t>
        </is>
      </c>
      <c r="D25" s="23" t="inlineStr">
        <is>
          <t>Can a food-delivery platform qualify as a provider of online intermediation services within the meaning of the P2B Regulation (EU) 2019/1150 — and if so, which obligations would it additionally have to comply with should it be designated as a gatekeeper under the DMA?</t>
        </is>
      </c>
      <c r="E25" s="23">
        <f>'Q22'!B40</f>
        <v/>
      </c>
      <c r="F25" s="23">
        <f>'Q22'!B37</f>
        <v/>
      </c>
      <c r="G25" s="23">
        <f>'Q22'!B39</f>
        <v/>
      </c>
      <c r="H25" s="20">
        <f>HYPERLINK("https://docs.google.com/spreadsheets/d/1SGTTCNk9crU1EZRgL9dlNhuv_RvcJLmSnfJtXz3RjEE/edit#gid=1144467272&amp;range=A1","Open")</f>
        <v/>
      </c>
    </row>
    <row r="26" ht="54" customHeight="1" s="41">
      <c r="A26" s="23" t="n">
        <v>23</v>
      </c>
      <c r="B26" s="23" t="inlineStr">
        <is>
          <t>Food delivery — which authority reviews</t>
        </is>
      </c>
      <c r="C26" s="23" t="inlineStr">
        <is>
          <t>EU + UK + ES</t>
        </is>
      </c>
      <c r="D26" s="23" t="inlineStr">
        <is>
          <t>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c r="E26" s="23">
        <f>'Q23'!B40</f>
        <v/>
      </c>
      <c r="F26" s="23">
        <f>'Q23'!B37</f>
        <v/>
      </c>
      <c r="G26" s="23">
        <f>'Q23'!B39</f>
        <v/>
      </c>
      <c r="H26" s="20">
        <f>HYPERLINK("https://docs.google.com/spreadsheets/d/1SGTTCNk9crU1EZRgL9dlNhuv_RvcJLmSnfJtXz3RjEE/edit#gid=1842731106&amp;range=A1","Open")</f>
        <v/>
      </c>
    </row>
    <row r="27" ht="54" customHeight="1" s="41">
      <c r="A27" s="23" t="n">
        <v>24</v>
      </c>
      <c r="B27" s="23" t="inlineStr">
        <is>
          <t>Dawn raids — legal professional privilege</t>
        </is>
      </c>
      <c r="C27" s="23" t="inlineStr">
        <is>
          <t>EU</t>
        </is>
      </c>
      <c r="D27" s="23" t="inlineStr">
        <is>
          <t>Does legal professional privilege in EU competition law cover advice from a company's own in-house lawyers? How have the courts justified where the line falls, and what does that mean in practice during an inspection?</t>
        </is>
      </c>
      <c r="E27" s="23">
        <f>'Q24'!B40</f>
        <v/>
      </c>
      <c r="F27" s="23">
        <f>'Q24'!B37</f>
        <v/>
      </c>
      <c r="G27" s="23">
        <f>'Q24'!B39</f>
        <v/>
      </c>
      <c r="H27" s="20">
        <f>HYPERLINK("https://docs.google.com/spreadsheets/d/1SGTTCNk9crU1EZRgL9dlNhuv_RvcJLmSnfJtXz3RjEE/edit#gid=358280174&amp;range=A1","Open")</f>
        <v/>
      </c>
    </row>
    <row r="28" ht="54" customHeight="1" s="41">
      <c r="A28" s="23" t="n">
        <v>25</v>
      </c>
      <c r="B28" s="23" t="inlineStr">
        <is>
          <t>Dawn raids — legal professional privilege</t>
        </is>
      </c>
      <c r="C28" s="23" t="inlineStr">
        <is>
          <t>France</t>
        </is>
      </c>
      <c r="D28" s="23" t="inlineStr">
        <is>
          <t>Where a French dawn raid seizes a mailbox or a set of files in bulk and privileged correspondence is found inside afterwards, what is the procedure for having it returned or destroyed, and who decides?</t>
        </is>
      </c>
      <c r="E28" s="23">
        <f>'Q25'!B40</f>
        <v/>
      </c>
      <c r="F28" s="23">
        <f>'Q25'!B37</f>
        <v/>
      </c>
      <c r="G28" s="23">
        <f>'Q25'!B39</f>
        <v/>
      </c>
      <c r="H28" s="20">
        <f>HYPERLINK("https://docs.google.com/spreadsheets/d/1SGTTCNk9crU1EZRgL9dlNhuv_RvcJLmSnfJtXz3RjEE/edit#gid=1832451430&amp;range=A1","Open")</f>
        <v/>
      </c>
    </row>
    <row r="29" ht="54" customHeight="1" s="41">
      <c r="A29" s="23" t="n">
        <v>26</v>
      </c>
      <c r="B29" s="23" t="inlineStr">
        <is>
          <t>Dawn raids — challenging a seizure</t>
        </is>
      </c>
      <c r="C29" s="23" t="inlineStr">
        <is>
          <t>France</t>
        </is>
      </c>
      <c r="D29" s="23" t="inlineStr">
        <is>
          <t>French law separates a challenge to the order authorising a dawn raid from a challenge to how the raid was carried out. What are the two routes, who hears each, what are the time limits, and what can each achieve?</t>
        </is>
      </c>
      <c r="E29" s="23">
        <f>'Q26'!B40</f>
        <v/>
      </c>
      <c r="F29" s="23">
        <f>'Q26'!B37</f>
        <v/>
      </c>
      <c r="G29" s="23">
        <f>'Q26'!B39</f>
        <v/>
      </c>
      <c r="H29" s="20">
        <f>HYPERLINK("https://docs.google.com/spreadsheets/d/1SGTTCNk9crU1EZRgL9dlNhuv_RvcJLmSnfJtXz3RjEE/edit#gid=1060349846&amp;range=A1","Open")</f>
        <v/>
      </c>
    </row>
    <row r="30" ht="54" customHeight="1" s="41">
      <c r="A30" s="23" t="n">
        <v>27</v>
      </c>
      <c r="B30" s="23" t="inlineStr">
        <is>
          <t>Dawn raids — the inspection decision</t>
        </is>
      </c>
      <c r="C30" s="23" t="inlineStr">
        <is>
          <t>EU</t>
        </is>
      </c>
      <c r="D30" s="23" t="inlineStr">
        <is>
          <t>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c r="E30" s="23">
        <f>'Q27'!B40</f>
        <v/>
      </c>
      <c r="F30" s="23">
        <f>'Q27'!B37</f>
        <v/>
      </c>
      <c r="G30" s="23">
        <f>'Q27'!B39</f>
        <v/>
      </c>
      <c r="H30" s="20">
        <f>HYPERLINK("https://docs.google.com/spreadsheets/d/1SGTTCNk9crU1EZRgL9dlNhuv_RvcJLmSnfJtXz3RjEE/edit#gid=854637919&amp;range=A1","Open")</f>
        <v/>
      </c>
    </row>
    <row r="31" ht="54" customHeight="1" s="41">
      <c r="A31" s="23" t="n">
        <v>28</v>
      </c>
      <c r="B31" s="23" t="inlineStr">
        <is>
          <t>Dawn raids — the inspection decision</t>
        </is>
      </c>
      <c r="C31" s="23" t="inlineStr">
        <is>
          <t>EU</t>
        </is>
      </c>
      <c r="D31" s="23" t="inlineStr">
        <is>
          <t>Can an inspection decision be annulled in part where the Commission's evidence supports only some of the suspected infringement period it covers, and what then happens to material already gathered?</t>
        </is>
      </c>
      <c r="E31" s="23">
        <f>'Q28'!B40</f>
        <v/>
      </c>
      <c r="F31" s="23">
        <f>'Q28'!B37</f>
        <v/>
      </c>
      <c r="G31" s="23">
        <f>'Q28'!B39</f>
        <v/>
      </c>
      <c r="H31" s="20">
        <f>HYPERLINK("https://docs.google.com/spreadsheets/d/1SGTTCNk9crU1EZRgL9dlNhuv_RvcJLmSnfJtXz3RjEE/edit#gid=481311560&amp;range=A1","Open")</f>
        <v/>
      </c>
    </row>
    <row r="32" ht="54" customHeight="1" s="41">
      <c r="A32" s="23" t="n">
        <v>29</v>
      </c>
      <c r="B32" s="23" t="inlineStr">
        <is>
          <t>Dawn raids — the inspection decision</t>
        </is>
      </c>
      <c r="C32" s="23" t="inlineStr">
        <is>
          <t>France</t>
        </is>
      </c>
      <c r="D32" s="23" t="inlineStr">
        <is>
          <t>How specific must a French dawn-raid authorisation be about the premises to be visited, the practices suspected, and the period covered? What has been held insufficient?</t>
        </is>
      </c>
      <c r="E32" s="23">
        <f>'Q29'!B40</f>
        <v/>
      </c>
      <c r="F32" s="23">
        <f>'Q29'!B37</f>
        <v/>
      </c>
      <c r="G32" s="23">
        <f>'Q29'!B39</f>
        <v/>
      </c>
      <c r="H32" s="20">
        <f>HYPERLINK("https://docs.google.com/spreadsheets/d/1SGTTCNk9crU1EZRgL9dlNhuv_RvcJLmSnfJtXz3RjEE/edit#gid=1094927511&amp;range=A1","Open")</f>
        <v/>
      </c>
    </row>
    <row r="33" ht="54" customHeight="1" s="41">
      <c r="A33" s="23" t="n">
        <v>30</v>
      </c>
      <c r="B33" s="23" t="inlineStr">
        <is>
          <t>Dawn raids — obstruction and seals</t>
        </is>
      </c>
      <c r="C33" s="23" t="inlineStr">
        <is>
          <t>EU</t>
        </is>
      </c>
      <c r="D33" s="23" t="inlineStr">
        <is>
          <t>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c r="E33" s="23">
        <f>'Q30'!B40</f>
        <v/>
      </c>
      <c r="F33" s="23">
        <f>'Q30'!B37</f>
        <v/>
      </c>
      <c r="G33" s="23">
        <f>'Q30'!B39</f>
        <v/>
      </c>
      <c r="H33" s="20">
        <f>HYPERLINK("https://docs.google.com/spreadsheets/d/1SGTTCNk9crU1EZRgL9dlNhuv_RvcJLmSnfJtXz3RjEE/edit#gid=719176577&amp;range=A1","Open")</f>
        <v/>
      </c>
    </row>
    <row r="34" ht="54" customHeight="1" s="41">
      <c r="A34" s="23" t="n">
        <v>31</v>
      </c>
      <c r="B34" s="23" t="inlineStr">
        <is>
          <t>Dawn raids — obstruction and seals</t>
        </is>
      </c>
      <c r="C34" s="23" t="inlineStr">
        <is>
          <t>EU</t>
        </is>
      </c>
      <c r="D34" s="23" t="inlineStr">
        <is>
          <t>To what extent may an undertaking be fined for the breaking of a seal in the absence of any fault or intent, and how is that reconciled with the presumption of innocence?</t>
        </is>
      </c>
      <c r="E34" s="23">
        <f>'Q31'!B40</f>
        <v/>
      </c>
      <c r="F34" s="23">
        <f>'Q31'!B37</f>
        <v/>
      </c>
      <c r="G34" s="23">
        <f>'Q31'!B39</f>
        <v/>
      </c>
      <c r="H34" s="20">
        <f>HYPERLINK("https://docs.google.com/spreadsheets/d/1SGTTCNk9crU1EZRgL9dlNhuv_RvcJLmSnfJtXz3RjEE/edit#gid=987315445&amp;range=A1","Open")</f>
        <v/>
      </c>
    </row>
    <row r="35" ht="54" customHeight="1" s="41">
      <c r="A35" s="23" t="n">
        <v>32</v>
      </c>
      <c r="B35" s="23" t="inlineStr">
        <is>
          <t>Dawn raids — obstruction and seals</t>
        </is>
      </c>
      <c r="C35" s="23" t="inlineStr">
        <is>
          <t>France</t>
        </is>
      </c>
      <c r="D35" s="23" t="inlineStr">
        <is>
          <t>What behavior during a French dawn raid (OVS) exposes a company to obstruction liability, and what training precautions follow from recent enforcement?</t>
        </is>
      </c>
      <c r="E35" s="23">
        <f>'Q32'!B40</f>
        <v/>
      </c>
      <c r="F35" s="23">
        <f>'Q32'!B37</f>
        <v/>
      </c>
      <c r="G35" s="23">
        <f>'Q32'!B39</f>
        <v/>
      </c>
      <c r="H35" s="20">
        <f>HYPERLINK("https://docs.google.com/spreadsheets/d/1SGTTCNk9crU1EZRgL9dlNhuv_RvcJLmSnfJtXz3RjEE/edit#gid=1892631162&amp;range=A1","Open")</f>
        <v/>
      </c>
    </row>
    <row r="36" ht="54" customHeight="1" s="41">
      <c r="A36" s="23" t="n">
        <v>33</v>
      </c>
      <c r="B36" s="23" t="inlineStr">
        <is>
          <t>Dawn raids — obstruction and preservation of evidence</t>
        </is>
      </c>
      <c r="C36" s="23" t="inlineStr">
        <is>
          <t>US</t>
        </is>
      </c>
      <c r="D36" s="23" t="inlineStr">
        <is>
          <t>What consequences may follow from obstructing an actual or contemplated federal antitrust investigation, including by destroying, altering, or concealing evidence, and when do separate legal obligations to preserve potentially relevant evidence arise?</t>
        </is>
      </c>
      <c r="E36" s="23">
        <f>'Q33'!B40</f>
        <v/>
      </c>
      <c r="F36" s="23">
        <f>'Q33'!B37</f>
        <v/>
      </c>
      <c r="G36" s="23">
        <f>'Q33'!B39</f>
        <v/>
      </c>
      <c r="H36" s="20">
        <f>HYPERLINK("https://docs.google.com/spreadsheets/d/1SGTTCNk9crU1EZRgL9dlNhuv_RvcJLmSnfJtXz3RjEE/edit#gid=1900000037&amp;range=A1","Open")</f>
        <v/>
      </c>
    </row>
    <row r="37" ht="54" customHeight="1" s="41">
      <c r="A37" s="23" t="n">
        <v>34</v>
      </c>
      <c r="B37" s="23" t="inlineStr">
        <is>
          <t>Dawn raids — questioning staff</t>
        </is>
      </c>
      <c r="C37" s="23" t="inlineStr">
        <is>
          <t>EU</t>
        </is>
      </c>
      <c r="D37" s="23" t="inlineStr">
        <is>
          <t>To what extent may the Commission compel answers under Article 20(2)(e) of Regulation 1/2003 before the privilege against self-incrimination intervenes — and how the distinction between answering questions of fact and admitting an infringement remain workable in practice?</t>
        </is>
      </c>
      <c r="E37" s="23">
        <f>'Q34'!B40</f>
        <v/>
      </c>
      <c r="F37" s="23">
        <f>'Q34'!B37</f>
        <v/>
      </c>
      <c r="G37" s="23">
        <f>'Q34'!B39</f>
        <v/>
      </c>
      <c r="H37" s="20">
        <f>HYPERLINK("https://docs.google.com/spreadsheets/d/1SGTTCNk9crU1EZRgL9dlNhuv_RvcJLmSnfJtXz3RjEE/edit#gid=1725701280&amp;range=A1","Open")</f>
        <v/>
      </c>
    </row>
    <row r="38" ht="54" customHeight="1" s="41">
      <c r="A38" s="23" t="n">
        <v>35</v>
      </c>
      <c r="B38" s="23" t="inlineStr">
        <is>
          <t>Dawn raids — questioning staff</t>
        </is>
      </c>
      <c r="C38" s="23" t="inlineStr">
        <is>
          <t>France</t>
        </is>
      </c>
      <c r="D38" s="23" t="inlineStr">
        <is>
          <t>Can employees be required to answer questions during a French dawn raid, and what protection against self-incrimination do they and the company have?</t>
        </is>
      </c>
      <c r="E38" s="23">
        <f>'Q35'!B40</f>
        <v/>
      </c>
      <c r="F38" s="23">
        <f>'Q35'!B37</f>
        <v/>
      </c>
      <c r="G38" s="23">
        <f>'Q35'!B39</f>
        <v/>
      </c>
      <c r="H38" s="20">
        <f>HYPERLINK("https://docs.google.com/spreadsheets/d/1SGTTCNk9crU1EZRgL9dlNhuv_RvcJLmSnfJtXz3RjEE/edit#gid=786847173&amp;range=A1","Open")</f>
        <v/>
      </c>
    </row>
    <row r="39" ht="54" customHeight="1" s="41">
      <c r="A39" s="23" t="n">
        <v>36</v>
      </c>
      <c r="B39" s="23" t="inlineStr">
        <is>
          <t>Dawn raids — questioning staff</t>
        </is>
      </c>
      <c r="C39" s="23" t="inlineStr">
        <is>
          <t>US</t>
        </is>
      </c>
      <c r="D39" s="23" t="inlineStr">
        <is>
          <t>How does the Fifth Amendment privilege against self-incrimination apply in a U.S. antitrust investigation to compelled oral testimony versus the production of documents? Why does the privilege belong to natural persons rather than corporations, and how does the collective-entity doctrine affect an individual custodian who is required to produce corporate records?</t>
        </is>
      </c>
      <c r="E39" s="23">
        <f>'Q36'!B40</f>
        <v/>
      </c>
      <c r="F39" s="23">
        <f>'Q36'!B37</f>
        <v/>
      </c>
      <c r="G39" s="23">
        <f>'Q36'!B39</f>
        <v/>
      </c>
      <c r="H39" s="20">
        <f>HYPERLINK("https://docs.google.com/spreadsheets/d/1SGTTCNk9crU1EZRgL9dlNhuv_RvcJLmSnfJtXz3RjEE/edit#gid=1900000040&amp;range=A1","Open")</f>
        <v/>
      </c>
    </row>
    <row r="40" ht="54" customHeight="1" s="41">
      <c r="A40" s="23" t="n">
        <v>37</v>
      </c>
      <c r="B40" s="23" t="inlineStr">
        <is>
          <t>Dawn raids — electronic data</t>
        </is>
      </c>
      <c r="C40" s="23" t="inlineStr">
        <is>
          <t>EU</t>
        </is>
      </c>
      <c r="D40" s="23" t="inlineStr">
        <is>
          <t>May the Commission take a forensic copy of a company's electronic data and carry on examining it at its own premises after the inspection has ended? What safeguards apply, and what rights does the company keep over that copy?</t>
        </is>
      </c>
      <c r="E40" s="23">
        <f>'Q37'!B40</f>
        <v/>
      </c>
      <c r="F40" s="23">
        <f>'Q37'!B37</f>
        <v/>
      </c>
      <c r="G40" s="23">
        <f>'Q37'!B39</f>
        <v/>
      </c>
      <c r="H40" s="20">
        <f>HYPERLINK("https://docs.google.com/spreadsheets/d/1SGTTCNk9crU1EZRgL9dlNhuv_RvcJLmSnfJtXz3RjEE/edit#gid=581550900&amp;range=A1","Open")</f>
        <v/>
      </c>
    </row>
    <row r="41" ht="54" customHeight="1" s="41">
      <c r="A41" s="23" t="n">
        <v>38</v>
      </c>
      <c r="B41" s="23" t="inlineStr">
        <is>
          <t>Dawn raids — electronic data</t>
        </is>
      </c>
      <c r="C41" s="23" t="inlineStr">
        <is>
          <t>EU</t>
        </is>
      </c>
      <c r="D41" s="23" t="inlineStr">
        <is>
          <t>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c r="E41" s="23">
        <f>'Q38'!B40</f>
        <v/>
      </c>
      <c r="F41" s="23">
        <f>'Q38'!B37</f>
        <v/>
      </c>
      <c r="G41" s="23">
        <f>'Q38'!B39</f>
        <v/>
      </c>
      <c r="H41" s="20">
        <f>HYPERLINK("https://docs.google.com/spreadsheets/d/1SGTTCNk9crU1EZRgL9dlNhuv_RvcJLmSnfJtXz3RjEE/edit#gid=290888835&amp;range=A1","Open")</f>
        <v/>
      </c>
    </row>
    <row r="42" ht="54" customHeight="1" s="41">
      <c r="A42" s="23" t="n">
        <v>39</v>
      </c>
      <c r="B42" s="23" t="inlineStr">
        <is>
          <t>Dawn raids — electronic data</t>
        </is>
      </c>
      <c r="C42" s="23" t="inlineStr">
        <is>
          <t>France</t>
        </is>
      </c>
      <c r="D42" s="23" t="inlineStr">
        <is>
          <t>Under what conditions can French competition authorities seize entire mailboxes during a dawn raid rather than sorting them on-site, how is the in-scope material subsequently identified, and what happens to material found to be out of scope?</t>
        </is>
      </c>
      <c r="E42" s="23">
        <f>'Q39'!B40</f>
        <v/>
      </c>
      <c r="F42" s="23">
        <f>'Q39'!B37</f>
        <v/>
      </c>
      <c r="G42" s="23">
        <f>'Q39'!B39</f>
        <v/>
      </c>
      <c r="H42" s="20">
        <f>HYPERLINK("https://docs.google.com/spreadsheets/d/1SGTTCNk9crU1EZRgL9dlNhuv_RvcJLmSnfJtXz3RjEE/edit#gid=224496350&amp;range=A1","Open")</f>
        <v/>
      </c>
    </row>
    <row r="43" ht="54" customHeight="1" s="41">
      <c r="A43" s="23" t="n">
        <v>40</v>
      </c>
      <c r="B43" s="23" t="inlineStr">
        <is>
          <t>Dawn raids — electronic data</t>
        </is>
      </c>
      <c r="C43" s="23" t="inlineStr">
        <is>
          <t>US</t>
        </is>
      </c>
      <c r="D43" s="23" t="inlineStr">
        <is>
          <t>In a criminal U.S. antitrust investigation, when may electronic devices or electronically stored information be seized or copied for later off-site review, and what limits do the search warrant, Rule 41, the Fourth Amendment, and privilege-review procedures impose?</t>
        </is>
      </c>
      <c r="E43" s="23">
        <f>'Q40'!B40</f>
        <v/>
      </c>
      <c r="F43" s="23">
        <f>'Q40'!B37</f>
        <v/>
      </c>
      <c r="G43" s="23">
        <f>'Q40'!B39</f>
        <v/>
      </c>
      <c r="H43" s="20">
        <f>HYPERLINK("https://docs.google.com/spreadsheets/d/1SGTTCNk9crU1EZRgL9dlNhuv_RvcJLmSnfJtXz3RjEE/edit#gid=1900000044&amp;range=A1","Open")</f>
        <v/>
      </c>
    </row>
    <row r="44" ht="54" customHeight="1" s="41">
      <c r="A44" s="23" t="n">
        <v>41</v>
      </c>
      <c r="B44" s="23" t="inlineStr">
        <is>
          <t>Dawn raids — evidence found by accident</t>
        </is>
      </c>
      <c r="C44" s="23" t="inlineStr">
        <is>
          <t>EU</t>
        </is>
      </c>
      <c r="D44" s="23" t="inlineStr">
        <is>
          <t>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c r="E44" s="23">
        <f>'Q41'!B40</f>
        <v/>
      </c>
      <c r="F44" s="23">
        <f>'Q41'!B37</f>
        <v/>
      </c>
      <c r="G44" s="23">
        <f>'Q41'!B39</f>
        <v/>
      </c>
      <c r="H44" s="20">
        <f>HYPERLINK("https://docs.google.com/spreadsheets/d/1SGTTCNk9crU1EZRgL9dlNhuv_RvcJLmSnfJtXz3RjEE/edit#gid=394068235&amp;range=A1","Open")</f>
        <v/>
      </c>
    </row>
    <row r="45" ht="54" customHeight="1" s="41">
      <c r="A45" s="23" t="n">
        <v>42</v>
      </c>
      <c r="B45" s="23" t="inlineStr">
        <is>
          <t>Dawn raids — evidence found by accident</t>
        </is>
      </c>
      <c r="C45" s="23" t="inlineStr">
        <is>
          <t>EU</t>
        </is>
      </c>
      <c r="D45" s="23" t="inlineStr">
        <is>
          <t>Can the Commission inspect a company over conduct a national authority has already investigated? What limits apply, and how have the courts treated the overlap?</t>
        </is>
      </c>
      <c r="E45" s="23">
        <f>'Q42'!B40</f>
        <v/>
      </c>
      <c r="F45" s="23">
        <f>'Q42'!B37</f>
        <v/>
      </c>
      <c r="G45" s="23">
        <f>'Q42'!B39</f>
        <v/>
      </c>
      <c r="H45" s="20">
        <f>HYPERLINK("https://docs.google.com/spreadsheets/d/1SGTTCNk9crU1EZRgL9dlNhuv_RvcJLmSnfJtXz3RjEE/edit#gid=23567523&amp;range=A1","Open")</f>
        <v/>
      </c>
    </row>
    <row r="46" ht="54" customHeight="1" s="41">
      <c r="A46" s="23" t="n">
        <v>43</v>
      </c>
      <c r="B46" s="23" t="inlineStr">
        <is>
          <t>Dawn raids — premises and the courts</t>
        </is>
      </c>
      <c r="C46" s="23" t="inlineStr">
        <is>
          <t>EU</t>
        </is>
      </c>
      <c r="D46" s="23" t="inlineStr">
        <is>
          <t>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c r="E46" s="23">
        <f>'Q43'!B40</f>
        <v/>
      </c>
      <c r="F46" s="23">
        <f>'Q43'!B37</f>
        <v/>
      </c>
      <c r="G46" s="23">
        <f>'Q43'!B39</f>
        <v/>
      </c>
      <c r="H46" s="20">
        <f>HYPERLINK("https://docs.google.com/spreadsheets/d/1SGTTCNk9crU1EZRgL9dlNhuv_RvcJLmSnfJtXz3RjEE/edit#gid=1337837468&amp;range=A1","Open")</f>
        <v/>
      </c>
    </row>
    <row r="47" ht="54" customHeight="1" s="41">
      <c r="A47" s="23" t="n">
        <v>44</v>
      </c>
      <c r="B47" s="23" t="inlineStr">
        <is>
          <t>Dawn raids — premises and the courts</t>
        </is>
      </c>
      <c r="C47" s="23" t="inlineStr">
        <is>
          <t>EU</t>
        </is>
      </c>
      <c r="D47" s="23" t="inlineStr">
        <is>
          <t>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c r="E47" s="23">
        <f>'Q44'!B40</f>
        <v/>
      </c>
      <c r="F47" s="23">
        <f>'Q44'!B37</f>
        <v/>
      </c>
      <c r="G47" s="23">
        <f>'Q44'!B39</f>
        <v/>
      </c>
      <c r="H47" s="20">
        <f>HYPERLINK("https://docs.google.com/spreadsheets/d/1SGTTCNk9crU1EZRgL9dlNhuv_RvcJLmSnfJtXz3RjEE/edit#gid=415100601&amp;range=A1","Open")</f>
        <v/>
      </c>
    </row>
    <row r="48" ht="54" customHeight="1" s="41">
      <c r="A48" s="23" t="n">
        <v>45</v>
      </c>
      <c r="B48" s="23" t="inlineStr">
        <is>
          <t>Dawn raids — premises and the courts</t>
        </is>
      </c>
      <c r="C48" s="23" t="inlineStr">
        <is>
          <t>France</t>
        </is>
      </c>
      <c r="D48" s="23" t="inlineStr">
        <is>
          <t>When must a French dawn raid be authorised in advance by the juge des libertés et de la détention , and what does that judge control  before, during, and after the operation?</t>
        </is>
      </c>
      <c r="E48" s="23">
        <f>'Q45'!B40</f>
        <v/>
      </c>
      <c r="F48" s="23">
        <f>'Q45'!B37</f>
        <v/>
      </c>
      <c r="G48" s="23">
        <f>'Q45'!B39</f>
        <v/>
      </c>
      <c r="H48" s="20">
        <f>HYPERLINK("https://docs.google.com/spreadsheets/d/1SGTTCNk9crU1EZRgL9dlNhuv_RvcJLmSnfJtXz3RjEE/edit#gid=1504695928&amp;range=A1","Open")</f>
        <v/>
      </c>
    </row>
    <row r="49" ht="54" customHeight="1" s="41">
      <c r="A49" s="23" t="n">
        <v>46</v>
      </c>
      <c r="B49" s="23" t="inlineStr">
        <is>
          <t>Dawn raids — premises and the courts</t>
        </is>
      </c>
      <c r="C49" s="23" t="inlineStr">
        <is>
          <t>US</t>
        </is>
      </c>
      <c r="D49" s="23" t="inlineStr">
        <is>
          <t>What must the Department of Justice establish to obtain and execute a search warrant in a criminal antitrust investigation, and what limits apply to the search? How do criminal search warrants differ from grand-jury subpoenas in criminal investigations and from subpoenas or Civil Investigative Demands (CIDs) used in civil antitrust investigations?</t>
        </is>
      </c>
      <c r="E49" s="23">
        <f>'Q46'!B40</f>
        <v/>
      </c>
      <c r="F49" s="23">
        <f>'Q46'!B37</f>
        <v/>
      </c>
      <c r="G49" s="23">
        <f>'Q46'!B39</f>
        <v/>
      </c>
      <c r="H49" s="20">
        <f>HYPERLINK("https://docs.google.com/spreadsheets/d/1SGTTCNk9crU1EZRgL9dlNhuv_RvcJLmSnfJtXz3RjEE/edit#gid=1900000050&amp;range=A1","Open")</f>
        <v/>
      </c>
    </row>
    <row r="50" ht="54" customHeight="1" s="41">
      <c r="A50" s="23" t="n">
        <v>47</v>
      </c>
      <c r="B50" s="23" t="inlineStr">
        <is>
          <t>Dawn raids — personal data</t>
        </is>
      </c>
      <c r="C50" s="23" t="inlineStr">
        <is>
          <t>EU</t>
        </is>
      </c>
      <c r="D50" s="23" t="inlineStr">
        <is>
          <t>To what extent may the Commission inspect private correspondence, personal devices and employees’ personal data during a dawn raid, and does the sealed-envelope procedure extend beyond legally privileged material?</t>
        </is>
      </c>
      <c r="E50" s="23">
        <f>'Q47'!B40</f>
        <v/>
      </c>
      <c r="F50" s="23">
        <f>'Q47'!B37</f>
        <v/>
      </c>
      <c r="G50" s="23">
        <f>'Q47'!B39</f>
        <v/>
      </c>
      <c r="H50" s="20">
        <f>HYPERLINK("https://docs.google.com/spreadsheets/d/1SGTTCNk9crU1EZRgL9dlNhuv_RvcJLmSnfJtXz3RjEE/edit#gid=1734276489&amp;range=A1","Open")</f>
        <v/>
      </c>
    </row>
    <row r="51" ht="54" customHeight="1" s="41">
      <c r="A51" s="23" t="n">
        <v>48</v>
      </c>
      <c r="B51" s="23" t="inlineStr">
        <is>
          <t>Dawn raids — legal professional privilege</t>
        </is>
      </c>
      <c r="C51" s="23" t="inlineStr">
        <is>
          <t>France</t>
        </is>
      </c>
      <c r="D51" s="23" t="inlineStr">
        <is>
          <t>Under French law, to what extent are communications between a company and its lawyers protected during a competition dawn raid, how can the company challenge the seizure of allegedly privileged material, and what remedies are available if privileged documents have been seized (including return, destruction, or exclusion from the investigation)?</t>
        </is>
      </c>
      <c r="E51" s="23">
        <f>'Q48'!B40</f>
        <v/>
      </c>
      <c r="F51" s="23">
        <f>'Q48'!B37</f>
        <v/>
      </c>
      <c r="G51" s="23">
        <f>'Q48'!B39</f>
        <v/>
      </c>
      <c r="H51" s="20">
        <f>HYPERLINK("https://docs.google.com/spreadsheets/d/1SGTTCNk9crU1EZRgL9dlNhuv_RvcJLmSnfJtXz3RjEE/edit#gid=1544115431&amp;range=A1","Open")</f>
        <v/>
      </c>
    </row>
    <row r="52" ht="54" customHeight="1" s="41">
      <c r="A52" s="23" t="n">
        <v>49</v>
      </c>
      <c r="B52" s="23" t="inlineStr">
        <is>
          <t>Dawn raids — grounds for an inspection</t>
        </is>
      </c>
      <c r="C52" s="23" t="inlineStr">
        <is>
          <t>EU</t>
        </is>
      </c>
      <c r="D52" s="23" t="inlineStr">
        <is>
          <t>What evidentiary threshold must the European Commission meet to justify a dawn raid, including the requirement for “sufficiently serious indicia”?</t>
        </is>
      </c>
      <c r="E52" s="23">
        <f>'Q49'!B40</f>
        <v/>
      </c>
      <c r="F52" s="23">
        <f>'Q49'!B37</f>
        <v/>
      </c>
      <c r="G52" s="23">
        <f>'Q49'!B39</f>
        <v/>
      </c>
      <c r="H52" s="20">
        <f>HYPERLINK("https://docs.google.com/spreadsheets/d/1SGTTCNk9crU1EZRgL9dlNhuv_RvcJLmSnfJtXz3RjEE/edit#gid=1497151088&amp;range=A1","Open")</f>
        <v/>
      </c>
    </row>
    <row r="53" ht="54" customHeight="1" s="41">
      <c r="A53" s="23" t="n">
        <v>50</v>
      </c>
      <c r="B53" s="23" t="inlineStr">
        <is>
          <t>Dawn raids — grounds for an inspection</t>
        </is>
      </c>
      <c r="C53" s="23" t="inlineStr">
        <is>
          <t>EU</t>
        </is>
      </c>
      <c r="D53" s="23" t="inlineStr">
        <is>
          <t>What is an undertaking entitled to know about the indicia underpinning an inspection decision, beyond its subject matter and purpose under Article 20(4) of Regulation 1/2003?</t>
        </is>
      </c>
      <c r="E53" s="23">
        <f>'Q50'!B40</f>
        <v/>
      </c>
      <c r="F53" s="23">
        <f>'Q50'!B37</f>
        <v/>
      </c>
      <c r="G53" s="23">
        <f>'Q50'!B39</f>
        <v/>
      </c>
      <c r="H53" s="20">
        <f>HYPERLINK("https://docs.google.com/spreadsheets/d/1SGTTCNk9crU1EZRgL9dlNhuv_RvcJLmSnfJtXz3RjEE/edit#gid=11098577&amp;range=A1","Open")</f>
        <v/>
      </c>
    </row>
    <row r="54" ht="54" customHeight="1" s="41">
      <c r="A54" s="23" t="n">
        <v>51</v>
      </c>
      <c r="B54" s="23" t="inlineStr">
        <is>
          <t>Dawn raids — legal professional privilege</t>
        </is>
      </c>
      <c r="C54" s="23" t="inlineStr">
        <is>
          <t>US</t>
        </is>
      </c>
      <c r="D54" s="23" t="inlineStr">
        <is>
          <t>How are attorney-client privilege and work-product protection safeguarded in U.S. antitrust investigations conducted through criminal search warrants or civil compulsory process? What protections, including filter teams or special masters, prevent privileged material from reaching the investigating team, and at what stages can privilege concerns arise — seizure, initial review, disclosure, retention, or derivative use?</t>
        </is>
      </c>
      <c r="E54" s="23">
        <f>'Q51'!B40</f>
        <v/>
      </c>
      <c r="F54" s="23">
        <f>'Q51'!B37</f>
        <v/>
      </c>
      <c r="G54" s="23">
        <f>'Q51'!B39</f>
        <v/>
      </c>
      <c r="H54" s="20">
        <f>HYPERLINK("https://docs.google.com/spreadsheets/d/1SGTTCNk9crU1EZRgL9dlNhuv_RvcJLmSnfJtXz3RjEE/edit#gid=1900000055&amp;range=A1","Open")</f>
        <v/>
      </c>
    </row>
    <row r="55" ht="54" customHeight="1" s="41">
      <c r="A55" s="23" t="n">
        <v>52</v>
      </c>
      <c r="B55" s="23" t="inlineStr">
        <is>
          <t>Dawn raids — electronic data</t>
        </is>
      </c>
      <c r="C55" s="23" t="inlineStr">
        <is>
          <t>US</t>
        </is>
      </c>
      <c r="D55" s="23" t="inlineStr">
        <is>
          <t>How does obtaining and reviewing electronically stored information through subpoenas or Civil Investigative Demands (CIDs) in civil antitrust investigations differ from the criminal-search process?</t>
        </is>
      </c>
      <c r="E55" s="23">
        <f>'Q52'!B40</f>
        <v/>
      </c>
      <c r="F55" s="23">
        <f>'Q52'!B37</f>
        <v/>
      </c>
      <c r="G55" s="23">
        <f>'Q52'!B39</f>
        <v/>
      </c>
      <c r="H55" s="20">
        <f>HYPERLINK("https://docs.google.com/spreadsheets/d/1SGTTCNk9crU1EZRgL9dlNhuv_RvcJLmSnfJtXz3RjEE/edit#gid=1900000056&amp;range=A1","Open")</f>
        <v/>
      </c>
    </row>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row r="1001" ht="15.75" customHeight="1" s="41"/>
    <row r="1002" ht="15.75" customHeight="1" s="41"/>
    <row r="1003" ht="15.75" customHeight="1" s="41"/>
    <row r="1004" ht="15.75" customHeight="1" s="41"/>
    <row r="1005" ht="15.75" customHeight="1" s="41"/>
    <row r="1006" ht="15.75" customHeight="1" s="41"/>
    <row r="1007" ht="15.75" customHeight="1" s="41"/>
    <row r="1008" ht="15.75" customHeight="1" s="41"/>
  </sheetData>
  <autoFilter ref="$A$3:$H$55"/>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Q01 — Expert Review</t>
        </is>
      </c>
    </row>
    <row r="2" hidden="1" s="41">
      <c r="A2" s="44" t="inlineStr">
        <is>
          <t>Question metadata</t>
        </is>
      </c>
    </row>
    <row r="3" hidden="1" s="41">
      <c r="A3" s="13" t="inlineStr">
        <is>
          <t>Question ID</t>
        </is>
      </c>
      <c r="B3" s="39" t="n">
        <v>1</v>
      </c>
    </row>
    <row r="4" hidden="1" s="41">
      <c r="A4" s="13" t="inlineStr">
        <is>
          <t>Topic</t>
        </is>
      </c>
      <c r="B4" s="40" t="inlineStr">
        <is>
          <t>Food delivery — market definition</t>
        </is>
      </c>
    </row>
    <row r="5" hidden="1" s="41">
      <c r="A5" s="13" t="inlineStr">
        <is>
          <t>Scope</t>
        </is>
      </c>
      <c r="B5" s="40" t="inlineStr">
        <is>
          <t>EU + UK + ES</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The relevant market in a food-delivery acquisition — how have the Commission and national authorities defined the relevant product and geographic markets, and on what rationales?</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ColWidth="14.43" defaultRowHeight="15" customHeight="1"/>
  <cols>
    <col width="8.710000000000001" customWidth="1" style="41" min="1" max="26"/>
  </cols>
  <sheetData>
    <row r="1">
      <c r="A1" s="18" t="inlineStr">
        <is>
          <t>A</t>
        </is>
      </c>
      <c r="B1" s="18" t="inlineStr">
        <is>
          <t>B</t>
        </is>
      </c>
      <c r="C1" s="18" t="inlineStr">
        <is>
          <t>C</t>
        </is>
      </c>
      <c r="D1" s="18" t="inlineStr">
        <is>
          <t>D</t>
        </is>
      </c>
      <c r="E1" s="18" t="inlineStr">
        <is>
          <t>E</t>
        </is>
      </c>
      <c r="F1" s="18" t="inlineStr">
        <is>
          <t>F</t>
        </is>
      </c>
      <c r="G1" s="18" t="inlineStr">
        <is>
          <t>G</t>
        </is>
      </c>
      <c r="H1" s="18" t="inlineStr">
        <is>
          <t>H</t>
        </is>
      </c>
    </row>
    <row r="2">
      <c r="A2" s="18" t="inlineStr">
        <is>
          <t>Yes</t>
        </is>
      </c>
      <c r="B2" s="18" t="inlineStr">
        <is>
          <t>Not started</t>
        </is>
      </c>
      <c r="C2" s="18" t="inlineStr">
        <is>
          <t>Acceptable</t>
        </is>
      </c>
      <c r="D2" s="18" t="inlineStr">
        <is>
          <t>Supported</t>
        </is>
      </c>
      <c r="E2" s="18" t="inlineStr">
        <is>
          <t>None</t>
        </is>
      </c>
      <c r="F2" s="18" t="inlineStr">
        <is>
          <t>Primary law</t>
        </is>
      </c>
      <c r="G2" s="18" t="inlineStr">
        <is>
          <t>Yes</t>
        </is>
      </c>
      <c r="H2" s="18" t="inlineStr">
        <is>
          <t>Relevant</t>
        </is>
      </c>
    </row>
    <row r="3">
      <c r="A3" s="18" t="inlineStr">
        <is>
          <t>No</t>
        </is>
      </c>
      <c r="B3" s="18" t="inlineStr">
        <is>
          <t>In review</t>
        </is>
      </c>
      <c r="C3" s="18" t="inlineStr">
        <is>
          <t>Partly acceptable</t>
        </is>
      </c>
      <c r="D3" s="18" t="inlineStr">
        <is>
          <t>Partly supported</t>
        </is>
      </c>
      <c r="E3" s="18" t="inlineStr">
        <is>
          <t>Missing source</t>
        </is>
      </c>
      <c r="F3" s="18" t="inlineStr">
        <is>
          <t>Concurrences commentary</t>
        </is>
      </c>
      <c r="G3" s="18" t="inlineStr">
        <is>
          <t>No</t>
        </is>
      </c>
      <c r="H3" s="18" t="inlineStr">
        <is>
          <t>Not relevant</t>
        </is>
      </c>
    </row>
    <row r="4">
      <c r="B4" s="18" t="inlineStr">
        <is>
          <t>Completed</t>
        </is>
      </c>
      <c r="C4" s="18" t="inlineStr">
        <is>
          <t>Not acceptable</t>
        </is>
      </c>
      <c r="D4" s="18" t="inlineStr">
        <is>
          <t>Not supported</t>
        </is>
      </c>
      <c r="E4" s="18" t="inlineStr">
        <is>
          <t>Wrong citation</t>
        </is>
      </c>
      <c r="F4" s="18" t="inlineStr">
        <is>
          <t>Other commentary</t>
        </is>
      </c>
      <c r="G4" s="18" t="inlineStr">
        <is>
          <t>Unsure</t>
        </is>
      </c>
      <c r="H4" s="18" t="inlineStr">
        <is>
          <t>Duplicate</t>
        </is>
      </c>
    </row>
    <row r="5">
      <c r="B5" s="18" t="inlineStr">
        <is>
          <t>Needs follow-up</t>
        </is>
      </c>
      <c r="D5" s="18" t="inlineStr">
        <is>
          <t>Wrong source</t>
        </is>
      </c>
      <c r="E5" s="18" t="inlineStr">
        <is>
          <t>Overclaim</t>
        </is>
      </c>
      <c r="F5" s="18" t="inlineStr">
        <is>
          <t>Other</t>
        </is>
      </c>
      <c r="H5" s="18" t="inlineStr">
        <is>
          <t>Trap</t>
        </is>
      </c>
    </row>
    <row r="6">
      <c r="D6" s="18" t="inlineStr">
        <is>
          <t>Missing citation</t>
        </is>
      </c>
      <c r="E6" s="18" t="inlineStr">
        <is>
          <t>Unsupported claim</t>
        </is>
      </c>
      <c r="H6" s="18" t="inlineStr">
        <is>
          <t>Missing important source</t>
        </is>
      </c>
    </row>
    <row r="7">
      <c r="D7" s="18" t="inlineStr">
        <is>
          <t>Not a legal claim</t>
        </is>
      </c>
      <c r="E7" s="18" t="inlineStr">
        <is>
          <t>Ambiguous wording</t>
        </is>
      </c>
    </row>
    <row r="8">
      <c r="E8" s="18" t="inlineStr">
        <is>
          <t>Other</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B6" sqref="B6"/>
    </sheetView>
  </sheetViews>
  <sheetFormatPr baseColWidth="8" defaultColWidth="14.43" defaultRowHeight="15" customHeight="1"/>
  <cols>
    <col width="14.14" customWidth="1" style="41" min="1" max="1"/>
    <col width="15.14" customWidth="1" style="41" min="2" max="2"/>
    <col width="17.71" customWidth="1" style="41" min="3" max="3"/>
    <col width="24.71" customWidth="1" style="41" min="4" max="5"/>
    <col width="8.710000000000001" customWidth="1" style="41" min="6" max="20"/>
  </cols>
  <sheetData>
    <row r="1">
      <c r="A1" s="43" t="inlineStr">
        <is>
          <t>Scoring Summary</t>
        </is>
      </c>
    </row>
    <row r="2">
      <c r="A2" s="40" t="inlineStr">
        <is>
          <t>Team-facing summary. Experts only need to complete the question tabs; this sheet pulls verdicts together.</t>
        </is>
      </c>
    </row>
    <row r="3">
      <c r="A3" s="40" t="n"/>
      <c r="B3" s="40" t="n"/>
      <c r="C3" s="40" t="n"/>
      <c r="D3" s="40" t="n"/>
      <c r="E3" s="40" t="n"/>
    </row>
    <row r="4">
      <c r="A4" s="24" t="inlineStr">
        <is>
          <t>Question ID</t>
        </is>
      </c>
      <c r="B4" s="24" t="inlineStr">
        <is>
          <t>Total claims</t>
        </is>
      </c>
      <c r="C4" s="24" t="inlineStr">
        <is>
          <t>Supports claim</t>
        </is>
      </c>
      <c r="D4" s="24" t="inlineStr">
        <is>
          <t>Partially supports claim</t>
        </is>
      </c>
      <c r="E4" s="24" t="inlineStr">
        <is>
          <t>Does not support claim</t>
        </is>
      </c>
    </row>
    <row r="5">
      <c r="A5" s="23" t="n">
        <v>1</v>
      </c>
      <c r="B5" s="23">
        <f>COUNTA('Q01'!B26:B34)</f>
        <v/>
      </c>
      <c r="C5" s="23">
        <f>COUNTIF('Q01'!D26:D34,"Supports claim")</f>
        <v/>
      </c>
      <c r="D5" s="23">
        <f>COUNTIF('Q01'!D26:D34,"Partially supports claim")</f>
        <v/>
      </c>
      <c r="E5" s="23">
        <f>COUNTIF('Q01'!D26:D34,"Does not support claim")</f>
        <v/>
      </c>
    </row>
    <row r="6">
      <c r="A6" s="23" t="n">
        <v>2</v>
      </c>
      <c r="B6" s="23">
        <f>COUNTA('Q02'!B26:B34)</f>
        <v/>
      </c>
      <c r="C6" s="23">
        <f>COUNTIF('Q02'!D26:D34,"Supports claim")</f>
        <v/>
      </c>
      <c r="D6" s="23">
        <f>COUNTIF('Q02'!D26:D34,"Partially supports claim")</f>
        <v/>
      </c>
      <c r="E6" s="23">
        <f>COUNTIF('Q02'!D26:D34,"Does not support claim")</f>
        <v/>
      </c>
    </row>
    <row r="7">
      <c r="A7" s="23" t="n">
        <v>3</v>
      </c>
      <c r="B7" s="23">
        <f>COUNTA('Q03'!B26:B34)</f>
        <v/>
      </c>
      <c r="C7" s="23">
        <f>COUNTIF('Q03'!D26:D34,"Supports claim")</f>
        <v/>
      </c>
      <c r="D7" s="23">
        <f>COUNTIF('Q03'!D26:D34,"Partially supports claim")</f>
        <v/>
      </c>
      <c r="E7" s="23">
        <f>COUNTIF('Q03'!D26:D34,"Does not support claim")</f>
        <v/>
      </c>
    </row>
    <row r="8">
      <c r="A8" s="23" t="n">
        <v>4</v>
      </c>
      <c r="B8" s="23">
        <f>COUNTA('Q04'!B26:B34)</f>
        <v/>
      </c>
      <c r="C8" s="23">
        <f>COUNTIF('Q04'!D26:D34,"Supports claim")</f>
        <v/>
      </c>
      <c r="D8" s="23">
        <f>COUNTIF('Q04'!D26:D34,"Partially supports claim")</f>
        <v/>
      </c>
      <c r="E8" s="23">
        <f>COUNTIF('Q04'!D26:D34,"Does not support claim")</f>
        <v/>
      </c>
    </row>
    <row r="9">
      <c r="A9" s="23" t="n">
        <v>5</v>
      </c>
      <c r="B9" s="23">
        <f>COUNTA('Q05'!B26:B34)</f>
        <v/>
      </c>
      <c r="C9" s="23">
        <f>COUNTIF('Q05'!D26:D34,"Supports claim")</f>
        <v/>
      </c>
      <c r="D9" s="23">
        <f>COUNTIF('Q05'!D26:D34,"Partially supports claim")</f>
        <v/>
      </c>
      <c r="E9" s="23">
        <f>COUNTIF('Q05'!D26:D34,"Does not support claim")</f>
        <v/>
      </c>
    </row>
    <row r="10">
      <c r="A10" s="23" t="n">
        <v>6</v>
      </c>
      <c r="B10" s="23">
        <f>COUNTA('Q06'!B26:B34)</f>
        <v/>
      </c>
      <c r="C10" s="23">
        <f>COUNTIF('Q06'!D26:D34,"Supports claim")</f>
        <v/>
      </c>
      <c r="D10" s="23">
        <f>COUNTIF('Q06'!D26:D34,"Partially supports claim")</f>
        <v/>
      </c>
      <c r="E10" s="23">
        <f>COUNTIF('Q06'!D26:D34,"Does not support claim")</f>
        <v/>
      </c>
    </row>
    <row r="11">
      <c r="A11" s="23" t="n">
        <v>7</v>
      </c>
      <c r="B11" s="23">
        <f>COUNTA('Q07'!B26:B34)</f>
        <v/>
      </c>
      <c r="C11" s="23">
        <f>COUNTIF('Q07'!D26:D34,"Supports claim")</f>
        <v/>
      </c>
      <c r="D11" s="23">
        <f>COUNTIF('Q07'!D26:D34,"Partially supports claim")</f>
        <v/>
      </c>
      <c r="E11" s="23">
        <f>COUNTIF('Q07'!D26:D34,"Does not support claim")</f>
        <v/>
      </c>
    </row>
    <row r="12">
      <c r="A12" s="23" t="n">
        <v>8</v>
      </c>
      <c r="B12" s="23">
        <f>COUNTA('Q08'!B26:B34)</f>
        <v/>
      </c>
      <c r="C12" s="23">
        <f>COUNTIF('Q08'!D26:D34,"Supports claim")</f>
        <v/>
      </c>
      <c r="D12" s="23">
        <f>COUNTIF('Q08'!D26:D34,"Partially supports claim")</f>
        <v/>
      </c>
      <c r="E12" s="23">
        <f>COUNTIF('Q08'!D26:D34,"Does not support claim")</f>
        <v/>
      </c>
    </row>
    <row r="13">
      <c r="A13" s="23" t="n">
        <v>9</v>
      </c>
      <c r="B13" s="23">
        <f>COUNTA('Q09'!B26:B34)</f>
        <v/>
      </c>
      <c r="C13" s="23">
        <f>COUNTIF('Q09'!D26:D34,"Supports claim")</f>
        <v/>
      </c>
      <c r="D13" s="23">
        <f>COUNTIF('Q09'!D26:D34,"Partially supports claim")</f>
        <v/>
      </c>
      <c r="E13" s="23">
        <f>COUNTIF('Q09'!D26:D34,"Does not support claim")</f>
        <v/>
      </c>
    </row>
    <row r="14">
      <c r="A14" s="23" t="n">
        <v>10</v>
      </c>
      <c r="B14" s="23">
        <f>COUNTA('Q10'!B26:B34)</f>
        <v/>
      </c>
      <c r="C14" s="23">
        <f>COUNTIF('Q10'!D26:D34,"Supports claim")</f>
        <v/>
      </c>
      <c r="D14" s="23">
        <f>COUNTIF('Q10'!D26:D34,"Partially supports claim")</f>
        <v/>
      </c>
      <c r="E14" s="23">
        <f>COUNTIF('Q10'!D26:D34,"Does not support claim")</f>
        <v/>
      </c>
    </row>
    <row r="15">
      <c r="A15" s="23" t="n">
        <v>11</v>
      </c>
      <c r="B15" s="23">
        <f>COUNTA('Q11'!B26:B34)</f>
        <v/>
      </c>
      <c r="C15" s="23">
        <f>COUNTIF('Q11'!D26:D34,"Supports claim")</f>
        <v/>
      </c>
      <c r="D15" s="23">
        <f>COUNTIF('Q11'!D26:D34,"Partially supports claim")</f>
        <v/>
      </c>
      <c r="E15" s="23">
        <f>COUNTIF('Q11'!D26:D34,"Does not support claim")</f>
        <v/>
      </c>
    </row>
    <row r="16">
      <c r="A16" s="23" t="n">
        <v>12</v>
      </c>
      <c r="B16" s="23">
        <f>COUNTA('Q12'!B26:B34)</f>
        <v/>
      </c>
      <c r="C16" s="23">
        <f>COUNTIF('Q12'!D26:D34,"Supports claim")</f>
        <v/>
      </c>
      <c r="D16" s="23">
        <f>COUNTIF('Q12'!D26:D34,"Partially supports claim")</f>
        <v/>
      </c>
      <c r="E16" s="23">
        <f>COUNTIF('Q12'!D26:D34,"Does not support claim")</f>
        <v/>
      </c>
    </row>
    <row r="17">
      <c r="A17" s="23" t="n">
        <v>13</v>
      </c>
      <c r="B17" s="23">
        <f>COUNTA('Q13'!B26:B34)</f>
        <v/>
      </c>
      <c r="C17" s="23">
        <f>COUNTIF('Q13'!D26:D34,"Supports claim")</f>
        <v/>
      </c>
      <c r="D17" s="23">
        <f>COUNTIF('Q13'!D26:D34,"Partially supports claim")</f>
        <v/>
      </c>
      <c r="E17" s="23">
        <f>COUNTIF('Q13'!D26:D34,"Does not support claim")</f>
        <v/>
      </c>
    </row>
    <row r="18">
      <c r="A18" s="23" t="n">
        <v>14</v>
      </c>
      <c r="B18" s="23">
        <f>COUNTA('Q14'!B26:B34)</f>
        <v/>
      </c>
      <c r="C18" s="23">
        <f>COUNTIF('Q14'!D26:D34,"Supports claim")</f>
        <v/>
      </c>
      <c r="D18" s="23">
        <f>COUNTIF('Q14'!D26:D34,"Partially supports claim")</f>
        <v/>
      </c>
      <c r="E18" s="23">
        <f>COUNTIF('Q14'!D26:D34,"Does not support claim")</f>
        <v/>
      </c>
    </row>
    <row r="19">
      <c r="A19" s="23" t="n">
        <v>15</v>
      </c>
      <c r="B19" s="23">
        <f>COUNTA('Q15'!B26:B34)</f>
        <v/>
      </c>
      <c r="C19" s="23">
        <f>COUNTIF('Q15'!D26:D34,"Supports claim")</f>
        <v/>
      </c>
      <c r="D19" s="23">
        <f>COUNTIF('Q15'!D26:D34,"Partially supports claim")</f>
        <v/>
      </c>
      <c r="E19" s="23">
        <f>COUNTIF('Q15'!D26:D34,"Does not support claim")</f>
        <v/>
      </c>
    </row>
    <row r="20">
      <c r="A20" s="23" t="n">
        <v>16</v>
      </c>
      <c r="B20" s="23">
        <f>COUNTA('Q16'!B26:B34)</f>
        <v/>
      </c>
      <c r="C20" s="23">
        <f>COUNTIF('Q16'!D26:D34,"Supports claim")</f>
        <v/>
      </c>
      <c r="D20" s="23">
        <f>COUNTIF('Q16'!D26:D34,"Partially supports claim")</f>
        <v/>
      </c>
      <c r="E20" s="23">
        <f>COUNTIF('Q16'!D26:D34,"Does not support claim")</f>
        <v/>
      </c>
    </row>
    <row r="21" ht="15.75" customHeight="1" s="41">
      <c r="A21" s="23" t="n">
        <v>17</v>
      </c>
      <c r="B21" s="23">
        <f>COUNTA('Q17'!B26:B34)</f>
        <v/>
      </c>
      <c r="C21" s="23">
        <f>COUNTIF('Q17'!D26:D34,"Supports claim")</f>
        <v/>
      </c>
      <c r="D21" s="23">
        <f>COUNTIF('Q17'!D26:D34,"Partially supports claim")</f>
        <v/>
      </c>
      <c r="E21" s="23">
        <f>COUNTIF('Q17'!D26:D34,"Does not support claim")</f>
        <v/>
      </c>
    </row>
    <row r="22" ht="15.75" customHeight="1" s="41">
      <c r="A22" s="23" t="n">
        <v>18</v>
      </c>
      <c r="B22" s="23">
        <f>COUNTA('Q18'!B26:B34)</f>
        <v/>
      </c>
      <c r="C22" s="23">
        <f>COUNTIF('Q18'!D26:D34,"Supports claim")</f>
        <v/>
      </c>
      <c r="D22" s="23">
        <f>COUNTIF('Q18'!D26:D34,"Partially supports claim")</f>
        <v/>
      </c>
      <c r="E22" s="23">
        <f>COUNTIF('Q18'!D26:D34,"Does not support claim")</f>
        <v/>
      </c>
    </row>
    <row r="23" ht="15.75" customHeight="1" s="41">
      <c r="A23" s="23" t="n">
        <v>19</v>
      </c>
      <c r="B23" s="23">
        <f>COUNTA('Q19'!B26:B34)</f>
        <v/>
      </c>
      <c r="C23" s="23">
        <f>COUNTIF('Q19'!D26:D34,"Supports claim")</f>
        <v/>
      </c>
      <c r="D23" s="23">
        <f>COUNTIF('Q19'!D26:D34,"Partially supports claim")</f>
        <v/>
      </c>
      <c r="E23" s="23">
        <f>COUNTIF('Q19'!D26:D34,"Does not support claim")</f>
        <v/>
      </c>
    </row>
    <row r="24" ht="15.75" customHeight="1" s="41">
      <c r="A24" s="23" t="n">
        <v>20</v>
      </c>
      <c r="B24" s="23">
        <f>COUNTA('Q20'!B26:B34)</f>
        <v/>
      </c>
      <c r="C24" s="23">
        <f>COUNTIF('Q20'!D26:D34,"Supports claim")</f>
        <v/>
      </c>
      <c r="D24" s="23">
        <f>COUNTIF('Q20'!D26:D34,"Partially supports claim")</f>
        <v/>
      </c>
      <c r="E24" s="23">
        <f>COUNTIF('Q20'!D26:D34,"Does not support claim")</f>
        <v/>
      </c>
    </row>
    <row r="25" ht="15.75" customHeight="1" s="41">
      <c r="A25" s="23" t="n">
        <v>21</v>
      </c>
      <c r="B25" s="23">
        <f>COUNTA('Q21'!B26:B34)</f>
        <v/>
      </c>
      <c r="C25" s="23">
        <f>COUNTIF('Q21'!D26:D34,"Supports claim")</f>
        <v/>
      </c>
      <c r="D25" s="23">
        <f>COUNTIF('Q21'!D26:D34,"Partially supports claim")</f>
        <v/>
      </c>
      <c r="E25" s="23">
        <f>COUNTIF('Q21'!D26:D34,"Does not support claim")</f>
        <v/>
      </c>
    </row>
    <row r="26" ht="15.75" customHeight="1" s="41">
      <c r="A26" s="23" t="n">
        <v>22</v>
      </c>
      <c r="B26" s="23">
        <f>COUNTA('Q22'!B26:B34)</f>
        <v/>
      </c>
      <c r="C26" s="23">
        <f>COUNTIF('Q22'!D26:D34,"Supports claim")</f>
        <v/>
      </c>
      <c r="D26" s="23">
        <f>COUNTIF('Q22'!D26:D34,"Partially supports claim")</f>
        <v/>
      </c>
      <c r="E26" s="23">
        <f>COUNTIF('Q22'!D26:D34,"Does not support claim")</f>
        <v/>
      </c>
    </row>
    <row r="27" ht="15.75" customHeight="1" s="41">
      <c r="A27" s="23" t="n">
        <v>23</v>
      </c>
      <c r="B27" s="23">
        <f>COUNTA('Q23'!B26:B34)</f>
        <v/>
      </c>
      <c r="C27" s="23">
        <f>COUNTIF('Q23'!D26:D34,"Supports claim")</f>
        <v/>
      </c>
      <c r="D27" s="23">
        <f>COUNTIF('Q23'!D26:D34,"Partially supports claim")</f>
        <v/>
      </c>
      <c r="E27" s="23">
        <f>COUNTIF('Q23'!D26:D34,"Does not support claim")</f>
        <v/>
      </c>
    </row>
    <row r="28" ht="15.75" customHeight="1" s="41">
      <c r="A28" s="23" t="n">
        <v>24</v>
      </c>
      <c r="B28" s="23">
        <f>COUNTA('Q24'!B26:B34)</f>
        <v/>
      </c>
      <c r="C28" s="23">
        <f>COUNTIF('Q24'!D26:D34,"Supports claim")</f>
        <v/>
      </c>
      <c r="D28" s="23">
        <f>COUNTIF('Q24'!D26:D34,"Partially supports claim")</f>
        <v/>
      </c>
      <c r="E28" s="23">
        <f>COUNTIF('Q24'!D26:D34,"Does not support claim")</f>
        <v/>
      </c>
    </row>
    <row r="29" ht="15.75" customHeight="1" s="41">
      <c r="A29" s="23" t="n">
        <v>25</v>
      </c>
      <c r="B29" s="23">
        <f>COUNTA('Q25'!B26:B34)</f>
        <v/>
      </c>
      <c r="C29" s="23">
        <f>COUNTIF('Q25'!D26:D34,"Supports claim")</f>
        <v/>
      </c>
      <c r="D29" s="23">
        <f>COUNTIF('Q25'!D26:D34,"Partially supports claim")</f>
        <v/>
      </c>
      <c r="E29" s="23">
        <f>COUNTIF('Q25'!D26:D34,"Does not support claim")</f>
        <v/>
      </c>
    </row>
    <row r="30" ht="15.75" customHeight="1" s="41">
      <c r="A30" s="23" t="n">
        <v>26</v>
      </c>
      <c r="B30" s="23">
        <f>COUNTA('Q26'!B26:B34)</f>
        <v/>
      </c>
      <c r="C30" s="23">
        <f>COUNTIF('Q26'!D26:D34,"Supports claim")</f>
        <v/>
      </c>
      <c r="D30" s="23">
        <f>COUNTIF('Q26'!D26:D34,"Partially supports claim")</f>
        <v/>
      </c>
      <c r="E30" s="23">
        <f>COUNTIF('Q26'!D26:D34,"Does not support claim")</f>
        <v/>
      </c>
    </row>
    <row r="31" ht="15.75" customHeight="1" s="41">
      <c r="A31" s="23" t="n">
        <v>27</v>
      </c>
      <c r="B31" s="23">
        <f>COUNTA('Q27'!B26:B34)</f>
        <v/>
      </c>
      <c r="C31" s="23">
        <f>COUNTIF('Q27'!D26:D34,"Supports claim")</f>
        <v/>
      </c>
      <c r="D31" s="23">
        <f>COUNTIF('Q27'!D26:D34,"Partially supports claim")</f>
        <v/>
      </c>
      <c r="E31" s="23">
        <f>COUNTIF('Q27'!D26:D34,"Does not support claim")</f>
        <v/>
      </c>
    </row>
    <row r="32" ht="15.75" customHeight="1" s="41">
      <c r="A32" s="23" t="n">
        <v>28</v>
      </c>
      <c r="B32" s="23">
        <f>COUNTA('Q28'!B26:B34)</f>
        <v/>
      </c>
      <c r="C32" s="23">
        <f>COUNTIF('Q28'!D26:D34,"Supports claim")</f>
        <v/>
      </c>
      <c r="D32" s="23">
        <f>COUNTIF('Q28'!D26:D34,"Partially supports claim")</f>
        <v/>
      </c>
      <c r="E32" s="23">
        <f>COUNTIF('Q28'!D26:D34,"Does not support claim")</f>
        <v/>
      </c>
    </row>
    <row r="33" ht="15.75" customHeight="1" s="41">
      <c r="A33" s="23" t="n">
        <v>29</v>
      </c>
      <c r="B33" s="23">
        <f>COUNTA('Q29'!B26:B34)</f>
        <v/>
      </c>
      <c r="C33" s="23">
        <f>COUNTIF('Q29'!D26:D34,"Supports claim")</f>
        <v/>
      </c>
      <c r="D33" s="23">
        <f>COUNTIF('Q29'!D26:D34,"Partially supports claim")</f>
        <v/>
      </c>
      <c r="E33" s="23">
        <f>COUNTIF('Q29'!D26:D34,"Does not support claim")</f>
        <v/>
      </c>
    </row>
    <row r="34" ht="15.75" customHeight="1" s="41">
      <c r="A34" s="23" t="n">
        <v>30</v>
      </c>
      <c r="B34" s="23">
        <f>COUNTA('Q30'!B26:B34)</f>
        <v/>
      </c>
      <c r="C34" s="23">
        <f>COUNTIF('Q30'!D26:D34,"Supports claim")</f>
        <v/>
      </c>
      <c r="D34" s="23">
        <f>COUNTIF('Q30'!D26:D34,"Partially supports claim")</f>
        <v/>
      </c>
      <c r="E34" s="23">
        <f>COUNTIF('Q30'!D26:D34,"Does not support claim")</f>
        <v/>
      </c>
    </row>
    <row r="35" ht="15.75" customHeight="1" s="41">
      <c r="A35" s="23" t="n">
        <v>31</v>
      </c>
      <c r="B35" s="23">
        <f>COUNTA('Q31'!B26:B34)</f>
        <v/>
      </c>
      <c r="C35" s="23">
        <f>COUNTIF('Q31'!D26:D34,"Supports claim")</f>
        <v/>
      </c>
      <c r="D35" s="23">
        <f>COUNTIF('Q31'!D26:D34,"Partially supports claim")</f>
        <v/>
      </c>
      <c r="E35" s="23">
        <f>COUNTIF('Q31'!D26:D34,"Does not support claim")</f>
        <v/>
      </c>
    </row>
    <row r="36" ht="15.75" customHeight="1" s="41">
      <c r="A36" s="23" t="n">
        <v>32</v>
      </c>
      <c r="B36" s="23">
        <f>COUNTA('Q32'!B26:B34)</f>
        <v/>
      </c>
      <c r="C36" s="23">
        <f>COUNTIF('Q32'!D26:D34,"Supports claim")</f>
        <v/>
      </c>
      <c r="D36" s="23">
        <f>COUNTIF('Q32'!D26:D34,"Partially supports claim")</f>
        <v/>
      </c>
      <c r="E36" s="23">
        <f>COUNTIF('Q32'!D26:D34,"Does not support claim")</f>
        <v/>
      </c>
    </row>
    <row r="37" ht="15.75" customHeight="1" s="41">
      <c r="A37" s="23" t="n">
        <v>33</v>
      </c>
      <c r="B37" s="23">
        <f>COUNTA('Q33'!B26:B34)</f>
        <v/>
      </c>
      <c r="C37" s="23">
        <f>COUNTIF('Q33'!D26:D34,"Supports claim")</f>
        <v/>
      </c>
      <c r="D37" s="23">
        <f>COUNTIF('Q33'!D26:D34,"Partially supports claim")</f>
        <v/>
      </c>
      <c r="E37" s="23">
        <f>COUNTIF('Q33'!D26:D34,"Does not support claim")</f>
        <v/>
      </c>
    </row>
    <row r="38" ht="15.75" customHeight="1" s="41">
      <c r="A38" s="23" t="n">
        <v>34</v>
      </c>
      <c r="B38" s="23">
        <f>COUNTA('Q34'!B26:B34)</f>
        <v/>
      </c>
      <c r="C38" s="23">
        <f>COUNTIF('Q34'!D26:D34,"Supports claim")</f>
        <v/>
      </c>
      <c r="D38" s="23">
        <f>COUNTIF('Q34'!D26:D34,"Partially supports claim")</f>
        <v/>
      </c>
      <c r="E38" s="23">
        <f>COUNTIF('Q34'!D26:D34,"Does not support claim")</f>
        <v/>
      </c>
    </row>
    <row r="39" ht="15.75" customHeight="1" s="41">
      <c r="A39" s="23" t="n">
        <v>35</v>
      </c>
      <c r="B39" s="23">
        <f>COUNTA('Q35'!B26:B34)</f>
        <v/>
      </c>
      <c r="C39" s="23">
        <f>COUNTIF('Q35'!D26:D34,"Supports claim")</f>
        <v/>
      </c>
      <c r="D39" s="23">
        <f>COUNTIF('Q35'!D26:D34,"Partially supports claim")</f>
        <v/>
      </c>
      <c r="E39" s="23">
        <f>COUNTIF('Q35'!D26:D34,"Does not support claim")</f>
        <v/>
      </c>
    </row>
    <row r="40" ht="15.75" customHeight="1" s="41">
      <c r="A40" s="23" t="n">
        <v>36</v>
      </c>
      <c r="B40" s="23">
        <f>COUNTA('Q36'!B26:B34)</f>
        <v/>
      </c>
      <c r="C40" s="23">
        <f>COUNTIF('Q36'!D26:D34,"Supports claim")</f>
        <v/>
      </c>
      <c r="D40" s="23">
        <f>COUNTIF('Q36'!D26:D34,"Partially supports claim")</f>
        <v/>
      </c>
      <c r="E40" s="23">
        <f>COUNTIF('Q36'!D26:D34,"Does not support claim")</f>
        <v/>
      </c>
    </row>
    <row r="41" ht="15.75" customHeight="1" s="41">
      <c r="A41" s="23" t="n">
        <v>37</v>
      </c>
      <c r="B41" s="23">
        <f>COUNTA('Q37'!B26:B34)</f>
        <v/>
      </c>
      <c r="C41" s="23">
        <f>COUNTIF('Q37'!D26:D34,"Supports claim")</f>
        <v/>
      </c>
      <c r="D41" s="23">
        <f>COUNTIF('Q37'!D26:D34,"Partially supports claim")</f>
        <v/>
      </c>
      <c r="E41" s="23">
        <f>COUNTIF('Q37'!D26:D34,"Does not support claim")</f>
        <v/>
      </c>
    </row>
    <row r="42" ht="15.75" customHeight="1" s="41">
      <c r="A42" s="23" t="n">
        <v>38</v>
      </c>
      <c r="B42" s="23">
        <f>COUNTA('Q38'!B26:B34)</f>
        <v/>
      </c>
      <c r="C42" s="23">
        <f>COUNTIF('Q38'!D26:D34,"Supports claim")</f>
        <v/>
      </c>
      <c r="D42" s="23">
        <f>COUNTIF('Q38'!D26:D34,"Partially supports claim")</f>
        <v/>
      </c>
      <c r="E42" s="23">
        <f>COUNTIF('Q38'!D26:D34,"Does not support claim")</f>
        <v/>
      </c>
    </row>
    <row r="43" ht="15.75" customHeight="1" s="41">
      <c r="A43" s="23" t="n">
        <v>39</v>
      </c>
      <c r="B43" s="23">
        <f>COUNTA('Q39'!B26:B34)</f>
        <v/>
      </c>
      <c r="C43" s="23">
        <f>COUNTIF('Q39'!D26:D34,"Supports claim")</f>
        <v/>
      </c>
      <c r="D43" s="23">
        <f>COUNTIF('Q39'!D26:D34,"Partially supports claim")</f>
        <v/>
      </c>
      <c r="E43" s="23">
        <f>COUNTIF('Q39'!D26:D34,"Does not support claim")</f>
        <v/>
      </c>
    </row>
    <row r="44" ht="15.75" customHeight="1" s="41">
      <c r="A44" s="23" t="n">
        <v>40</v>
      </c>
      <c r="B44" s="23">
        <f>COUNTA('Q40'!B26:B34)</f>
        <v/>
      </c>
      <c r="C44" s="23">
        <f>COUNTIF('Q40'!D26:D34,"Supports claim")</f>
        <v/>
      </c>
      <c r="D44" s="23">
        <f>COUNTIF('Q40'!D26:D34,"Partially supports claim")</f>
        <v/>
      </c>
      <c r="E44" s="23">
        <f>COUNTIF('Q40'!D26:D34,"Does not support claim")</f>
        <v/>
      </c>
    </row>
    <row r="45" ht="15.75" customHeight="1" s="41">
      <c r="A45" s="23" t="n">
        <v>41</v>
      </c>
      <c r="B45" s="23">
        <f>COUNTA('Q41'!B26:B34)</f>
        <v/>
      </c>
      <c r="C45" s="23">
        <f>COUNTIF('Q41'!D26:D34,"Supports claim")</f>
        <v/>
      </c>
      <c r="D45" s="23">
        <f>COUNTIF('Q41'!D26:D34,"Partially supports claim")</f>
        <v/>
      </c>
      <c r="E45" s="23">
        <f>COUNTIF('Q41'!D26:D34,"Does not support claim")</f>
        <v/>
      </c>
    </row>
    <row r="46" ht="15.75" customHeight="1" s="41">
      <c r="A46" s="23" t="n">
        <v>42</v>
      </c>
      <c r="B46" s="23">
        <f>COUNTA('Q42'!B26:B34)</f>
        <v/>
      </c>
      <c r="C46" s="23">
        <f>COUNTIF('Q42'!D26:D34,"Supports claim")</f>
        <v/>
      </c>
      <c r="D46" s="23">
        <f>COUNTIF('Q42'!D26:D34,"Partially supports claim")</f>
        <v/>
      </c>
      <c r="E46" s="23">
        <f>COUNTIF('Q42'!D26:D34,"Does not support claim")</f>
        <v/>
      </c>
    </row>
    <row r="47" ht="15.75" customHeight="1" s="41">
      <c r="A47" s="23" t="n">
        <v>43</v>
      </c>
      <c r="B47" s="23">
        <f>COUNTA('Q43'!B26:B34)</f>
        <v/>
      </c>
      <c r="C47" s="23">
        <f>COUNTIF('Q43'!D26:D34,"Supports claim")</f>
        <v/>
      </c>
      <c r="D47" s="23">
        <f>COUNTIF('Q43'!D26:D34,"Partially supports claim")</f>
        <v/>
      </c>
      <c r="E47" s="23">
        <f>COUNTIF('Q43'!D26:D34,"Does not support claim")</f>
        <v/>
      </c>
    </row>
    <row r="48" ht="15.75" customHeight="1" s="41">
      <c r="A48" s="23" t="n">
        <v>44</v>
      </c>
      <c r="B48" s="23">
        <f>COUNTA('Q44'!B26:B34)</f>
        <v/>
      </c>
      <c r="C48" s="23">
        <f>COUNTIF('Q44'!D26:D34,"Supports claim")</f>
        <v/>
      </c>
      <c r="D48" s="23">
        <f>COUNTIF('Q44'!D26:D34,"Partially supports claim")</f>
        <v/>
      </c>
      <c r="E48" s="23">
        <f>COUNTIF('Q44'!D26:D34,"Does not support claim")</f>
        <v/>
      </c>
    </row>
    <row r="49" ht="15.75" customHeight="1" s="41">
      <c r="A49" s="23" t="n">
        <v>45</v>
      </c>
      <c r="B49" s="23">
        <f>COUNTA('Q45'!B26:B34)</f>
        <v/>
      </c>
      <c r="C49" s="23">
        <f>COUNTIF('Q45'!D26:D34,"Supports claim")</f>
        <v/>
      </c>
      <c r="D49" s="23">
        <f>COUNTIF('Q45'!D26:D34,"Partially supports claim")</f>
        <v/>
      </c>
      <c r="E49" s="23">
        <f>COUNTIF('Q45'!D26:D34,"Does not support claim")</f>
        <v/>
      </c>
    </row>
    <row r="50" ht="15.75" customHeight="1" s="41">
      <c r="A50" s="23" t="n">
        <v>46</v>
      </c>
      <c r="B50" s="23">
        <f>COUNTA('Q46'!B26:B34)</f>
        <v/>
      </c>
      <c r="C50" s="23">
        <f>COUNTIF('Q46'!D26:D34,"Supports claim")</f>
        <v/>
      </c>
      <c r="D50" s="23">
        <f>COUNTIF('Q46'!D26:D34,"Partially supports claim")</f>
        <v/>
      </c>
      <c r="E50" s="23">
        <f>COUNTIF('Q46'!D26:D34,"Does not support claim")</f>
        <v/>
      </c>
    </row>
    <row r="51" ht="15.75" customHeight="1" s="41">
      <c r="A51" s="23" t="n">
        <v>47</v>
      </c>
      <c r="B51" s="23">
        <f>COUNTA('Q47'!B26:B34)</f>
        <v/>
      </c>
      <c r="C51" s="23">
        <f>COUNTIF('Q47'!D26:D34,"Supports claim")</f>
        <v/>
      </c>
      <c r="D51" s="23">
        <f>COUNTIF('Q47'!D26:D34,"Partially supports claim")</f>
        <v/>
      </c>
      <c r="E51" s="23">
        <f>COUNTIF('Q47'!D26:D34,"Does not support claim")</f>
        <v/>
      </c>
    </row>
    <row r="52" ht="15.75" customHeight="1" s="41">
      <c r="A52" s="23" t="n">
        <v>48</v>
      </c>
      <c r="B52" s="23">
        <f>COUNTA('Q48'!B26:B34)</f>
        <v/>
      </c>
      <c r="C52" s="23">
        <f>COUNTIF('Q48'!D26:D34,"Supports claim")</f>
        <v/>
      </c>
      <c r="D52" s="23">
        <f>COUNTIF('Q48'!D26:D34,"Partially supports claim")</f>
        <v/>
      </c>
      <c r="E52" s="23">
        <f>COUNTIF('Q48'!D26:D34,"Does not support claim")</f>
        <v/>
      </c>
    </row>
    <row r="53" ht="15.75" customHeight="1" s="41">
      <c r="A53" s="23" t="n">
        <v>49</v>
      </c>
      <c r="B53" s="23">
        <f>COUNTA('Q49'!B26:B34)</f>
        <v/>
      </c>
      <c r="C53" s="23">
        <f>COUNTIF('Q49'!D26:D34,"Supports claim")</f>
        <v/>
      </c>
      <c r="D53" s="23">
        <f>COUNTIF('Q49'!D26:D34,"Partially supports claim")</f>
        <v/>
      </c>
      <c r="E53" s="23">
        <f>COUNTIF('Q49'!D26:D34,"Does not support claim")</f>
        <v/>
      </c>
    </row>
    <row r="54" ht="15.75" customHeight="1" s="41">
      <c r="A54" s="23" t="n">
        <v>50</v>
      </c>
      <c r="B54" s="23">
        <f>COUNTA('Q50'!B26:B34)</f>
        <v/>
      </c>
      <c r="C54" s="23">
        <f>COUNTIF('Q50'!D26:D34,"Supports claim")</f>
        <v/>
      </c>
      <c r="D54" s="23">
        <f>COUNTIF('Q50'!D26:D34,"Partially supports claim")</f>
        <v/>
      </c>
      <c r="E54" s="23">
        <f>COUNTIF('Q50'!D26:D34,"Does not support claim")</f>
        <v/>
      </c>
    </row>
    <row r="55" ht="15.75" customHeight="1" s="41">
      <c r="A55" s="23" t="n">
        <v>51</v>
      </c>
      <c r="B55" s="23">
        <f>COUNTA('Q51'!B26:B34)</f>
        <v/>
      </c>
      <c r="C55" s="23">
        <f>COUNTIF('Q51'!D26:D34,"Supports claim")</f>
        <v/>
      </c>
      <c r="D55" s="23">
        <f>COUNTIF('Q51'!D26:D34,"Partially supports claim")</f>
        <v/>
      </c>
      <c r="E55" s="23">
        <f>COUNTIF('Q51'!D26:D34,"Does not support claim")</f>
        <v/>
      </c>
    </row>
    <row r="56" ht="15.75" customHeight="1" s="41">
      <c r="A56" s="23" t="n">
        <v>52</v>
      </c>
      <c r="B56" s="23">
        <f>COUNTA('Q52'!B26:B34)</f>
        <v/>
      </c>
      <c r="C56" s="23">
        <f>COUNTIF('Q52'!D26:D34,"Supports claim")</f>
        <v/>
      </c>
      <c r="D56" s="23">
        <f>COUNTIF('Q52'!D26:D34,"Partially supports claim")</f>
        <v/>
      </c>
      <c r="E56" s="23">
        <f>COUNTIF('Q52'!D26:D34,"Does not support claim")</f>
        <v/>
      </c>
    </row>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row r="1001" ht="15.75" customHeight="1" s="41"/>
    <row r="1002" ht="15.75" customHeight="1" s="41"/>
    <row r="1003" ht="15.75" customHeight="1" s="41"/>
    <row r="1004" ht="15.75" customHeight="1" s="41"/>
    <row r="1005" ht="15.75" customHeight="1" s="41"/>
    <row r="1006" ht="15.75" customHeight="1" s="41"/>
    <row r="1007" ht="15.75" customHeight="1" s="41"/>
    <row r="1008" ht="15.75" customHeight="1" s="41"/>
  </sheetData>
  <autoFilter ref="$A$4:$E$56"/>
  <mergeCells count="2">
    <mergeCell ref="A2:E2"/>
    <mergeCell ref="A1:E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Q02 — Expert Review</t>
        </is>
      </c>
    </row>
    <row r="2" hidden="1" s="41">
      <c r="A2" s="44" t="inlineStr">
        <is>
          <t>Question metadata</t>
        </is>
      </c>
    </row>
    <row r="3" hidden="1" s="41">
      <c r="A3" s="13" t="inlineStr">
        <is>
          <t>Question ID</t>
        </is>
      </c>
      <c r="B3" s="39" t="n">
        <v>2</v>
      </c>
    </row>
    <row r="4" hidden="1" s="41">
      <c r="A4" s="13" t="inlineStr">
        <is>
          <t>Topic</t>
        </is>
      </c>
      <c r="B4" s="40" t="inlineStr">
        <is>
          <t>Food delivery — multi-sided platforms</t>
        </is>
      </c>
    </row>
    <row r="5" hidden="1" s="41">
      <c r="A5" s="13" t="inlineStr">
        <is>
          <t>Scope</t>
        </is>
      </c>
      <c r="B5" s="40" t="inlineStr">
        <is>
          <t>EU + UK + ES</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Food delivery as a multi-sided platform — have authorities analysed these platforms as two- or multi-sided markets, and which sides actually entered the analysis?</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Q03 — Expert Review</t>
        </is>
      </c>
    </row>
    <row r="2" hidden="1" s="41">
      <c r="A2" s="44" t="inlineStr">
        <is>
          <t>Question metadata</t>
        </is>
      </c>
    </row>
    <row r="3" hidden="1" s="41">
      <c r="A3" s="13" t="inlineStr">
        <is>
          <t>Question ID</t>
        </is>
      </c>
      <c r="B3" s="39" t="n">
        <v>3</v>
      </c>
    </row>
    <row r="4" hidden="1" s="41">
      <c r="A4" s="13" t="inlineStr">
        <is>
          <t>Topic</t>
        </is>
      </c>
      <c r="B4" s="40" t="inlineStr">
        <is>
          <t>Food delivery — market boundary</t>
        </is>
      </c>
    </row>
    <row r="5" hidden="1" s="41">
      <c r="A5" s="13" t="inlineStr">
        <is>
          <t>Scope</t>
        </is>
      </c>
      <c r="B5" s="40" t="inlineStr">
        <is>
          <t>UK (ES colour)</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Grocery, quick commerce, and the market boundary — separate markets from restaurant meal delivery, or one broad on-demand delivery market?</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Q04 — Expert Review</t>
        </is>
      </c>
    </row>
    <row r="2" hidden="1" s="41">
      <c r="A2" s="44" t="inlineStr">
        <is>
          <t>Question metadata</t>
        </is>
      </c>
    </row>
    <row r="3" hidden="1" s="41">
      <c r="A3" s="13" t="inlineStr">
        <is>
          <t>Question ID</t>
        </is>
      </c>
      <c r="B3" s="39" t="n">
        <v>4</v>
      </c>
    </row>
    <row r="4" hidden="1" s="41">
      <c r="A4" s="13" t="inlineStr">
        <is>
          <t>Topic</t>
        </is>
      </c>
      <c r="B4" s="40" t="inlineStr">
        <is>
          <t>Food delivery — failing-firm defence</t>
        </is>
      </c>
    </row>
    <row r="5" hidden="1" s="41">
      <c r="A5" s="13" t="inlineStr">
        <is>
          <t>Scope</t>
        </is>
      </c>
      <c r="B5" s="40" t="inlineStr">
        <is>
          <t>UK</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The failing-firm defence in food delivery — has an exiting-firm counterfactual ever been accepted, did it survive to the final decision, and on what evidence?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Q05 — Expert Review</t>
        </is>
      </c>
    </row>
    <row r="2" hidden="1" s="41">
      <c r="A2" s="44" t="inlineStr">
        <is>
          <t>Question metadata</t>
        </is>
      </c>
    </row>
    <row r="3" hidden="1" s="41">
      <c r="A3" s="13" t="inlineStr">
        <is>
          <t>Question ID</t>
        </is>
      </c>
      <c r="B3" s="39" t="n">
        <v>5</v>
      </c>
    </row>
    <row r="4" hidden="1" s="41">
      <c r="A4" s="13" t="inlineStr">
        <is>
          <t>Topic</t>
        </is>
      </c>
      <c r="B4" s="40" t="inlineStr">
        <is>
          <t>Food delivery — COVID-19</t>
        </is>
      </c>
    </row>
    <row r="5" hidden="1" s="41">
      <c r="A5" s="13" t="inlineStr">
        <is>
          <t>Scope</t>
        </is>
      </c>
      <c r="B5" s="40" t="inlineStr">
        <is>
          <t>UK</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COVID-19 in the competitive assessment — how did the pandemic actually enter the analysis: counterfactual, market definition, or not at all?</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Q06 — Expert Review</t>
        </is>
      </c>
    </row>
    <row r="2" hidden="1" s="41">
      <c r="A2" s="44" t="inlineStr">
        <is>
          <t>Question metadata</t>
        </is>
      </c>
    </row>
    <row r="3" hidden="1" s="41">
      <c r="A3" s="13" t="inlineStr">
        <is>
          <t>Question ID</t>
        </is>
      </c>
      <c r="B3" s="39" t="n">
        <v>6</v>
      </c>
    </row>
    <row r="4" hidden="1" s="41">
      <c r="A4" s="13" t="inlineStr">
        <is>
          <t>Topic</t>
        </is>
      </c>
      <c r="B4" s="40" t="inlineStr">
        <is>
          <t>Food delivery — potential competition</t>
        </is>
      </c>
    </row>
    <row r="5" hidden="1" s="41">
      <c r="A5" s="13" t="inlineStr">
        <is>
          <t>Scope</t>
        </is>
      </c>
      <c r="B5" s="40" t="inlineStr">
        <is>
          <t>UK</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Potential competition and re-entry — where the acquirer is not active in the UK, how has the CMA treated entry or re-entry absent the merger?</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Q07 — Expert Review</t>
        </is>
      </c>
    </row>
    <row r="2" hidden="1" s="41">
      <c r="A2" s="44" t="inlineStr">
        <is>
          <t>Question metadata</t>
        </is>
      </c>
    </row>
    <row r="3" hidden="1" s="41">
      <c r="A3" s="13" t="inlineStr">
        <is>
          <t>Question ID</t>
        </is>
      </c>
      <c r="B3" s="39" t="n">
        <v>7</v>
      </c>
    </row>
    <row r="4" hidden="1" s="41">
      <c r="A4" s="13" t="inlineStr">
        <is>
          <t>Topic</t>
        </is>
      </c>
      <c r="B4" s="40" t="inlineStr">
        <is>
          <t>Food delivery — no-poach agreements</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No-poach agreements under Article 101 — can a reciprocal agreement not to hire each other's staff infringe Article 101, and what is the leading precedent and fine?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Q08 — Expert Review</t>
        </is>
      </c>
    </row>
    <row r="2" hidden="1" s="41">
      <c r="A2" s="44" t="inlineStr">
        <is>
          <t>Question metadata</t>
        </is>
      </c>
    </row>
    <row r="3" hidden="1" s="41">
      <c r="A3" s="13" t="inlineStr">
        <is>
          <t>Question ID</t>
        </is>
      </c>
      <c r="B3" s="39" t="n">
        <v>8</v>
      </c>
    </row>
    <row r="4" hidden="1" s="41">
      <c r="A4" s="13" t="inlineStr">
        <is>
          <t>Topic</t>
        </is>
      </c>
      <c r="B4" s="40" t="inlineStr">
        <is>
          <t>Food delivery — remedies</t>
        </is>
      </c>
    </row>
    <row r="5" hidden="1" s="41">
      <c r="A5" s="13" t="inlineStr">
        <is>
          <t>Scope</t>
        </is>
      </c>
      <c r="B5" s="40" t="inlineStr">
        <is>
          <t>EU + UK + ES</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Remedies in food-delivery mergers — which European reviews ended in remedies or commitments, and what did they look like?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Q09 — Expert Review</t>
        </is>
      </c>
    </row>
    <row r="2" hidden="1" s="41">
      <c r="A2" s="44" t="inlineStr">
        <is>
          <t>Question metadata</t>
        </is>
      </c>
    </row>
    <row r="3" hidden="1" s="41">
      <c r="A3" s="13" t="inlineStr">
        <is>
          <t>Question ID</t>
        </is>
      </c>
      <c r="B3" s="39" t="n">
        <v>9</v>
      </c>
    </row>
    <row r="4" hidden="1" s="41">
      <c r="A4" s="13" t="inlineStr">
        <is>
          <t>Topic</t>
        </is>
      </c>
      <c r="B4" s="40" t="inlineStr">
        <is>
          <t>Food delivery — Spanish practice</t>
        </is>
      </c>
    </row>
    <row r="5" hidden="1" s="41">
      <c r="A5" s="13" t="inlineStr">
        <is>
          <t>Scope</t>
        </is>
      </c>
      <c r="B5" s="40" t="inlineStr">
        <is>
          <t>ES</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The Spanish (CNMC) food-delivery reviews — what is the CNMC's decisional practice, how many cases, and how were they resolved?</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Q10 — Expert Review</t>
        </is>
      </c>
    </row>
    <row r="2" hidden="1" s="41">
      <c r="A2" s="44" t="inlineStr">
        <is>
          <t>Question metadata</t>
        </is>
      </c>
    </row>
    <row r="3" hidden="1" s="41">
      <c r="A3" s="13" t="inlineStr">
        <is>
          <t>Question ID</t>
        </is>
      </c>
      <c r="B3" s="39" t="n">
        <v>10</v>
      </c>
    </row>
    <row r="4" hidden="1" s="41">
      <c r="A4" s="13" t="inlineStr">
        <is>
          <t>Topic</t>
        </is>
      </c>
      <c r="B4" s="40" t="inlineStr">
        <is>
          <t>Food delivery — minority shareholdings</t>
        </is>
      </c>
    </row>
    <row r="5" hidden="1" s="41">
      <c r="A5" s="13" t="inlineStr">
        <is>
          <t>Scope</t>
        </is>
      </c>
      <c r="B5" s="40" t="inlineStr">
        <is>
          <t>EU + UK</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Material influence and minority shareholdings — on what basis did the CMA take jurisdiction over a c.16% stake, and how else have authorities treated minority shareholdings in merger control?</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Q11 — Expert Review</t>
        </is>
      </c>
    </row>
    <row r="2" hidden="1" s="41">
      <c r="A2" s="44" t="inlineStr">
        <is>
          <t>Question metadata</t>
        </is>
      </c>
    </row>
    <row r="3" hidden="1" s="41">
      <c r="A3" s="13" t="inlineStr">
        <is>
          <t>Question ID</t>
        </is>
      </c>
      <c r="B3" s="39" t="n">
        <v>11</v>
      </c>
    </row>
    <row r="4" hidden="1" s="41">
      <c r="A4" s="13" t="inlineStr">
        <is>
          <t>Topic</t>
        </is>
      </c>
      <c r="B4" s="40" t="inlineStr">
        <is>
          <t>Food delivery — evolution of practice</t>
        </is>
      </c>
    </row>
    <row r="5" hidden="1" s="41">
      <c r="A5" s="13" t="inlineStr">
        <is>
          <t>Scope</t>
        </is>
      </c>
      <c r="B5" s="40" t="inlineStr">
        <is>
          <t>EU + UK + ES</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The evolution of European food-delivery merger control, 2017–2025 — how has practice evolved from the first national marketplace consolidations to the recent Commission decisions?</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n"/>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Q12 — Expert Review</t>
        </is>
      </c>
    </row>
    <row r="2" hidden="1" s="41">
      <c r="A2" s="44" t="inlineStr">
        <is>
          <t>Question metadata</t>
        </is>
      </c>
    </row>
    <row r="3" hidden="1" s="41">
      <c r="A3" s="13" t="inlineStr">
        <is>
          <t>Question ID</t>
        </is>
      </c>
      <c r="B3" s="39" t="n">
        <v>12</v>
      </c>
    </row>
    <row r="4" hidden="1" s="41">
      <c r="A4" s="13" t="inlineStr">
        <is>
          <t>Topic</t>
        </is>
      </c>
      <c r="B4" s="40" t="inlineStr">
        <is>
          <t>Dawn raids — legal professional privilege</t>
        </is>
      </c>
    </row>
    <row r="5" hidden="1" s="41">
      <c r="A5" s="13" t="inlineStr">
        <is>
          <t>Scope</t>
        </is>
      </c>
      <c r="B5" s="40" t="inlineStr">
        <is>
          <t>France</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At what stage is attorney-client privilege breached during a dawn raid — when the inspector reads the document, or only when it is later used?</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Your wording, unchanged. We had drafted a wider French question instead — how correspondence between a company and its lawyer is protected, how a seizure of it is contested, and whether the remedy is return, destruction or exclusion from the file. We put yours back because it is sharper. Tell us if you want the wider version, or both.</t>
        </is>
      </c>
      <c r="C70" s="45" t="n"/>
      <c r="D70" s="45" t="n"/>
      <c r="E70" s="45" t="n"/>
      <c r="F70" s="45" t="n"/>
      <c r="G70" s="45" t="n"/>
      <c r="H70" s="46" t="n"/>
      <c r="I70" s="40" t="n"/>
      <c r="J70" s="40" t="n"/>
    </row>
    <row r="71" ht="54" customHeight="1" s="41">
      <c r="A71" s="28" t="inlineStr">
        <is>
          <t>Reviewer notes from question approval</t>
        </is>
      </c>
      <c r="B71" s="23" t="inlineStr">
        <is>
          <t>I would keep both, the one we provided and this one too, which i like as because it relies more on the general principles regarding the definition and applicability of legal professional privilege as a legal concept.</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Q13 — Expert Review</t>
        </is>
      </c>
    </row>
    <row r="2" hidden="1" s="41">
      <c r="A2" s="44" t="inlineStr">
        <is>
          <t>Question metadata</t>
        </is>
      </c>
    </row>
    <row r="3" hidden="1" s="41">
      <c r="A3" s="13" t="inlineStr">
        <is>
          <t>Question ID</t>
        </is>
      </c>
      <c r="B3" s="39" t="n">
        <v>13</v>
      </c>
    </row>
    <row r="4" hidden="1" s="41">
      <c r="A4" s="13" t="inlineStr">
        <is>
          <t>Topic</t>
        </is>
      </c>
      <c r="B4" s="40" t="inlineStr">
        <is>
          <t>Dawn raids — personal data</t>
        </is>
      </c>
    </row>
    <row r="5" hidden="1" s="41">
      <c r="A5" s="13" t="inlineStr">
        <is>
          <t>Scope</t>
        </is>
      </c>
      <c r="B5" s="40" t="inlineStr">
        <is>
          <t>France</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Under what conditions must the Competition Authority protect personal data during a dawn raid? Does the GDPR apply? Must documents be sealed on request?</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Your wording, unchanged.</t>
        </is>
      </c>
      <c r="C70" s="45" t="n"/>
      <c r="D70" s="45" t="n"/>
      <c r="E70" s="45" t="n"/>
      <c r="F70" s="45" t="n"/>
      <c r="G70" s="45" t="n"/>
      <c r="H70" s="46" t="n"/>
      <c r="I70" s="40" t="n"/>
      <c r="J70" s="40" t="n"/>
    </row>
    <row r="71" ht="54" customHeight="1" s="41">
      <c r="A71" s="28" t="inlineStr">
        <is>
          <t>Reviewer notes from question approval</t>
        </is>
      </c>
      <c r="B71" s="23" t="inlineStr">
        <is>
          <t>agreed.</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Q14 — Expert Review</t>
        </is>
      </c>
    </row>
    <row r="2" hidden="1" s="41">
      <c r="A2" s="44" t="inlineStr">
        <is>
          <t>Question metadata</t>
        </is>
      </c>
    </row>
    <row r="3" hidden="1" s="41">
      <c r="A3" s="13" t="inlineStr">
        <is>
          <t>Question ID</t>
        </is>
      </c>
      <c r="B3" s="39" t="n">
        <v>14</v>
      </c>
    </row>
    <row r="4" hidden="1" s="41">
      <c r="A4" s="13" t="inlineStr">
        <is>
          <t>Topic</t>
        </is>
      </c>
      <c r="B4" s="40" t="inlineStr">
        <is>
          <t>Dawn raids — challenging a seizure</t>
        </is>
      </c>
    </row>
    <row r="5" hidden="1" s="41">
      <c r="A5" s="13" t="inlineStr">
        <is>
          <t>Scope</t>
        </is>
      </c>
      <c r="B5" s="40" t="inlineStr">
        <is>
          <t>France</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After a dawn raid, can the President of the Court of Appeal be seized in interim proceedings to urgently resolve attorney-client privilege disputes? On what legal basis and under what conditions?</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Your wording, unchanged. One point to check: we understand Article L.450-4 of the Code de commerce to designate the FIRST President of the Court of Appeal (premier président), not the President. We have left your wording and are raising it rather than correcting it.</t>
        </is>
      </c>
      <c r="C70" s="45" t="n"/>
      <c r="D70" s="45" t="n"/>
      <c r="E70" s="45" t="n"/>
      <c r="F70" s="45" t="n"/>
      <c r="G70" s="45" t="n"/>
      <c r="H70" s="46" t="n"/>
      <c r="I70" s="40" t="n"/>
      <c r="J70" s="40" t="n"/>
    </row>
    <row r="71" ht="54" customHeight="1" s="41">
      <c r="A71" s="28" t="inlineStr">
        <is>
          <t>Reviewer notes from question approval</t>
        </is>
      </c>
      <c r="B71" s="23" t="inlineStr">
        <is>
          <t>nothing to be changed.</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J163"/>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Q15 — Expert Review</t>
        </is>
      </c>
    </row>
    <row r="2" hidden="1" s="41">
      <c r="A2" s="44" t="inlineStr">
        <is>
          <t>Question metadata</t>
        </is>
      </c>
    </row>
    <row r="3" hidden="1" s="41">
      <c r="A3" s="13" t="inlineStr">
        <is>
          <t>Question ID</t>
        </is>
      </c>
      <c r="B3" s="39" t="n">
        <v>15</v>
      </c>
    </row>
    <row r="4" hidden="1" s="41">
      <c r="A4" s="13" t="inlineStr">
        <is>
          <t>Topic</t>
        </is>
      </c>
      <c r="B4" s="40" t="inlineStr">
        <is>
          <t>Dawn raids — legal professional privilege</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At what stage is attorney-client privilege breached during a European Commission inspection under Article 20 of Regulation 1/2003 — when the inspector reads the document, or only when the Commission later uses it?</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inspections-eu-law-2nd--3_chapter_1_-_inspections_upon_decision_regulation_1_2003_article_20_4.md</t>
        </is>
      </c>
      <c r="C14" s="23" t="inlineStr">
        <is>
          <t>Book (Livre)</t>
        </is>
      </c>
      <c r="D14" s="23" t="n"/>
      <c r="E14" s="23" t="inlineStr">
        <is>
          <t>d28b1d20-a2c6-425f-a401-498eab28d744</t>
        </is>
      </c>
      <c r="F14" s="23" t="n"/>
      <c r="G14" s="23" t="n"/>
      <c r="H14" s="23" t="inlineStr"/>
    </row>
    <row r="15">
      <c r="A15" s="23" t="n">
        <v>2</v>
      </c>
      <c r="B15" s="23" t="inlineStr">
        <is>
          <t>eu-antitrust-enforcement--14_xiii_legal_professional_privilege_in_eu_antitrust_enforcement_law_policy_and_procedure.md</t>
        </is>
      </c>
      <c r="C15" s="23" t="inlineStr">
        <is>
          <t>Book (Livre)</t>
        </is>
      </c>
      <c r="D15" s="23" t="n"/>
      <c r="E15" s="23" t="inlineStr">
        <is>
          <t>751159c7-e8b0-4cba-8ae1-5652058d7980</t>
        </is>
      </c>
      <c r="F15" s="23" t="n"/>
      <c r="G15" s="23" t="n"/>
      <c r="H15" s="23" t="inlineStr">
        <is>
          <t>Cited in answer: YES</t>
        </is>
      </c>
    </row>
    <row r="16">
      <c r="A16" s="23" t="n">
        <v>3</v>
      </c>
      <c r="B16" s="23" t="inlineStr">
        <is>
          <t>62020CC0682.md</t>
        </is>
      </c>
      <c r="C16" s="23" t="inlineStr">
        <is>
          <t>Article (Review)</t>
        </is>
      </c>
      <c r="D16" s="23" t="inlineStr">
        <is>
          <t>EU</t>
        </is>
      </c>
      <c r="E16" s="23" t="inlineStr">
        <is>
          <t>f6fc977b-8c8d-467b-a5f7-04beb77f1b93</t>
        </is>
      </c>
      <c r="F16" s="23" t="n"/>
      <c r="G16" s="23" t="n"/>
      <c r="H16" s="23" t="inlineStr">
        <is>
          <t>Cited in answer: YES</t>
        </is>
      </c>
    </row>
    <row r="17">
      <c r="A17" s="23" t="n">
        <v>4</v>
      </c>
      <c r="B17" s="23" t="inlineStr">
        <is>
          <t>62017TJ0249.md</t>
        </is>
      </c>
      <c r="C17" s="23" t="inlineStr">
        <is>
          <t>Court Decision</t>
        </is>
      </c>
      <c r="D17" s="23" t="inlineStr">
        <is>
          <t>EU</t>
        </is>
      </c>
      <c r="E17" s="23" t="inlineStr">
        <is>
          <t>dbf7bda8-39fa-4eb5-a6e2-f02b0787cb54</t>
        </is>
      </c>
      <c r="F17" s="23" t="n"/>
      <c r="G17" s="23" t="n"/>
      <c r="H17" s="23" t="inlineStr"/>
    </row>
    <row r="18">
      <c r="A18" s="23" t="n">
        <v>5</v>
      </c>
      <c r="B18" s="23" t="inlineStr">
        <is>
          <t>eu-antitrust-enforcement--11_x_fundamental_procedural_rights_and_effective_enforcement_of_articles_101_and_102_tfeu_in_the_european_competition_network.md</t>
        </is>
      </c>
      <c r="C18" s="23" t="inlineStr">
        <is>
          <t>Book (Livre)</t>
        </is>
      </c>
      <c r="D18" s="23" t="n"/>
      <c r="E18" s="23" t="inlineStr">
        <is>
          <t>44d971b2-9615-45f5-94c3-342633964481</t>
        </is>
      </c>
      <c r="F18" s="23" t="n"/>
      <c r="G18" s="23" t="n"/>
      <c r="H18" s="23" t="inlineStr"/>
    </row>
    <row r="19">
      <c r="A19" s="23" t="n">
        <v>6</v>
      </c>
      <c r="B19" s="23" t="inlineStr">
        <is>
          <t>62018CJ0403.md</t>
        </is>
      </c>
      <c r="C19" s="23" t="inlineStr">
        <is>
          <t>Court Decision</t>
        </is>
      </c>
      <c r="D19" s="23" t="inlineStr">
        <is>
          <t>EU</t>
        </is>
      </c>
      <c r="E19" s="23" t="inlineStr">
        <is>
          <t>5b155c4b-0345-4afa-8dee-d56351895c8f</t>
        </is>
      </c>
      <c r="F19" s="23" t="n"/>
      <c r="G19" s="23" t="n"/>
      <c r="H19" s="23" t="inlineStr"/>
    </row>
    <row r="20">
      <c r="A20" s="23" t="n">
        <v>7</v>
      </c>
      <c r="B20" s="23" t="inlineStr">
        <is>
          <t>eu-antitrust-enforcement--12_xi_the_role_of_the_hearing_officer_in_antitrust_proceedings_before_the_european_commission.md</t>
        </is>
      </c>
      <c r="C20" s="23" t="inlineStr">
        <is>
          <t>Book (Livre)</t>
        </is>
      </c>
      <c r="D20" s="23" t="n"/>
      <c r="E20" s="23" t="inlineStr">
        <is>
          <t>27d55d8c-5b59-43c1-8576-7a718bd009d4</t>
        </is>
      </c>
      <c r="F20" s="23" t="n"/>
      <c r="G20" s="23" t="n"/>
      <c r="H20" s="23" t="inlineStr"/>
    </row>
    <row r="21">
      <c r="A21" s="23" t="n">
        <v>8</v>
      </c>
      <c r="B21" s="23" t="inlineStr">
        <is>
          <t>121144.md</t>
        </is>
      </c>
      <c r="C21" s="23" t="inlineStr">
        <is>
          <t>Bulletin article</t>
        </is>
      </c>
      <c r="D21" s="23" t="n"/>
      <c r="E21" s="23" t="inlineStr">
        <is>
          <t>9f96a5ff-2537-45cd-a34f-b0f82767f132</t>
        </is>
      </c>
      <c r="F21" s="23" t="n"/>
      <c r="G21" s="23" t="n"/>
      <c r="H21" s="23" t="inlineStr"/>
    </row>
    <row r="22">
      <c r="A22" s="23" t="n">
        <v>9</v>
      </c>
      <c r="B22" s="23" t="inlineStr">
        <is>
          <t>62020CJ0693.md</t>
        </is>
      </c>
      <c r="C22" s="23" t="inlineStr">
        <is>
          <t>Court Decision</t>
        </is>
      </c>
      <c r="D22" s="23" t="inlineStr">
        <is>
          <t>EU</t>
        </is>
      </c>
      <c r="E22" s="23" t="inlineStr">
        <is>
          <t>74ccf3f4-5d27-4c74-9208-62829cc5bcf1</t>
        </is>
      </c>
      <c r="F22" s="23" t="n"/>
      <c r="G22" s="23" t="n"/>
      <c r="H22" s="23" t="inlineStr"/>
    </row>
    <row r="23" s="41">
      <c r="A23" s="40" t="n">
        <v>10</v>
      </c>
      <c r="B23" s="40" t="inlineStr">
        <is>
          <t>62023TJ1097.md</t>
        </is>
      </c>
      <c r="C23" s="40" t="inlineStr">
        <is>
          <t>Court Decision</t>
        </is>
      </c>
      <c r="D23" s="40" t="inlineStr">
        <is>
          <t>EU</t>
        </is>
      </c>
      <c r="E23" s="40" t="inlineStr">
        <is>
          <t>17ecc724-b05f-4f42-9a28-b1282ba34327</t>
        </is>
      </c>
      <c r="F23" s="40" t="n"/>
      <c r="G23" s="40" t="n"/>
      <c r="H23" s="40" t="inlineStr"/>
    </row>
    <row r="24" s="41">
      <c r="A24" s="52" t="n">
        <v>11</v>
      </c>
      <c r="B24" s="52" t="inlineStr">
        <is>
          <t>67860.md</t>
        </is>
      </c>
      <c r="C24" s="52" t="inlineStr">
        <is>
          <t>Bulletin article</t>
        </is>
      </c>
      <c r="D24" s="52" t="n"/>
      <c r="E24" s="52" t="inlineStr">
        <is>
          <t>f3b54f3e-52e4-4232-8e7a-129fe9239fec</t>
        </is>
      </c>
      <c r="F24" s="52" t="n"/>
      <c r="G24" s="52" t="n"/>
      <c r="H24" s="52" t="inlineStr"/>
    </row>
    <row r="25" s="41">
      <c r="A25" s="52" t="n">
        <v>12</v>
      </c>
      <c r="B25" s="52" t="inlineStr">
        <is>
          <t>62007CJ0550.md</t>
        </is>
      </c>
      <c r="C25" s="52" t="inlineStr">
        <is>
          <t>Court Decision</t>
        </is>
      </c>
      <c r="D25" s="52" t="inlineStr">
        <is>
          <t>EU</t>
        </is>
      </c>
      <c r="E25" s="52" t="inlineStr">
        <is>
          <t>77a4dd19-04ce-410f-ba8e-9998f2902880</t>
        </is>
      </c>
      <c r="F25" s="52" t="n"/>
      <c r="G25" s="52" t="n"/>
      <c r="H25" s="52" t="inlineStr">
        <is>
          <t>Cited in answer: YES</t>
        </is>
      </c>
    </row>
    <row r="26" s="41">
      <c r="A26" s="52" t="n">
        <v>13</v>
      </c>
      <c r="B26" s="52" t="inlineStr">
        <is>
          <t>62020CC0682.md</t>
        </is>
      </c>
      <c r="C26" s="52" t="inlineStr">
        <is>
          <t>Bulletin article</t>
        </is>
      </c>
      <c r="D26" s="52" t="inlineStr">
        <is>
          <t>EU</t>
        </is>
      </c>
      <c r="E26" s="52" t="inlineStr">
        <is>
          <t>4228e89d-bc15-4a00-9ed7-bd703f8ec05a</t>
        </is>
      </c>
      <c r="F26" s="52" t="n"/>
      <c r="G26" s="52" t="n"/>
      <c r="H26" s="52" t="inlineStr">
        <is>
          <t>Cited in answer: YES</t>
        </is>
      </c>
    </row>
    <row r="27" s="41">
      <c r="A27" s="52" t="n">
        <v>14</v>
      </c>
      <c r="B27" s="52" t="inlineStr">
        <is>
          <t>61979CJ0155.md</t>
        </is>
      </c>
      <c r="C27" s="52" t="inlineStr">
        <is>
          <t>Court Decision</t>
        </is>
      </c>
      <c r="D27" s="52" t="inlineStr">
        <is>
          <t>EU</t>
        </is>
      </c>
      <c r="E27" s="52" t="inlineStr">
        <is>
          <t>5353da9e-012f-4409-bde2-d1256386ccb7</t>
        </is>
      </c>
      <c r="F27" s="52" t="n"/>
      <c r="G27" s="52" t="n"/>
      <c r="H27" s="52" t="inlineStr">
        <is>
          <t>Cited in answer: YES</t>
        </is>
      </c>
    </row>
    <row r="28" s="41">
      <c r="A28" s="52" t="n">
        <v>15</v>
      </c>
      <c r="B28" s="52" t="inlineStr">
        <is>
          <t>AT.40588-DEC_3BB0CA7D-3722-43A5-85E8-BF3CA6EB441B_-ATT6339.md</t>
        </is>
      </c>
      <c r="C28" s="52" t="inlineStr">
        <is>
          <t>Regulatory Decision</t>
        </is>
      </c>
      <c r="D28" s="52" t="inlineStr">
        <is>
          <t>EU</t>
        </is>
      </c>
      <c r="E28" s="52" t="inlineStr">
        <is>
          <t>9d692a02-4ebd-41a5-ae70-af412829d83f</t>
        </is>
      </c>
      <c r="F28" s="52" t="n"/>
      <c r="G28" s="52" t="n"/>
      <c r="H28" s="52" t="inlineStr"/>
    </row>
    <row r="29" s="41">
      <c r="A29" s="52" t="n">
        <v>16</v>
      </c>
      <c r="B29" s="52" t="inlineStr">
        <is>
          <t>62023TJ1097.md</t>
        </is>
      </c>
      <c r="C29" s="52" t="inlineStr">
        <is>
          <t>Court Decision</t>
        </is>
      </c>
      <c r="D29" s="52" t="inlineStr">
        <is>
          <t>EU</t>
        </is>
      </c>
      <c r="E29" s="52" t="inlineStr">
        <is>
          <t>19135079-d5db-4c66-b2d1-4bc35297af23</t>
        </is>
      </c>
      <c r="F29" s="52" t="n"/>
      <c r="G29" s="52" t="n"/>
      <c r="H29" s="52" t="inlineStr"/>
    </row>
    <row r="30" s="41">
      <c r="A30" s="52" t="n">
        <v>17</v>
      </c>
      <c r="B30" s="52" t="inlineStr">
        <is>
          <t>91835.md</t>
        </is>
      </c>
      <c r="C30" s="52" t="inlineStr">
        <is>
          <t>Article (Review)</t>
        </is>
      </c>
      <c r="D30" s="52" t="n"/>
      <c r="E30" s="52" t="inlineStr">
        <is>
          <t>f6ec0179-d152-4059-9a3f-81d669d422b0</t>
        </is>
      </c>
      <c r="F30" s="52" t="n"/>
      <c r="G30" s="52" t="n"/>
      <c r="H30" s="52" t="inlineStr"/>
    </row>
    <row r="31" s="41">
      <c r="A31" s="52" t="n">
        <v>18</v>
      </c>
      <c r="B31" s="52" t="inlineStr">
        <is>
          <t>62003TJ0125.md</t>
        </is>
      </c>
      <c r="C31" s="52" t="inlineStr">
        <is>
          <t>Court Decision</t>
        </is>
      </c>
      <c r="D31" s="52" t="inlineStr">
        <is>
          <t>EU</t>
        </is>
      </c>
      <c r="E31" s="52" t="inlineStr">
        <is>
          <t>a8c1d5f4-d4fb-4365-bf78-e327971748f9</t>
        </is>
      </c>
      <c r="F31" s="52" t="n"/>
      <c r="G31" s="52" t="n"/>
      <c r="H31" s="52" t="inlineStr">
        <is>
          <t>Cited in answer: YES</t>
        </is>
      </c>
    </row>
    <row r="32" s="41">
      <c r="A32" s="52" t="n">
        <v>19</v>
      </c>
      <c r="B32" s="52" t="inlineStr">
        <is>
          <t>62020CJ0682.md</t>
        </is>
      </c>
      <c r="C32" s="52" t="inlineStr">
        <is>
          <t>Court Decision</t>
        </is>
      </c>
      <c r="D32" s="52" t="inlineStr">
        <is>
          <t>EU</t>
        </is>
      </c>
      <c r="E32" s="52" t="inlineStr">
        <is>
          <t>408cfe67-7fe4-45a8-9c3e-de39d86d56cb</t>
        </is>
      </c>
      <c r="F32" s="52" t="n"/>
      <c r="G32" s="52" t="n"/>
      <c r="H32" s="52" t="inlineStr"/>
    </row>
    <row r="33" s="41">
      <c r="A33" s="52" t="n">
        <v>20</v>
      </c>
      <c r="B33" s="52" t="inlineStr">
        <is>
          <t>62020CJ0690.md</t>
        </is>
      </c>
      <c r="C33" s="52" t="inlineStr">
        <is>
          <t>Court Decision</t>
        </is>
      </c>
      <c r="D33" s="52" t="inlineStr">
        <is>
          <t>EU</t>
        </is>
      </c>
      <c r="E33" s="52" t="inlineStr">
        <is>
          <t>75c2da13-00ee-43b2-baa4-a6f2e5a71e73</t>
        </is>
      </c>
      <c r="F33" s="52" t="n"/>
      <c r="G33" s="52" t="n"/>
      <c r="H33" s="52" t="inlineStr"/>
    </row>
    <row r="34" s="41">
      <c r="A34" s="52" t="n">
        <v>21</v>
      </c>
      <c r="B34" s="52" t="inlineStr">
        <is>
          <t>compendium-eu-competition-law--p20.md</t>
        </is>
      </c>
      <c r="C34" s="52" t="inlineStr">
        <is>
          <t>Legislation</t>
        </is>
      </c>
      <c r="D34" s="52" t="n"/>
      <c r="E34" s="52" t="inlineStr">
        <is>
          <t>4051fc69-a489-4b05-95ab-16bd651b54f1</t>
        </is>
      </c>
      <c r="F34" s="52" t="n"/>
      <c r="G34" s="52" t="n"/>
      <c r="H34" s="52" t="inlineStr"/>
    </row>
    <row r="35" s="41">
      <c r="A35" s="52" t="n">
        <v>22</v>
      </c>
      <c r="B35" s="52" t="inlineStr">
        <is>
          <t>AT.37990-DEC_D1115C27-9B1D-401A-A930-8895EBEFC8F6_-ATT3581.md</t>
        </is>
      </c>
      <c r="C35" s="52" t="inlineStr">
        <is>
          <t>Regulatory Decision</t>
        </is>
      </c>
      <c r="D35" s="52" t="inlineStr">
        <is>
          <t>EU</t>
        </is>
      </c>
      <c r="E35" s="52" t="inlineStr">
        <is>
          <t>b320e5cc-5605-4cb5-9f85-f6decae603d2</t>
        </is>
      </c>
      <c r="F35" s="52" t="n"/>
      <c r="G35" s="52" t="n"/>
      <c r="H35" s="52" t="inlineStr"/>
    </row>
    <row r="36" s="41">
      <c r="A36" s="52" t="n">
        <v>23</v>
      </c>
      <c r="B36" s="52" t="inlineStr">
        <is>
          <t>96586.md</t>
        </is>
      </c>
      <c r="C36" s="52" t="inlineStr">
        <is>
          <t>Article (Review)</t>
        </is>
      </c>
      <c r="D36" s="52" t="n"/>
      <c r="E36" s="52" t="inlineStr">
        <is>
          <t>4cb5c154-4d3a-46c3-8bca-8f09c7e6c562</t>
        </is>
      </c>
      <c r="F36" s="52" t="n"/>
      <c r="G36" s="52" t="n"/>
      <c r="H36" s="52" t="inlineStr"/>
    </row>
    <row r="37" s="41">
      <c r="A37" s="52" t="n">
        <v>24</v>
      </c>
      <c r="B37" s="52" t="inlineStr">
        <is>
          <t>41554.md</t>
        </is>
      </c>
      <c r="C37" s="52" t="inlineStr">
        <is>
          <t>Bulletin article</t>
        </is>
      </c>
      <c r="D37" s="52" t="n"/>
      <c r="E37" s="52" t="inlineStr">
        <is>
          <t>7ac322df-dba5-454b-a0e6-0bff2167a703</t>
        </is>
      </c>
      <c r="F37" s="52" t="n"/>
      <c r="G37" s="52" t="n"/>
      <c r="H37" s="52" t="inlineStr"/>
    </row>
    <row r="38" s="41">
      <c r="A38" s="52" t="n">
        <v>25</v>
      </c>
      <c r="B38" s="52" t="inlineStr">
        <is>
          <t>62020TJ0451.md</t>
        </is>
      </c>
      <c r="C38" s="52" t="inlineStr">
        <is>
          <t>Court Decision</t>
        </is>
      </c>
      <c r="D38" s="52" t="inlineStr">
        <is>
          <t>EU</t>
        </is>
      </c>
      <c r="E38" s="52" t="inlineStr">
        <is>
          <t>48c42881-8462-4197-885e-35fd7e697950</t>
        </is>
      </c>
      <c r="F38" s="52" t="n"/>
      <c r="G38" s="52" t="n"/>
      <c r="H38" s="52" t="inlineStr"/>
    </row>
    <row r="39" s="41">
      <c r="A39" s="52" t="n">
        <v>26</v>
      </c>
      <c r="B39" s="52" t="inlineStr">
        <is>
          <t>judicial-review-competition-cases--6_european_union_-_judicial_review_of_inspection_decisions.md</t>
        </is>
      </c>
      <c r="C39" s="52" t="inlineStr">
        <is>
          <t>Article (Review)</t>
        </is>
      </c>
      <c r="D39" s="52" t="n"/>
      <c r="E39" s="52" t="inlineStr">
        <is>
          <t>21a3ec2e-1c42-4307-ab97-e45011d6660a</t>
        </is>
      </c>
      <c r="F39" s="52" t="n"/>
      <c r="G39" s="52" t="n"/>
      <c r="H39" s="52" t="inlineStr"/>
    </row>
    <row r="40" s="41">
      <c r="A40" s="52" t="n">
        <v>27</v>
      </c>
      <c r="B40" s="52" t="inlineStr">
        <is>
          <t>AT.38589-DEC_3E35814B-057B-4DBA-846C-7E857FD065EA_-ATT4669.md</t>
        </is>
      </c>
      <c r="C40" s="52" t="inlineStr">
        <is>
          <t>Regulatory Decision</t>
        </is>
      </c>
      <c r="D40" s="52" t="inlineStr">
        <is>
          <t>EU</t>
        </is>
      </c>
      <c r="E40" s="52" t="inlineStr">
        <is>
          <t>4c1b86f8-9f04-46e8-acde-128a983395c5</t>
        </is>
      </c>
      <c r="F40" s="52" t="n"/>
      <c r="G40" s="52" t="n"/>
      <c r="H40" s="52" t="inlineStr"/>
    </row>
    <row r="41" s="41">
      <c r="A41" s="52" t="n">
        <v>28</v>
      </c>
      <c r="B41" s="52" t="inlineStr">
        <is>
          <t>62009TJ0135.md</t>
        </is>
      </c>
      <c r="C41" s="52" t="inlineStr">
        <is>
          <t>Court Decision</t>
        </is>
      </c>
      <c r="D41" s="52" t="inlineStr">
        <is>
          <t>EU</t>
        </is>
      </c>
      <c r="E41" s="52" t="inlineStr">
        <is>
          <t>10418f10-8b6f-4bcc-adf6-39e168b49440</t>
        </is>
      </c>
      <c r="F41" s="52" t="n"/>
      <c r="G41" s="52" t="n"/>
      <c r="H41" s="52" t="inlineStr"/>
    </row>
    <row r="42" s="41">
      <c r="A42" s="52" t="n">
        <v>29</v>
      </c>
      <c r="B42" s="52" t="inlineStr">
        <is>
          <t>eu-antitrust-enforcement--15_xiv_procedural_rights_and_obligations_of_third_parties_in_antitrust_investigations_and_proceedings_by_the_european_commission.md</t>
        </is>
      </c>
      <c r="C42" s="52" t="inlineStr">
        <is>
          <t>Book (Livre)</t>
        </is>
      </c>
      <c r="D42" s="52" t="n"/>
      <c r="E42" s="52" t="inlineStr">
        <is>
          <t>b2429dd2-ef75-4f34-8bf2-95b08c3a4de5</t>
        </is>
      </c>
      <c r="F42" s="52" t="n"/>
      <c r="G42" s="52" t="n"/>
      <c r="H42" s="52" t="inlineStr"/>
    </row>
    <row r="43" s="41">
      <c r="A43" s="52" t="n">
        <v>30</v>
      </c>
      <c r="B43" s="52" t="inlineStr">
        <is>
          <t>62020TJ0452.md</t>
        </is>
      </c>
      <c r="C43" s="52" t="inlineStr">
        <is>
          <t>Court Decision</t>
        </is>
      </c>
      <c r="D43" s="52" t="inlineStr">
        <is>
          <t>EU</t>
        </is>
      </c>
      <c r="E43" s="52" t="inlineStr">
        <is>
          <t>b2ad17a9-5061-42da-938b-6bc18c4c1e54</t>
        </is>
      </c>
      <c r="F43" s="52" t="n"/>
      <c r="G43" s="52" t="n"/>
      <c r="H43" s="52" t="inlineStr"/>
    </row>
    <row r="44" s="41">
      <c r="A44" s="52" t="n">
        <v>31</v>
      </c>
      <c r="B44" s="52" t="inlineStr">
        <is>
          <t>m10149.md</t>
        </is>
      </c>
      <c r="C44" s="52" t="inlineStr">
        <is>
          <t>Regulatory Decision</t>
        </is>
      </c>
      <c r="D44" s="52" t="inlineStr">
        <is>
          <t>EU</t>
        </is>
      </c>
      <c r="E44" s="52" t="inlineStr">
        <is>
          <t>440344d8-5df6-4302-a894-bc58447b2a18</t>
        </is>
      </c>
      <c r="F44" s="52" t="n"/>
      <c r="G44" s="52" t="n"/>
      <c r="H44" s="52" t="inlineStr"/>
    </row>
    <row r="45" s="41">
      <c r="A45" s="52" t="n">
        <v>32</v>
      </c>
      <c r="B45" s="52" t="inlineStr">
        <is>
          <t>AT.39612-DEC_5C6ACA13-ABDB-424E-BCCD-DAD64547B586_-ATT12422.md</t>
        </is>
      </c>
      <c r="C45" s="52" t="inlineStr">
        <is>
          <t>Regulatory Decision</t>
        </is>
      </c>
      <c r="D45" s="52" t="inlineStr">
        <is>
          <t>EU</t>
        </is>
      </c>
      <c r="E45" s="52" t="inlineStr">
        <is>
          <t>721711b5-0be0-4aed-9af6-c718c0f75e94</t>
        </is>
      </c>
      <c r="F45" s="52" t="n"/>
      <c r="G45" s="52" t="n"/>
      <c r="H45" s="52" t="inlineStr"/>
    </row>
    <row r="46" s="41">
      <c r="A46" s="52" t="n">
        <v>33</v>
      </c>
      <c r="B46" s="52" t="inlineStr">
        <is>
          <t>79963.md</t>
        </is>
      </c>
      <c r="C46" s="52" t="inlineStr">
        <is>
          <t>Article (Review)</t>
        </is>
      </c>
      <c r="D46" s="52" t="n"/>
      <c r="E46" s="52" t="inlineStr">
        <is>
          <t>b0c5f913-948d-4dcc-9ea4-98f6136ca5a7</t>
        </is>
      </c>
      <c r="F46" s="52" t="n"/>
      <c r="G46" s="52" t="n"/>
      <c r="H46" s="52" t="inlineStr"/>
    </row>
    <row r="47" s="41">
      <c r="A47" s="52" t="n">
        <v>34</v>
      </c>
      <c r="B47" s="52" t="inlineStr">
        <is>
          <t>competition-case-law-digest-5th--p09.md</t>
        </is>
      </c>
      <c r="C47" s="52" t="inlineStr">
        <is>
          <t>Book (Livre)</t>
        </is>
      </c>
      <c r="D47" s="52" t="n"/>
      <c r="E47" s="52" t="inlineStr">
        <is>
          <t>2f0afdb0-43c8-41b3-99e2-c3003ab906c1</t>
        </is>
      </c>
      <c r="F47" s="52" t="n"/>
      <c r="G47" s="52" t="n"/>
      <c r="H47" s="52" t="inlineStr"/>
    </row>
    <row r="48" s="41">
      <c r="A48" s="52" t="n">
        <v>35</v>
      </c>
      <c r="B48" s="52" t="inlineStr">
        <is>
          <t>65144.md</t>
        </is>
      </c>
      <c r="C48" s="52" t="inlineStr">
        <is>
          <t>Bulletin article</t>
        </is>
      </c>
      <c r="D48" s="52" t="n"/>
      <c r="E48" s="52" t="inlineStr">
        <is>
          <t>ce8f9970-7bea-4576-a4de-4bd06551adb1</t>
        </is>
      </c>
      <c r="F48" s="52" t="n"/>
      <c r="G48" s="52" t="n"/>
      <c r="H48" s="52" t="inlineStr"/>
    </row>
    <row r="49" s="41">
      <c r="A49" s="52" t="n">
        <v>36</v>
      </c>
      <c r="B49" s="52" t="inlineStr">
        <is>
          <t>eu-antitrust-enforcement--10_ix_the_compatibility_with_fundamental_rights_of_the_eu_antitrust_enforcement_system_in_which_the_european_commission_acts_both_as_investigator_and_as_first_instance_decision_maker.md</t>
        </is>
      </c>
      <c r="C49" s="52" t="inlineStr">
        <is>
          <t>Article (Review)</t>
        </is>
      </c>
      <c r="D49" s="52" t="n"/>
      <c r="E49" s="52" t="inlineStr">
        <is>
          <t>2c996db6-dd0f-46f5-be34-12be8f73b817</t>
        </is>
      </c>
      <c r="F49" s="52" t="n"/>
      <c r="G49" s="52" t="n"/>
      <c r="H49" s="52" t="inlineStr"/>
    </row>
    <row r="50" s="41">
      <c r="A50" s="52" t="n">
        <v>37</v>
      </c>
      <c r="B50" s="52" t="inlineStr">
        <is>
          <t>AT.39685-DEC_B33871A4-85CF-4460-AF10-A316F0FCD1B3_-ATT1976.md</t>
        </is>
      </c>
      <c r="C50" s="52" t="inlineStr">
        <is>
          <t>Regulatory Decision</t>
        </is>
      </c>
      <c r="D50" s="52" t="inlineStr">
        <is>
          <t>EU</t>
        </is>
      </c>
      <c r="E50" s="52" t="inlineStr">
        <is>
          <t>f4c38de6-b0b1-4d43-bba1-95b9f50b711c</t>
        </is>
      </c>
      <c r="F50" s="52" t="n"/>
      <c r="G50" s="52" t="n"/>
      <c r="H50" s="52" t="inlineStr"/>
    </row>
    <row r="51" s="41">
      <c r="A51" s="52" t="n">
        <v>38</v>
      </c>
      <c r="B51" s="52" t="inlineStr">
        <is>
          <t>competition-inspections-25-jurisdictions--23_sweden.md</t>
        </is>
      </c>
      <c r="C51" s="52" t="inlineStr">
        <is>
          <t>Article (Review)</t>
        </is>
      </c>
      <c r="D51" s="52" t="n"/>
      <c r="E51" s="52" t="inlineStr">
        <is>
          <t>dcf6ff3a-fc96-4095-bbc3-ecdd4afa4808</t>
        </is>
      </c>
      <c r="F51" s="52" t="n"/>
      <c r="G51" s="52" t="n"/>
      <c r="H51" s="52" t="inlineStr"/>
    </row>
    <row r="52" s="41">
      <c r="A52" s="52" t="n">
        <v>39</v>
      </c>
      <c r="B52" s="52" t="inlineStr">
        <is>
          <t>competition-inspections-25-jurisdictions--16_netherlands.md</t>
        </is>
      </c>
      <c r="C52" s="52" t="inlineStr">
        <is>
          <t>Article (Review)</t>
        </is>
      </c>
      <c r="D52" s="52" t="n"/>
      <c r="E52" s="52" t="inlineStr">
        <is>
          <t>bd91d513-0a9b-4001-afec-498af0c4e9c4</t>
        </is>
      </c>
      <c r="F52" s="52" t="n"/>
      <c r="G52" s="52" t="n"/>
      <c r="H52" s="52" t="inlineStr"/>
    </row>
    <row r="53" s="41">
      <c r="A53" s="52" t="n">
        <v>40</v>
      </c>
      <c r="B53" s="52" t="inlineStr">
        <is>
          <t>eu-antitrust-enforcement--17_xvi_re_adoption_by_the_european_commission_of_cartel_decisions_annulled_on_procedural_grounds_by_the_eu_courts.md</t>
        </is>
      </c>
      <c r="C53" s="52" t="inlineStr">
        <is>
          <t>Article (Review)</t>
        </is>
      </c>
      <c r="D53" s="52" t="n"/>
      <c r="E53" s="52" t="inlineStr">
        <is>
          <t>71ba5e7f-b51e-4068-b010-b7e7f422add9</t>
        </is>
      </c>
      <c r="F53" s="52" t="n"/>
      <c r="G53" s="52" t="n"/>
      <c r="H53" s="52" t="inlineStr"/>
    </row>
    <row r="54" s="41">
      <c r="A54" s="52" t="n">
        <v>41</v>
      </c>
      <c r="B54" s="52" t="inlineStr">
        <is>
          <t>eu-antitrust-enforcement--16_xv_publication_of_antitrust_decisions_of_the_european_commission.md</t>
        </is>
      </c>
      <c r="C54" s="52" t="inlineStr">
        <is>
          <t>Book (Livre)</t>
        </is>
      </c>
      <c r="D54" s="52" t="n"/>
      <c r="E54" s="52" t="inlineStr">
        <is>
          <t>3c9799ff-7e91-4daf-9fef-671444f16757</t>
        </is>
      </c>
      <c r="F54" s="52" t="n"/>
      <c r="G54" s="52" t="n"/>
      <c r="H54" s="52" t="inlineStr"/>
    </row>
    <row r="55" s="41">
      <c r="A55" s="52" t="n">
        <v>42</v>
      </c>
      <c r="B55" s="52" t="inlineStr">
        <is>
          <t>62010TJ0027.md</t>
        </is>
      </c>
      <c r="C55" s="52" t="inlineStr">
        <is>
          <t>Court Decision</t>
        </is>
      </c>
      <c r="D55" s="52" t="inlineStr">
        <is>
          <t>EU</t>
        </is>
      </c>
      <c r="E55" s="52" t="inlineStr">
        <is>
          <t>bc02167d-8c4b-4b56-831c-f9c775215394</t>
        </is>
      </c>
      <c r="F55" s="52" t="n"/>
      <c r="G55" s="52" t="n"/>
      <c r="H55" s="52" t="inlineStr"/>
    </row>
    <row r="56" s="41">
      <c r="A56" s="52" t="n">
        <v>43</v>
      </c>
      <c r="B56" s="52" t="inlineStr">
        <is>
          <t>62010TJ0047.md</t>
        </is>
      </c>
      <c r="C56" s="52" t="inlineStr">
        <is>
          <t>Court Decision</t>
        </is>
      </c>
      <c r="D56" s="52" t="inlineStr">
        <is>
          <t>EU</t>
        </is>
      </c>
      <c r="E56" s="52" t="inlineStr">
        <is>
          <t>3cc76128-e075-4858-8344-bb863faf33fb</t>
        </is>
      </c>
      <c r="F56" s="52" t="n"/>
      <c r="G56" s="52" t="n"/>
      <c r="H56" s="52" t="inlineStr"/>
    </row>
    <row r="57" s="41">
      <c r="A57" s="52" t="n">
        <v>44</v>
      </c>
      <c r="B57" s="52" t="inlineStr">
        <is>
          <t>62023TJ1119.md</t>
        </is>
      </c>
      <c r="C57" s="52" t="inlineStr">
        <is>
          <t>Court Decision</t>
        </is>
      </c>
      <c r="D57" s="52" t="inlineStr">
        <is>
          <t>EU</t>
        </is>
      </c>
      <c r="E57" s="52" t="inlineStr">
        <is>
          <t>ce0e3df2-f4ea-4345-a297-e54a4f805a9f</t>
        </is>
      </c>
      <c r="F57" s="52" t="n"/>
      <c r="G57" s="52" t="n"/>
      <c r="H57" s="52" t="inlineStr"/>
    </row>
    <row r="58" s="41">
      <c r="A58" s="52" t="n">
        <v>45</v>
      </c>
      <c r="B58" s="52" t="inlineStr">
        <is>
          <t>judicial-review-competition-cases--7_european_union_-_are_there_any_limits_to_unlimited_jurisdiction_judicial_review_of_commission_discretion_in_setting_fines_for_breaches_of_eu_competition_rules.md</t>
        </is>
      </c>
      <c r="C58" s="52" t="inlineStr">
        <is>
          <t>Article (Review)</t>
        </is>
      </c>
      <c r="D58" s="52" t="n"/>
      <c r="E58" s="52" t="inlineStr">
        <is>
          <t>db161723-dcab-4880-a411-5ede0c406c3a</t>
        </is>
      </c>
      <c r="F58" s="52" t="n"/>
      <c r="G58" s="52" t="n"/>
      <c r="H58" s="52" t="inlineStr"/>
    </row>
    <row r="59" s="41">
      <c r="A59" s="52" t="n">
        <v>46</v>
      </c>
      <c r="B59" s="52" t="inlineStr">
        <is>
          <t>112075.md</t>
        </is>
      </c>
      <c r="C59" s="52" t="inlineStr">
        <is>
          <t>Bulletin article</t>
        </is>
      </c>
      <c r="D59" s="52" t="n"/>
      <c r="E59" s="52" t="inlineStr">
        <is>
          <t>d2417411-7570-40c0-8fde-72b358d5c65a</t>
        </is>
      </c>
      <c r="F59" s="52" t="n"/>
      <c r="G59" s="52" t="n"/>
      <c r="H59" s="52" t="inlineStr"/>
    </row>
    <row r="60" s="41">
      <c r="A60" s="52" t="n">
        <v>47</v>
      </c>
      <c r="B60" s="52" t="inlineStr">
        <is>
          <t>competition-inspections-25-jurisdictions--7_european_union.md</t>
        </is>
      </c>
      <c r="C60" s="52" t="inlineStr">
        <is>
          <t>Article (Review)</t>
        </is>
      </c>
      <c r="D60" s="52" t="n"/>
      <c r="E60" s="52" t="inlineStr">
        <is>
          <t>1c2fa592-34f0-4656-96c2-024c5ea88b1e</t>
        </is>
      </c>
      <c r="F60" s="52" t="n"/>
      <c r="G60" s="52" t="n"/>
      <c r="H60" s="52" t="inlineStr"/>
    </row>
    <row r="61" s="41">
      <c r="A61" s="52" t="n">
        <v>48</v>
      </c>
      <c r="B61" s="52" t="inlineStr">
        <is>
          <t>eu-antitrust-enforcement--13_xii_the_oral_hearing_in_antitrust_proceedings_before_the_european_commission.md</t>
        </is>
      </c>
      <c r="C61" s="52" t="inlineStr">
        <is>
          <t>Article (Review)</t>
        </is>
      </c>
      <c r="D61" s="52" t="n"/>
      <c r="E61" s="52" t="inlineStr">
        <is>
          <t>8edbd753-7757-4163-9662-1b5feeeadeb4</t>
        </is>
      </c>
      <c r="F61" s="52" t="n"/>
      <c r="G61" s="52" t="n"/>
      <c r="H61" s="52" t="inlineStr"/>
    </row>
    <row r="62" s="41">
      <c r="A62" s="52" t="n">
        <v>49</v>
      </c>
      <c r="B62" s="52" t="inlineStr">
        <is>
          <t>129921.md</t>
        </is>
      </c>
      <c r="C62" s="52" t="inlineStr">
        <is>
          <t>Article (Review)</t>
        </is>
      </c>
      <c r="D62" s="52" t="n"/>
      <c r="E62" s="52" t="inlineStr">
        <is>
          <t>f778c4be-e8ad-469a-a0b4-810de049896e</t>
        </is>
      </c>
      <c r="F62" s="52" t="n"/>
      <c r="G62" s="52" t="n"/>
      <c r="H62" s="52" t="inlineStr">
        <is>
          <t>Cited in answer: YES</t>
        </is>
      </c>
    </row>
    <row r="63" s="41">
      <c r="A63" s="52" t="n">
        <v>50</v>
      </c>
      <c r="B63" s="52" t="inlineStr">
        <is>
          <t>81215.md</t>
        </is>
      </c>
      <c r="C63" s="52" t="inlineStr">
        <is>
          <t>Article (Review)</t>
        </is>
      </c>
      <c r="D63" s="52" t="n"/>
      <c r="E63" s="52" t="inlineStr">
        <is>
          <t>1326c749-4c6d-42ec-974e-b228dd1bf722</t>
        </is>
      </c>
      <c r="F63" s="52" t="n"/>
      <c r="G63" s="52" t="n"/>
      <c r="H63" s="52" t="inlineStr"/>
    </row>
    <row r="64" s="41">
      <c r="A64" s="52" t="n">
        <v>51</v>
      </c>
      <c r="B64" s="52" t="inlineStr">
        <is>
          <t>62018CC0606.md</t>
        </is>
      </c>
      <c r="C64" s="52" t="inlineStr">
        <is>
          <t>Article (Review)</t>
        </is>
      </c>
      <c r="D64" s="52" t="inlineStr">
        <is>
          <t>EU</t>
        </is>
      </c>
      <c r="E64" s="52" t="inlineStr">
        <is>
          <t>0655b4ec-4821-4b46-91b6-b6ddaebd8d5d</t>
        </is>
      </c>
      <c r="F64" s="52" t="n"/>
      <c r="G64" s="52" t="n"/>
      <c r="H64" s="52" t="inlineStr"/>
    </row>
    <row r="65" s="41">
      <c r="A65" s="52" t="n">
        <v>52</v>
      </c>
      <c r="B65" s="52" t="inlineStr">
        <is>
          <t>competition-case-law-digest-5th--p10.md</t>
        </is>
      </c>
      <c r="C65" s="52" t="inlineStr">
        <is>
          <t>Book (Livre)</t>
        </is>
      </c>
      <c r="D65" s="52" t="n"/>
      <c r="E65" s="52" t="inlineStr">
        <is>
          <t>65e060cb-bdeb-413d-b4e8-b9ffe0ed3995</t>
        </is>
      </c>
      <c r="F65" s="52" t="n"/>
      <c r="G65" s="52" t="n"/>
      <c r="H65" s="52" t="inlineStr"/>
    </row>
    <row r="66" s="41">
      <c r="A66" s="52" t="n">
        <v>53</v>
      </c>
      <c r="B66" s="52" t="inlineStr">
        <is>
          <t>131823.md</t>
        </is>
      </c>
      <c r="C66" s="52" t="inlineStr">
        <is>
          <t>Bulletin article</t>
        </is>
      </c>
      <c r="D66" s="52" t="n"/>
      <c r="E66" s="52" t="inlineStr">
        <is>
          <t>9a53486d-c10b-4126-a9f0-2a80c4e4e2d2</t>
        </is>
      </c>
      <c r="F66" s="52" t="n"/>
      <c r="G66" s="52" t="n"/>
      <c r="H66" s="52" t="inlineStr"/>
    </row>
    <row r="67" s="41">
      <c r="A67" s="52" t="n">
        <v>54</v>
      </c>
      <c r="B67" s="52" t="inlineStr">
        <is>
          <t>95849-3360-inspections-the-court-of-justice-of-the-european-union-gives-the-commission.md</t>
        </is>
      </c>
      <c r="C67" s="52" t="inlineStr">
        <is>
          <t>Bulletin article</t>
        </is>
      </c>
      <c r="D67" s="52" t="n"/>
      <c r="E67" s="52" t="inlineStr">
        <is>
          <t>afe07022-9e8e-4270-a8d4-2c0aaa70652f</t>
        </is>
      </c>
      <c r="F67" s="52" t="n"/>
      <c r="G67" s="52" t="n"/>
      <c r="H67" s="52" t="inlineStr"/>
    </row>
    <row r="68" s="41">
      <c r="A68" s="52" t="n">
        <v>55</v>
      </c>
      <c r="B68" s="52" t="inlineStr">
        <is>
          <t>125471-20-dawn-raids-the-general-court-upholds-the-european-commissions-overall-assessm.md</t>
        </is>
      </c>
      <c r="C68" s="52" t="inlineStr">
        <is>
          <t>Bulletin article</t>
        </is>
      </c>
      <c r="D68" s="52" t="n"/>
      <c r="E68" s="52" t="inlineStr">
        <is>
          <t>e97ed81a-60ca-4112-9207-21a8613078bd</t>
        </is>
      </c>
      <c r="F68" s="52" t="n"/>
      <c r="G68" s="52" t="n"/>
      <c r="H68" s="52" t="inlineStr"/>
    </row>
    <row r="69" s="41">
      <c r="A69" s="52" t="n">
        <v>56</v>
      </c>
      <c r="B69" s="52" t="inlineStr">
        <is>
          <t>62018CJ0606.md</t>
        </is>
      </c>
      <c r="C69" s="52" t="inlineStr">
        <is>
          <t>Court Decision</t>
        </is>
      </c>
      <c r="D69" s="52" t="inlineStr">
        <is>
          <t>EU</t>
        </is>
      </c>
      <c r="E69" s="52" t="inlineStr">
        <is>
          <t>2d074327-045b-484e-8bbc-1a0f9c7ed660</t>
        </is>
      </c>
      <c r="F69" s="52" t="n"/>
      <c r="G69" s="52" t="n"/>
      <c r="H69" s="52" t="inlineStr"/>
    </row>
    <row r="70" s="41">
      <c r="A70" s="52" t="n">
        <v>57</v>
      </c>
      <c r="B70" s="52" t="inlineStr">
        <is>
          <t>89462-10-dawn-raids-under-challenge-due-process-aspects-on-the-european-commissions-da.md</t>
        </is>
      </c>
      <c r="C70" s="52" t="inlineStr">
        <is>
          <t>Book (Livre)</t>
        </is>
      </c>
      <c r="D70" s="52" t="n"/>
      <c r="E70" s="52" t="inlineStr">
        <is>
          <t>d99f40e5-7676-4078-8409-e9b39b24278d</t>
        </is>
      </c>
      <c r="F70" s="52" t="n"/>
      <c r="G70" s="52" t="n"/>
      <c r="H70" s="52" t="inlineStr"/>
    </row>
    <row r="71" s="41">
      <c r="A71" s="52" t="n">
        <v>58</v>
      </c>
      <c r="B71" s="52" t="inlineStr">
        <is>
          <t>88314-25-dawn-raids-under-challenge-due-process-aspects-on-the-european-commissions-da.md</t>
        </is>
      </c>
      <c r="C71" s="52" t="inlineStr">
        <is>
          <t>Book (Livre)</t>
        </is>
      </c>
      <c r="D71" s="52" t="n"/>
      <c r="E71" s="52" t="inlineStr">
        <is>
          <t>5b9b4609-8335-4feb-aca4-61b1b39072de</t>
        </is>
      </c>
      <c r="F71" s="52" t="n"/>
      <c r="G71" s="52" t="n"/>
      <c r="H71" s="52" t="inlineStr"/>
    </row>
    <row r="72" s="41">
      <c r="A72" s="52" t="n">
        <v>59</v>
      </c>
      <c r="B72" s="52" t="inlineStr">
        <is>
          <t>120985.md</t>
        </is>
      </c>
      <c r="C72" s="52" t="inlineStr">
        <is>
          <t>Bulletin article</t>
        </is>
      </c>
      <c r="D72" s="52" t="n"/>
      <c r="E72" s="52" t="inlineStr">
        <is>
          <t>8743ed4a-36f8-448f-9aa9-ccf29abfc760</t>
        </is>
      </c>
      <c r="F72" s="52" t="n"/>
      <c r="G72" s="52" t="n"/>
      <c r="H72" s="52" t="inlineStr"/>
    </row>
    <row r="73" s="41">
      <c r="A73" s="52" t="n">
        <v>60</v>
      </c>
      <c r="B73" s="52" t="inlineStr">
        <is>
          <t>62023TJ0263.md</t>
        </is>
      </c>
      <c r="C73" s="52" t="inlineStr">
        <is>
          <t>Court Decision</t>
        </is>
      </c>
      <c r="D73" s="52" t="inlineStr">
        <is>
          <t>EU</t>
        </is>
      </c>
      <c r="E73" s="52" t="inlineStr">
        <is>
          <t>16791fea-a958-4950-92a6-5a1b65fb3a04</t>
        </is>
      </c>
      <c r="F73" s="52" t="n"/>
      <c r="G73" s="52" t="n"/>
      <c r="H73" s="52" t="inlineStr"/>
    </row>
    <row r="74" s="41">
      <c r="A74" s="52" t="n">
        <v>61</v>
      </c>
      <c r="B74" s="52" t="inlineStr">
        <is>
          <t>AT.39482-DEC_73751038-699C-4409-B44D-C84DA7B4B25F_-ATT3130.md</t>
        </is>
      </c>
      <c r="C74" s="52" t="inlineStr">
        <is>
          <t>Regulatory Decision</t>
        </is>
      </c>
      <c r="D74" s="52" t="inlineStr">
        <is>
          <t>EU</t>
        </is>
      </c>
      <c r="E74" s="52" t="inlineStr">
        <is>
          <t>818ed882-d0ec-470c-9150-e05c4b7c6fc9</t>
        </is>
      </c>
      <c r="F74" s="52" t="n"/>
      <c r="G74" s="52" t="n"/>
      <c r="H74" s="52" t="inlineStr"/>
    </row>
    <row r="75" s="41">
      <c r="A75" s="52" t="n">
        <v>62</v>
      </c>
      <c r="B75" s="52" t="inlineStr">
        <is>
          <t>AT.39612-DEC_5C6ACA13-ABDB-424E-BCCD-DAD64547B586_-ATT12448.md</t>
        </is>
      </c>
      <c r="C75" s="52" t="inlineStr">
        <is>
          <t>Regulatory Decision</t>
        </is>
      </c>
      <c r="D75" s="52" t="inlineStr">
        <is>
          <t>EU</t>
        </is>
      </c>
      <c r="E75" s="52" t="inlineStr">
        <is>
          <t>1a9afee4-0461-4462-b812-f357beb0d2ba</t>
        </is>
      </c>
      <c r="F75" s="52" t="n"/>
      <c r="G75" s="52" t="n"/>
      <c r="H75" s="52" t="inlineStr"/>
    </row>
    <row r="76" s="41">
      <c r="A76" s="52" t="n">
        <v>63</v>
      </c>
      <c r="B76" s="52" t="inlineStr">
        <is>
          <t>62020TO0451(01).md</t>
        </is>
      </c>
      <c r="C76" s="52" t="inlineStr">
        <is>
          <t>Court Decision</t>
        </is>
      </c>
      <c r="D76" s="52" t="inlineStr">
        <is>
          <t>EU</t>
        </is>
      </c>
      <c r="E76" s="52" t="inlineStr">
        <is>
          <t>b261ed51-2a85-4d85-a20a-92143a7cd6a5</t>
        </is>
      </c>
      <c r="F76" s="52" t="n"/>
      <c r="G76" s="52" t="n"/>
      <c r="H76" s="52" t="inlineStr"/>
    </row>
    <row r="77" s="41">
      <c r="A77" s="52" t="n">
        <v>64</v>
      </c>
      <c r="B77" s="52" t="inlineStr">
        <is>
          <t>32019R2175.md</t>
        </is>
      </c>
      <c r="C77" s="52" t="inlineStr">
        <is>
          <t>Legislation</t>
        </is>
      </c>
      <c r="D77" s="52" t="inlineStr">
        <is>
          <t>EU</t>
        </is>
      </c>
      <c r="E77" s="52" t="inlineStr">
        <is>
          <t>c31e89e5-5dcc-4313-b8ac-62706d7adbc8</t>
        </is>
      </c>
      <c r="F77" s="52" t="n"/>
      <c r="G77" s="52" t="n"/>
      <c r="H77" s="52" t="inlineStr"/>
    </row>
    <row r="78" s="41">
      <c r="A78" s="52" t="n">
        <v>65</v>
      </c>
      <c r="B78" s="52" t="inlineStr">
        <is>
          <t>62011TJ0289.md</t>
        </is>
      </c>
      <c r="C78" s="52" t="inlineStr">
        <is>
          <t>Court Decision</t>
        </is>
      </c>
      <c r="D78" s="52" t="inlineStr">
        <is>
          <t>EU</t>
        </is>
      </c>
      <c r="E78" s="52" t="inlineStr">
        <is>
          <t>7ecb1eda-828c-4ed1-831c-9ba3cd309425</t>
        </is>
      </c>
      <c r="F78" s="52" t="n"/>
      <c r="G78" s="52" t="n"/>
      <c r="H78" s="52" t="inlineStr"/>
    </row>
    <row r="79" s="41">
      <c r="A79" s="52" t="n">
        <v>66</v>
      </c>
      <c r="B79" s="52" t="inlineStr">
        <is>
          <t>62017TJ0255.md</t>
        </is>
      </c>
      <c r="C79" s="52" t="inlineStr">
        <is>
          <t>Court Decision</t>
        </is>
      </c>
      <c r="D79" s="52" t="inlineStr">
        <is>
          <t>EU</t>
        </is>
      </c>
      <c r="E79" s="52" t="inlineStr">
        <is>
          <t>23c88310-f2d4-4b6b-8829-eaeec8aab044</t>
        </is>
      </c>
      <c r="F79" s="52" t="n"/>
      <c r="G79" s="52" t="n"/>
      <c r="H79" s="52" t="inlineStr"/>
    </row>
    <row r="80" s="41">
      <c r="A80" s="52" t="n">
        <v>67</v>
      </c>
      <c r="B80" s="52" t="inlineStr">
        <is>
          <t>ca-19-9589-6253cdd2bd3db21cbdd949c4.md</t>
        </is>
      </c>
      <c r="C80" s="52" t="inlineStr">
        <is>
          <t>Court Decision</t>
        </is>
      </c>
      <c r="D80" s="52" t="inlineStr">
        <is>
          <t>France</t>
        </is>
      </c>
      <c r="E80" s="52" t="inlineStr">
        <is>
          <t>2d3b47f6-ca93-43a9-a14a-151e329548f1</t>
        </is>
      </c>
      <c r="F80" s="52" t="n"/>
      <c r="G80" s="52" t="n"/>
      <c r="H80" s="52" t="inlineStr"/>
    </row>
    <row r="81" s="41">
      <c r="A81" s="52" t="n">
        <v>68</v>
      </c>
      <c r="B81" s="52" t="inlineStr">
        <is>
          <t>32022R2065.md</t>
        </is>
      </c>
      <c r="C81" s="52" t="inlineStr">
        <is>
          <t>Legislation</t>
        </is>
      </c>
      <c r="D81" s="52" t="inlineStr">
        <is>
          <t>EU</t>
        </is>
      </c>
      <c r="E81" s="52" t="inlineStr">
        <is>
          <t>bc43d714-c2f6-4d10-8f9b-c76bb8feacc9</t>
        </is>
      </c>
      <c r="F81" s="52" t="n"/>
      <c r="G81" s="52" t="n"/>
      <c r="H81" s="52" t="inlineStr"/>
    </row>
    <row r="82" s="41">
      <c r="A82" s="52" t="n">
        <v>69</v>
      </c>
      <c r="B82" s="52" t="inlineStr">
        <is>
          <t>62014CC0247.md</t>
        </is>
      </c>
      <c r="C82" s="52" t="inlineStr">
        <is>
          <t>Article (Review)</t>
        </is>
      </c>
      <c r="D82" s="52" t="inlineStr">
        <is>
          <t>EU</t>
        </is>
      </c>
      <c r="E82" s="52" t="inlineStr">
        <is>
          <t>9fefd6d8-a7ab-424b-a847-9a604ddaaf0f</t>
        </is>
      </c>
      <c r="F82" s="52" t="n"/>
      <c r="G82" s="52" t="n"/>
      <c r="H82" s="52" t="inlineStr"/>
    </row>
    <row r="83" s="41">
      <c r="A83" s="52" t="n">
        <v>70</v>
      </c>
      <c r="B83" s="52" t="inlineStr">
        <is>
          <t>50285.md</t>
        </is>
      </c>
      <c r="C83" s="52" t="inlineStr">
        <is>
          <t>Bulletin article</t>
        </is>
      </c>
      <c r="D83" s="52" t="n"/>
      <c r="E83" s="52" t="inlineStr">
        <is>
          <t>f17418b6-489e-4049-92f0-b9ce2b58968f</t>
        </is>
      </c>
      <c r="F83" s="52" t="n"/>
      <c r="G83" s="52" t="n"/>
      <c r="H83" s="52" t="inlineStr"/>
    </row>
    <row r="84" s="41">
      <c r="A84" s="52" t="n">
        <v>71</v>
      </c>
      <c r="B84" s="52" t="inlineStr">
        <is>
          <t>AT.39226-DEC_0F3A3B18-111D-43A8-836E-D0A7EA9CD4E1_-ATT8310.md</t>
        </is>
      </c>
      <c r="C84" s="52" t="inlineStr">
        <is>
          <t>Regulatory Decision</t>
        </is>
      </c>
      <c r="D84" s="52" t="inlineStr">
        <is>
          <t>EU</t>
        </is>
      </c>
      <c r="E84" s="52" t="inlineStr">
        <is>
          <t>530c713d-168b-4e73-828b-429d06bf028f</t>
        </is>
      </c>
      <c r="F84" s="52" t="n"/>
      <c r="G84" s="52" t="n"/>
      <c r="H84" s="52" t="inlineStr"/>
    </row>
    <row r="85" s="41">
      <c r="A85" s="52" t="n">
        <v>72</v>
      </c>
      <c r="B85" s="52" t="inlineStr">
        <is>
          <t>AT.39686-DEC_521D2B6D-9DBD-4072-ADCF-8A8F61DE7124_-ATT4072.md</t>
        </is>
      </c>
      <c r="C85" s="52" t="n"/>
      <c r="D85" s="52" t="inlineStr">
        <is>
          <t>EU</t>
        </is>
      </c>
      <c r="E85" s="52" t="inlineStr">
        <is>
          <t>c9e9d07f-8e70-4043-a6b0-4878b37605bf</t>
        </is>
      </c>
      <c r="F85" s="52" t="n"/>
      <c r="G85" s="52" t="n"/>
      <c r="H85" s="52" t="inlineStr"/>
    </row>
    <row r="86" s="41">
      <c r="A86" s="52" t="n">
        <v>73</v>
      </c>
      <c r="B86" s="52" t="inlineStr">
        <is>
          <t>82445.md</t>
        </is>
      </c>
      <c r="C86" s="52" t="inlineStr">
        <is>
          <t>Article (Review)</t>
        </is>
      </c>
      <c r="D86" s="52" t="n"/>
      <c r="E86" s="52" t="inlineStr">
        <is>
          <t>1be45df1-87e1-4ba2-bdd9-76e5fe184f97</t>
        </is>
      </c>
      <c r="F86" s="52" t="n"/>
      <c r="G86" s="52" t="n"/>
      <c r="H86" s="52" t="inlineStr"/>
    </row>
    <row r="87" s="41">
      <c r="A87" s="52" t="n">
        <v>74</v>
      </c>
      <c r="B87" s="52" t="inlineStr">
        <is>
          <t>62014TJ0701.md</t>
        </is>
      </c>
      <c r="C87" s="52" t="inlineStr">
        <is>
          <t>Court Decision</t>
        </is>
      </c>
      <c r="D87" s="52" t="inlineStr">
        <is>
          <t>EU</t>
        </is>
      </c>
      <c r="E87" s="52" t="inlineStr">
        <is>
          <t>82bcdb25-439b-4260-9d81-4848737b9274</t>
        </is>
      </c>
      <c r="F87" s="52" t="n"/>
      <c r="G87" s="52" t="n"/>
      <c r="H87" s="52" t="inlineStr"/>
    </row>
    <row r="88" s="41">
      <c r="A88" s="52" t="n">
        <v>75</v>
      </c>
      <c r="B88" s="52" t="inlineStr">
        <is>
          <t>AT.39633-DEC_62D4718F-BD2F-45AF-AFDC-5E507C178E5D_-ATT2636.md</t>
        </is>
      </c>
      <c r="C88" s="52" t="inlineStr">
        <is>
          <t>Regulatory Decision</t>
        </is>
      </c>
      <c r="D88" s="52" t="inlineStr">
        <is>
          <t>EU</t>
        </is>
      </c>
      <c r="E88" s="52" t="inlineStr">
        <is>
          <t>1b324af0-06b4-4824-b7a9-b8fda722b228</t>
        </is>
      </c>
      <c r="F88" s="52" t="n"/>
      <c r="G88" s="52" t="n"/>
      <c r="H88" s="52" t="inlineStr"/>
    </row>
    <row r="89" s="41">
      <c r="A89" s="52" t="n">
        <v>76</v>
      </c>
      <c r="B89" s="52" t="inlineStr">
        <is>
          <t>62020TO0452(01).md</t>
        </is>
      </c>
      <c r="C89" s="52" t="inlineStr">
        <is>
          <t>Court Decision</t>
        </is>
      </c>
      <c r="D89" s="52" t="inlineStr">
        <is>
          <t>EU</t>
        </is>
      </c>
      <c r="E89" s="52" t="inlineStr">
        <is>
          <t>2768689e-df78-453e-8a77-732820fda1c8</t>
        </is>
      </c>
      <c r="F89" s="52" t="n"/>
      <c r="G89" s="52" t="n"/>
      <c r="H89" s="52" t="inlineStr"/>
    </row>
    <row r="90" s="41">
      <c r="A90" s="52" t="n">
        <v>77</v>
      </c>
      <c r="B90" s="52" t="inlineStr">
        <is>
          <t>62011TJ0296.md</t>
        </is>
      </c>
      <c r="C90" s="52" t="inlineStr">
        <is>
          <t>Court Decision</t>
        </is>
      </c>
      <c r="D90" s="52" t="inlineStr">
        <is>
          <t>EU</t>
        </is>
      </c>
      <c r="E90" s="52" t="inlineStr">
        <is>
          <t>9bd983cd-32e8-43eb-bad0-dc190b31c9d2</t>
        </is>
      </c>
      <c r="F90" s="52" t="n"/>
      <c r="G90" s="52" t="n"/>
      <c r="H90" s="52" t="inlineStr"/>
    </row>
    <row r="91" s="41">
      <c r="A91" s="52" t="n">
        <v>78</v>
      </c>
      <c r="B91" s="52" t="inlineStr">
        <is>
          <t>62013CC0037.md</t>
        </is>
      </c>
      <c r="C91" s="52" t="inlineStr">
        <is>
          <t>Bulletin article</t>
        </is>
      </c>
      <c r="D91" s="52" t="inlineStr">
        <is>
          <t>EU</t>
        </is>
      </c>
      <c r="E91" s="52" t="inlineStr">
        <is>
          <t>632273f6-990f-4cc6-85ff-77f86f45c537</t>
        </is>
      </c>
      <c r="F91" s="52" t="n"/>
      <c r="G91" s="52" t="n"/>
      <c r="H91" s="52" t="inlineStr"/>
    </row>
    <row r="92" s="41">
      <c r="A92" s="52" t="n">
        <v>79</v>
      </c>
      <c r="B92" s="52" t="inlineStr">
        <is>
          <t>22157.md</t>
        </is>
      </c>
      <c r="C92" s="52" t="inlineStr">
        <is>
          <t>Bulletin article</t>
        </is>
      </c>
      <c r="D92" s="52" t="n"/>
      <c r="E92" s="52" t="inlineStr">
        <is>
          <t>e7eb6518-b108-4b38-8eb8-fcfd3533d624</t>
        </is>
      </c>
      <c r="F92" s="52" t="n"/>
      <c r="G92" s="52" t="n"/>
      <c r="H92" s="52" t="inlineStr"/>
    </row>
    <row r="93" s="41">
      <c r="A93" s="52" t="n">
        <v>80</v>
      </c>
      <c r="B93" s="52" t="inlineStr">
        <is>
          <t>inspections-eu-law-2nd--4_chapter_2_-_inspections_upon_authorisation_regulation_1_2003_article_20_3.md</t>
        </is>
      </c>
      <c r="C93" s="52" t="inlineStr">
        <is>
          <t>Book (Livre)</t>
        </is>
      </c>
      <c r="D93" s="52" t="n"/>
      <c r="E93" s="52" t="inlineStr">
        <is>
          <t>303ee9d6-4f67-4e00-a80a-195318e324af</t>
        </is>
      </c>
      <c r="F93" s="52" t="n"/>
      <c r="G93" s="52" t="n"/>
      <c r="H93" s="52" t="inlineStr"/>
    </row>
    <row r="94" s="41">
      <c r="A94" s="52" t="n">
        <v>81</v>
      </c>
      <c r="B94" s="52" t="inlineStr">
        <is>
          <t>AT.39092-DEC_AF683DFA-81B0-4590-AC30-AF899F345B55_-ATT7226.md</t>
        </is>
      </c>
      <c r="C94" s="52" t="inlineStr">
        <is>
          <t>Regulatory Decision</t>
        </is>
      </c>
      <c r="D94" s="52" t="inlineStr">
        <is>
          <t>EU</t>
        </is>
      </c>
      <c r="E94" s="52" t="inlineStr">
        <is>
          <t>bebbf97a-c491-4421-9668-8ace73d43bd0</t>
        </is>
      </c>
      <c r="F94" s="52" t="n"/>
      <c r="G94" s="52" t="n"/>
      <c r="H94" s="52" t="inlineStr"/>
    </row>
    <row r="95" s="41">
      <c r="A95" s="52" t="n">
        <v>82</v>
      </c>
      <c r="B95" s="52" t="inlineStr">
        <is>
          <t>57935-361-decisions-adopted-during-an-inspection-the-general-court-reminds-the-commiss.md</t>
        </is>
      </c>
      <c r="C95" s="52" t="inlineStr">
        <is>
          <t>Bulletin article</t>
        </is>
      </c>
      <c r="D95" s="52" t="n"/>
      <c r="E95" s="52" t="inlineStr">
        <is>
          <t>882aa354-e6cf-464a-b1e2-9486b1cca48f</t>
        </is>
      </c>
      <c r="F95" s="52" t="n"/>
      <c r="G95" s="52" t="n"/>
      <c r="H95" s="52" t="inlineStr"/>
    </row>
    <row r="96" s="41">
      <c r="A96" s="52" t="n">
        <v>83</v>
      </c>
      <c r="B96" s="52" t="inlineStr">
        <is>
          <t>62014TJ0475.md</t>
        </is>
      </c>
      <c r="C96" s="52" t="inlineStr">
        <is>
          <t>Court Decision</t>
        </is>
      </c>
      <c r="D96" s="52" t="inlineStr">
        <is>
          <t>EU</t>
        </is>
      </c>
      <c r="E96" s="52" t="inlineStr">
        <is>
          <t>cba40d0a-c143-4bc9-af97-af13ef20db3a</t>
        </is>
      </c>
      <c r="F96" s="52" t="n"/>
      <c r="G96" s="52" t="n"/>
      <c r="H96" s="52" t="inlineStr"/>
    </row>
    <row r="97" s="41">
      <c r="A97" s="52" t="n">
        <v>84</v>
      </c>
      <c r="B97" s="52" t="inlineStr">
        <is>
          <t>86251-3110-exchanges-of-in-house-lawyers-the-first-president-of-the-paris-court-of-app.md</t>
        </is>
      </c>
      <c r="C97" s="52" t="inlineStr">
        <is>
          <t>Bulletin article</t>
        </is>
      </c>
      <c r="D97" s="52" t="n"/>
      <c r="E97" s="52" t="inlineStr">
        <is>
          <t>6ab55554-c702-44a9-8efc-1690b4bc016e</t>
        </is>
      </c>
      <c r="F97" s="52" t="n"/>
      <c r="G97" s="52" t="n"/>
      <c r="H97" s="52" t="inlineStr"/>
    </row>
    <row r="98" s="41">
      <c r="A98" s="52" t="n">
        <v>85</v>
      </c>
      <c r="B98" s="52" t="inlineStr">
        <is>
          <t>62014TJ0705.md</t>
        </is>
      </c>
      <c r="C98" s="52" t="inlineStr">
        <is>
          <t>Court Decision</t>
        </is>
      </c>
      <c r="D98" s="52" t="inlineStr">
        <is>
          <t>EU</t>
        </is>
      </c>
      <c r="E98" s="52" t="inlineStr">
        <is>
          <t>a795bd44-0811-455c-9d8e-6e9c125b497b</t>
        </is>
      </c>
      <c r="F98" s="52" t="n"/>
      <c r="G98" s="52" t="n"/>
      <c r="H98" s="52" t="inlineStr"/>
    </row>
    <row r="99" s="41">
      <c r="A99" s="52" t="n">
        <v>86</v>
      </c>
      <c r="B99" s="52" t="inlineStr">
        <is>
          <t>45408-the-eu-court-of-justice-holds-that-in-house-lawyers-are-not-protected-by-legal-p.md</t>
        </is>
      </c>
      <c r="C99" s="52" t="inlineStr">
        <is>
          <t>Bulletin article</t>
        </is>
      </c>
      <c r="D99" s="52" t="n"/>
      <c r="E99" s="52" t="inlineStr">
        <is>
          <t>7af38e62-27f7-4570-be20-5b4f80937e5e</t>
        </is>
      </c>
      <c r="F99" s="52" t="n"/>
      <c r="G99" s="52" t="n"/>
      <c r="H99" s="52" t="inlineStr"/>
    </row>
    <row r="100" s="41">
      <c r="A100" s="52" t="n">
        <v>87</v>
      </c>
      <c r="B100" s="52" t="inlineStr">
        <is>
          <t>62011TJ0297.md</t>
        </is>
      </c>
      <c r="C100" s="52" t="inlineStr">
        <is>
          <t>Court Decision</t>
        </is>
      </c>
      <c r="D100" s="52" t="inlineStr">
        <is>
          <t>EU</t>
        </is>
      </c>
      <c r="E100" s="52" t="inlineStr">
        <is>
          <t>b5e94e7b-4cfc-4447-a323-0eaa92692c11</t>
        </is>
      </c>
      <c r="F100" s="52" t="n"/>
      <c r="G100" s="52" t="n"/>
      <c r="H100" s="52" t="inlineStr"/>
    </row>
    <row r="101" s="41">
      <c r="A101" s="52" t="n">
        <v>88</v>
      </c>
      <c r="B101" s="52" t="inlineStr">
        <is>
          <t>competition-inspections-25-jurisdictions--18_portugal.md</t>
        </is>
      </c>
      <c r="C101" s="52" t="inlineStr">
        <is>
          <t>Article (Review)</t>
        </is>
      </c>
      <c r="D101" s="52" t="n"/>
      <c r="E101" s="52" t="inlineStr">
        <is>
          <t>eeda4a0f-9bfa-4b70-9c3b-ccafc5fca8c3</t>
        </is>
      </c>
      <c r="F101" s="52" t="n"/>
      <c r="G101" s="52" t="n"/>
      <c r="H101" s="52" t="inlineStr"/>
    </row>
    <row r="102" s="41">
      <c r="A102" s="52" t="n">
        <v>89</v>
      </c>
      <c r="B102" s="52" t="inlineStr">
        <is>
          <t>62014TJ0449.md</t>
        </is>
      </c>
      <c r="C102" s="52" t="inlineStr">
        <is>
          <t>Court Decision</t>
        </is>
      </c>
      <c r="D102" s="52" t="inlineStr">
        <is>
          <t>EU</t>
        </is>
      </c>
      <c r="E102" s="52" t="inlineStr">
        <is>
          <t>2f594756-bc0a-4332-829f-e65319b3211c</t>
        </is>
      </c>
      <c r="F102" s="52" t="n"/>
      <c r="G102" s="52" t="n"/>
      <c r="H102" s="52" t="inlineStr"/>
    </row>
    <row r="103" s="41">
      <c r="A103" s="52" t="n">
        <v>90</v>
      </c>
      <c r="B103" s="52" t="inlineStr">
        <is>
          <t>eu-antitrust-enforcement--2_i_regulation_1_2003_an_assessment_after_twenty_years.md</t>
        </is>
      </c>
      <c r="C103" s="52" t="inlineStr">
        <is>
          <t>Article (Review)</t>
        </is>
      </c>
      <c r="D103" s="52" t="n"/>
      <c r="E103" s="52" t="inlineStr">
        <is>
          <t>55871bec-fbf6-4f9f-9931-66f8481120f2</t>
        </is>
      </c>
      <c r="F103" s="52" t="n"/>
      <c r="G103" s="52" t="n"/>
      <c r="H103" s="52" t="inlineStr"/>
    </row>
    <row r="104" s="41">
      <c r="A104" s="52" t="n">
        <v>91</v>
      </c>
      <c r="B104" s="52" t="inlineStr">
        <is>
          <t>62017TJ0240.md</t>
        </is>
      </c>
      <c r="C104" s="52" t="inlineStr">
        <is>
          <t>Court Decision</t>
        </is>
      </c>
      <c r="D104" s="52" t="inlineStr">
        <is>
          <t>EU</t>
        </is>
      </c>
      <c r="E104" s="52" t="inlineStr">
        <is>
          <t>13277655-c149-434f-8ecc-63d7d1017b10</t>
        </is>
      </c>
      <c r="F104" s="52" t="n"/>
      <c r="G104" s="52" t="n"/>
      <c r="H104" s="52" t="inlineStr"/>
    </row>
    <row r="105" s="41">
      <c r="A105" s="52" t="n">
        <v>92</v>
      </c>
      <c r="B105" s="52" t="inlineStr">
        <is>
          <t>79009.md</t>
        </is>
      </c>
      <c r="C105" s="52" t="inlineStr">
        <is>
          <t>Article (Review)</t>
        </is>
      </c>
      <c r="D105" s="52" t="n"/>
      <c r="E105" s="52" t="inlineStr">
        <is>
          <t>0dabb2e6-d64a-4a9d-85e6-8b6bb3fb27b1</t>
        </is>
      </c>
      <c r="F105" s="52" t="n"/>
      <c r="G105" s="52" t="n"/>
      <c r="H105" s="52" t="inlineStr"/>
    </row>
    <row r="106" s="41">
      <c r="A106" s="52" t="n">
        <v>93</v>
      </c>
      <c r="B106" s="52" t="inlineStr">
        <is>
          <t>62011TJ0306.md</t>
        </is>
      </c>
      <c r="C106" s="52" t="inlineStr">
        <is>
          <t>Court Decision</t>
        </is>
      </c>
      <c r="D106" s="52" t="inlineStr">
        <is>
          <t>EU</t>
        </is>
      </c>
      <c r="E106" s="52" t="inlineStr">
        <is>
          <t>f58d855b-9067-4c2d-8ce5-3b3937a8adc5</t>
        </is>
      </c>
      <c r="F106" s="52" t="n"/>
      <c r="G106" s="52" t="n"/>
      <c r="H106" s="52" t="inlineStr"/>
    </row>
    <row r="107" s="41">
      <c r="A107" s="52" t="n">
        <v>94</v>
      </c>
      <c r="B107" s="52" t="inlineStr">
        <is>
          <t>competition-inspections-25-jurisdictions--6_czech_republic.md</t>
        </is>
      </c>
      <c r="C107" s="52" t="inlineStr">
        <is>
          <t>Article (Review)</t>
        </is>
      </c>
      <c r="D107" s="52" t="n"/>
      <c r="E107" s="52" t="inlineStr">
        <is>
          <t>08f914a6-de6d-4956-ab36-2b0f38bbe6b1</t>
        </is>
      </c>
      <c r="F107" s="52" t="n"/>
      <c r="G107" s="52" t="n"/>
      <c r="H107" s="52" t="inlineStr"/>
    </row>
    <row r="108" s="41">
      <c r="A108" s="52" t="n">
        <v>95</v>
      </c>
      <c r="B108" s="52" t="inlineStr">
        <is>
          <t>48618.md</t>
        </is>
      </c>
      <c r="C108" s="52" t="inlineStr">
        <is>
          <t>Bulletin article</t>
        </is>
      </c>
      <c r="D108" s="52" t="n"/>
      <c r="E108" s="52" t="inlineStr">
        <is>
          <t>1e63a0c6-52dd-425e-9216-84f95ce95671</t>
        </is>
      </c>
      <c r="F108" s="52" t="n"/>
      <c r="G108" s="52" t="n"/>
      <c r="H108" s="52" t="inlineStr"/>
    </row>
    <row r="109" s="41">
      <c r="A109" s="52" t="n">
        <v>96</v>
      </c>
      <c r="B109" s="52" t="inlineStr">
        <is>
          <t>97110-2850-inspection-the-general-court-of-the-european-union-partially-annuls-decisio.md</t>
        </is>
      </c>
      <c r="C109" s="52" t="inlineStr">
        <is>
          <t>Bulletin article</t>
        </is>
      </c>
      <c r="D109" s="52" t="n"/>
      <c r="E109" s="52" t="inlineStr">
        <is>
          <t>0ff86075-a215-4bce-ac53-21a9aa21cd71</t>
        </is>
      </c>
      <c r="F109" s="52" t="n"/>
      <c r="G109" s="52" t="n"/>
      <c r="H109" s="52" t="inlineStr"/>
    </row>
    <row r="110" s="41">
      <c r="A110" s="52" t="n">
        <v>97</v>
      </c>
      <c r="B110" s="52" t="inlineStr">
        <is>
          <t>ca-24-16536-67a453532f6d0c710a364caa.md</t>
        </is>
      </c>
      <c r="C110" s="52" t="inlineStr">
        <is>
          <t>Court Decision</t>
        </is>
      </c>
      <c r="D110" s="52" t="inlineStr">
        <is>
          <t>France</t>
        </is>
      </c>
      <c r="E110" s="52" t="inlineStr">
        <is>
          <t>f65c1657-b1d2-41c0-a6d9-5c3fc22b9164</t>
        </is>
      </c>
      <c r="F110" s="52" t="n"/>
      <c r="G110" s="52" t="n"/>
      <c r="H110" s="52" t="inlineStr"/>
    </row>
    <row r="111" s="41">
      <c r="A111" s="52" t="n">
        <v>98</v>
      </c>
      <c r="B111" s="52" t="inlineStr">
        <is>
          <t>competition-inspections-25-jurisdictions--2_austria.md</t>
        </is>
      </c>
      <c r="C111" s="52" t="inlineStr">
        <is>
          <t>Article (Review)</t>
        </is>
      </c>
      <c r="D111" s="52" t="n"/>
      <c r="E111" s="52" t="inlineStr">
        <is>
          <t>ec7e95f2-ae1b-4c2b-9635-0ae49e53ba19</t>
        </is>
      </c>
      <c r="F111" s="52" t="n"/>
      <c r="G111" s="52" t="n"/>
      <c r="H111" s="52" t="inlineStr"/>
    </row>
    <row r="112" s="41">
      <c r="A112" s="52" t="n">
        <v>99</v>
      </c>
      <c r="B112" s="52" t="inlineStr">
        <is>
          <t>62018CJ0601.md</t>
        </is>
      </c>
      <c r="C112" s="52" t="inlineStr">
        <is>
          <t>Court Decision</t>
        </is>
      </c>
      <c r="D112" s="52" t="inlineStr">
        <is>
          <t>EU</t>
        </is>
      </c>
      <c r="E112" s="52" t="inlineStr">
        <is>
          <t>d94571df-d56d-45c1-a02e-834714984963</t>
        </is>
      </c>
      <c r="F112" s="52" t="n"/>
      <c r="G112" s="52" t="n"/>
      <c r="H112" s="52" t="inlineStr"/>
    </row>
    <row r="113" s="41">
      <c r="A113" s="52" t="n">
        <v>100</v>
      </c>
      <c r="B113" s="52" t="inlineStr">
        <is>
          <t>62012TJ0265.md</t>
        </is>
      </c>
      <c r="C113" s="52" t="inlineStr">
        <is>
          <t>Court Decision</t>
        </is>
      </c>
      <c r="D113" s="52" t="inlineStr">
        <is>
          <t>EU</t>
        </is>
      </c>
      <c r="E113" s="52" t="inlineStr">
        <is>
          <t>33335c9f-e90e-4fcf-a3c6-8a6aeb026676</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Because the AM &amp; S procedure permits the Commission to take a cursory look at a document's general layout, heading or title, and does not stop the Commission from reading a document merely because the undertaking asserts privilege without supplying relevant material demonstrating the claim, an undertaking that fails to substantiate its privilege claim risks having the document read by the Commission at the inspection stage itself - well before any decision on the merits is adopted, showing that the risk of breach materialises at the reading/examination step rather than at the later stage of use.</t>
        </is>
      </c>
      <c r="C117" s="23" t="inlineStr">
        <is>
          <t>[14] 61979CJ0155.md
[2] eu-antitrust-enforcement--14_xiii_legal_professional_privilege_in_eu_antitrust_enforcement_law_policy_and_procedure.md</t>
        </is>
      </c>
      <c r="D117" s="23" t="n"/>
      <c r="E117" s="23" t="inlineStr">
        <is>
          <t>[61979CJ0155.md l.2590-2599] 29 If an undertaking which is the subject of an investigation under Article 14 of 
Regulation No 17 refuses, on the ground that it is entitled to protection of 
the confidentiality of information, to produce, among the business records 
demanded by the Commission, written communications between itself and its 
lawyer, it must nevertheless provide the Commission's authorized agents with 
relevant material of such a nature as to demonstrate that the communications 
fulfil the conditions for being granted legal protection as defined above, 
although it is not bound to reveal the contents of the communications in 
question. 
3C Where the Commission is not satisfied that such evidence has been supplied, 
[eu-antitrust-enforcement--14_xiii_legal_professional_privilege_in_eu_antitrust_enforcement_law_policy_and_procedure.md l.662-668] The mere fact that a company claims that a document is protected by legal professional privilege is not sufficient to prevent the European Commission from reading that
­document if the company produces no relevant material of such a kind as to prove that
it is actually protected by legal professional privilege.1110
In a significant number of cases, a mere cursory look by the Commission officials at the
general layout, heading, title or other superficial features of the document will enable
them, when deciding whether to put it aside, to confirm the accuracy of the reasons
invoked by the company and to determine whether the document at issue is confidential.</t>
        </is>
      </c>
      <c r="F117" s="23" t="n"/>
      <c r="G117" s="40" t="n"/>
      <c r="H117" s="40" t="n"/>
    </row>
    <row r="118" ht="15.75" customHeight="1" s="41">
      <c r="A118" s="23" t="n">
        <v>6</v>
      </c>
      <c r="B118" s="23" t="inlineStr">
        <is>
          <t>In the foundational AM &amp; S Europe v Commission judgment, the Court of Justice held that where the Commission is not satisfied that an undertaking has supplied evidence of privilege, it must adopt a decision ordering production and, if necessary, impose fines for refusal, with the undertaking able to bring an action for annulment and seek suspension of that decision before the document is examined, establishing the two-stage sequence (rejection decision, then judicial recourse) that must be exhausted before the Commission may lawfully open and read the material.</t>
        </is>
      </c>
      <c r="C118" s="23" t="inlineStr">
        <is>
          <t>[14] 61979CJ0155.md</t>
        </is>
      </c>
      <c r="D118" s="23" t="n"/>
      <c r="E118" s="23" t="inlineStr">
        <is>
          <t>[61979CJ0155.md l.2599-2614] 3C Where the Commission is not satisfied that such evidence has been supplied, 
the appraisal of those conditions is not a matter which may be left to an 
arbitrator or to a national authority. Since this is a matter involving an 
appraisal and a decision which affect the conditions under which the 
Commission may act in a field as vital to the functioning of the common 
market as that of compliance with the rules on competition, the solution of 
disputes as to the application of the protection of the confidentiality of 
written communications between lawyer and client may be sought only at 
Community level. 
.M In that case it is for the Commission to order, pursuant to Article 14 (3) of 
Regulation No 17, production of the communications in question and, if 
necessary, to impose on the u</t>
        </is>
      </c>
      <c r="F118" s="23" t="n"/>
      <c r="G118" s="40" t="n"/>
      <c r="H118" s="40" t="n"/>
    </row>
    <row r="119" ht="15.75" customHeight="1" s="41">
      <c r="A119" s="23" t="n">
        <v>8</v>
      </c>
      <c r="B119" s="23" t="inlineStr">
        <is>
          <t>Advocate General Pitruzzella, opining on the current parties' challenge to Commission inspection decisions, confirmed that the Akzo line of case law affords undertakings a right of action against a Commission decision explicitly or implicitly rejecting a privilege claim, and that this right of action exists precisely because the seizure and reading of the documents is what immediately and distinctly changes the undertaking's legal position, independent of whatever later use the Commission might make of the material.</t>
        </is>
      </c>
      <c r="C119" s="23" t="inlineStr">
        <is>
          <t>[13] 62020CC0682.md</t>
        </is>
      </c>
      <c r="D119" s="23" t="n"/>
      <c r="E119" s="23" t="inlineStr">
        <is>
          <t xml:space="preserve">[62020CC0682.md l.159-161] ( 43 ) 67. In the present case, it must be observed that the case-law established in the judgment in Akzo , which recognises the admissibility of an action against a Commission decision explicitly or implicitly rejecting a request for the protection of documents on grounds of legal professional privilege protecting communications between lawyers and their clients submitted in the course of an inspection, constitutes merely the application to a specific case of settled case-law, recalled in paragraphs 33 to 35 of the judgment under appeal, under which measures which produce binding legal effects such as to affect the interests of an applicant by bringing about a distinct change in his legal position may be the subject of an action for annulment under Article 263 TFEU.
( 44 ) 68. Any act by </t>
        </is>
      </c>
      <c r="F119" s="23" t="n"/>
      <c r="G119" s="40" t="n"/>
      <c r="H119" s="40" t="n"/>
    </row>
    <row r="120" ht="15.75" customHeight="1" s="41">
      <c r="A120" s="23" t="n">
        <v>9</v>
      </c>
      <c r="B120" s="23" t="inlineStr">
        <is>
          <t>The sealed-envelope mechanism used in AM &amp; S itself illustrates that the trigger for a privilege breach is the act of opening and examining a document, not any subsequent use: the disputed documents were lodged with the Court under confidential seal and the envelope was opened only by the Judge-Rapporteur and the Advocate General in the presence of the Registrar, precisely so that resolution of the privilege dispute would not require the Commission (or even the Court, prematurely) to read the contested material.</t>
        </is>
      </c>
      <c r="C120" s="23" t="inlineStr">
        <is>
          <t>[14] 61979CJ0155.md</t>
        </is>
      </c>
      <c r="D120" s="23" t="n"/>
      <c r="E120" s="23" t="inlineStr">
        <is>
          <t xml:space="preserve">[61979CJ0155.md l.2183-2199] 4. On 9 March 1981 the applicant 
lodged at the Court a sealed envelope 
containing a number of documents, in 
accordance with paragraph 2 of the 
above-mentioned order. The envelope 
was opened on 2 April 1981 by the 
Judge-Rapporteur and the Advocate 
General in the presence of the Assistant 
Registrar. Minutes of the proceedings 
were taken and the nature of the 
documents contained in the sealed 
envelope was recorded therein. 
5. The report on those documents, 
drawn up pursuant to paragraph 3 of the 
above-mentioned order, was forwarded 
by the Court in a sealed envelope to the 
1603 </t>
        </is>
      </c>
      <c r="F120" s="23" t="n"/>
      <c r="G120" s="40" t="n"/>
      <c r="H120" s="40" t="n"/>
    </row>
    <row r="121" ht="15.75" customHeight="1" s="41">
      <c r="A121" s="23" t="n">
        <v>10</v>
      </c>
      <c r="B121" s="23" t="inlineStr">
        <is>
          <t>Applying that logic to the current parties' facts, the General Court found that the Commission's on-the-spot reading of the disputed documents, before any formal rejection decision was adopted and before the undertaking could seek judicial review, itself constituted an infringement of the legal-professional-privilege procedure, regardless of whether those documents were later used to establish an infringement.</t>
        </is>
      </c>
      <c r="C121" s="23" t="inlineStr">
        <is>
          <t>[18] 62003TJ0125.md</t>
        </is>
      </c>
      <c r="D121" s="23" t="n"/>
      <c r="E121" s="23" t="inlineStr">
        <is>
          <t>[62003TJ0125.md l.8-8] 62003TJ0125_EN Parties Grounds Operative part Parties In Joined Cases T‑125/03 and T‑253/03, Akzo Nobel Chemicals Ltd, established in Hersham, Walton on Thames, Surrey (United Kingdom), Akcros Chemicals Ltd, established in Hersham, Walton on Thames, Surrey, represented by C. Swaak, M. Mollica and M. van der Woude, lawyers, applicants, supported by The Council of the Bars and Law Societies of the European Union (CCBE), established in Brussels (Belgium), represented by J. Flynn QC, by Algemene Raad van de Nederlandse Orde van Advocaten, established in The Hague (Netherlands), represented by O. Brouwer and C. Schillemans, lawyers, by European Company Lawyers Association (ECLA), established in Brussels, represented by M. Dolmans, K. Nordlander, lawyers, and J. Temple Lang, solicitor, by Americ</t>
        </is>
      </c>
      <c r="F121" s="23" t="n"/>
      <c r="G121" s="40" t="n"/>
      <c r="H121" s="40" t="n"/>
    </row>
    <row r="122" ht="15.75" customHeight="1" s="41">
      <c r="A122" s="23" t="n">
        <v>12</v>
      </c>
      <c r="B122" s="23" t="inlineStr">
        <is>
          <t>The same reading-based approach applies by analogy to Article 18 requests for information: a company claiming privilege over responsive material must provide justification and may submit redacted versions, and if the Commission is not convinced it must adopt a formal decision rejecting the claim - allowing recourse to the General Court and interim relief - before it may read the unredacted content, mirroring the inspection procedure.</t>
        </is>
      </c>
      <c r="C122" s="23" t="inlineStr">
        <is>
          <t>[2] eu-antitrust-enforcement--14_xiii_legal_professional_privilege_in_eu_antitrust_enforcement_law_policy_and_procedure.md</t>
        </is>
      </c>
      <c r="D122" s="23" t="n"/>
      <c r="E122" s="23" t="inlineStr">
        <is>
          <t xml:space="preserve">[eu-antitrust-enforcement--14_xiii_legal_professional_privilege_in_eu_antitrust_enforcement_law_policy_and_procedure.md l.778-791] If the company that is the addressee of the request for information claims professional
legal privilege with regard to a requested document or documents, it must provide the
European Commission with appropriate justification and relevant material to substantiate
its claim, while not being bound to disclose the contents of such documents. Redacted versions removing the parts covered by legal professional privilege should be submitted.1119
If the Commission is not convinced by the company’s arguments, it must adopt a decision
rejecting the legal professional privilege claim, thus allowing the company concerned
to refer the matter to the EU General Court, and to make an application for interim
measures seeking suspension of operation of the decision rejecting the legal professional
privilege </t>
        </is>
      </c>
      <c r="F122" s="23" t="n"/>
      <c r="G122" s="40" t="n"/>
      <c r="H122" s="40" t="n"/>
    </row>
    <row r="123" ht="15.75" customHeight="1" s="41">
      <c r="A123" s="23" t="n">
        <v>13</v>
      </c>
      <c r="B123" s="23" t="inlineStr">
        <is>
          <t>Commentary analyzing the General Court's Akzo Nobel/Akcros Chemicals judgment states plainly that mere access to a document protected by legal professional privilege is a breach of the right of defence by itself, even if the document is subsequently removed from the file or is not used by the Commission - confirming that the breach crystallizes at the moment the Commission accesses or reads the document, not only when it later uses that document.</t>
        </is>
      </c>
      <c r="C123" s="23" t="inlineStr">
        <is>
          <t>[49] 129921.md</t>
        </is>
      </c>
      <c r="D123" s="23" t="n"/>
      <c r="E123" s="23" t="inlineStr">
        <is>
          <t xml:space="preserve">[129921.md l.42-42] Mere access to an LPP-protected document is a breach of the right of defence by itself, even if the document is subsequently removed from the file or is not used by the EC (joined Cases T-125/03 and T-253/03, *Akzo v. Commission*, para. 86). This resulted in the adoption of the ‘sealed envelope’ procedure, which prevents EC officials from accessing documents that may fall under the scope of LPP protection.[[ Commission Notice on EC’s Best Practices for the conduct of proceedings concerning Articles 101 and 102 of the Treaty on the Functioning of the European Union (‘TFEU’) (paras. 51 to 58).]] </t>
        </is>
      </c>
      <c r="F123" s="23" t="n"/>
      <c r="G123" s="40" t="n"/>
      <c r="H123" s="40" t="n"/>
    </row>
    <row r="124" ht="15.75" customHeight="1" s="41">
      <c r="A124" s="23" t="n">
        <v>14</v>
      </c>
      <c r="B124" s="23" t="inlineStr">
        <is>
          <t>Because legal professional privilege exists to let a client consult a lawyer without fear that confidences will be exposed, and to preserve the lawyer's independent function in the exercise of the rights of defence, the protection is aimed at preventing disclosure itself - which is precisely why the case law treats the Commission's act of reading or accessing a privileged communication, not merely its later evidentiary use, as the moment the interest protected by the privilege is compromised.</t>
        </is>
      </c>
      <c r="C124" s="23" t="inlineStr">
        <is>
          <t>[12] 62007CJ0550.md
[2] eu-antitrust-enforcement--14_xiii_legal_professional_privilege_in_eu_antitrust_enforcement_law_policy_and_procedure.md</t>
        </is>
      </c>
      <c r="D124" s="23" t="n"/>
      <c r="E124" s="23" t="inlineStr">
        <is>
          <t>[62007CJ0550.md l.371-376] in its possession had been destroyed. Any breach of legal professional privilege in 
the course of investigations does not take place when the Commission relies on a 
privileged document in a decision on the merits, but when such a document is seized 
by one of its officials. In those circumstances, the appellants’ interest in bringing pro-
ceedings continues for at least as long as the Commission has the documents referred 
to in the rejection decision of 8 May 2003 or copies thereof.
[eu-antitrust-enforcement--14_xiii_legal_professional_privilege_in_eu_antitrust_enforcement_law_policy_and_procedure.md l.132-144] 48. Legal professional privilege serves to protect communications between a
client and a lawyer who is independent of that client. On the one hand, it
is the essential corollary to the client’s rights of defence and, on the other
hand, it is based on the specific role of the lawyer as “collaborating in
the interests of justice” and as being required to provide, in full independence, and in the overriding interests of justice, such legal assistance as
the client needs.
49. Lawyers would be unable to carry out satisfactorily their task of advising,
defending and representing their clients, who would in consequence be
deprived of the rights conferred on them by Article 6 of the ECHR and by
Articles 47 and 48 of the Charter of Fundamental Rights, if lawyers were
obliged, in the context of ju</t>
        </is>
      </c>
      <c r="F124" s="23" t="n"/>
      <c r="G124" s="40" t="n"/>
      <c r="H124" s="40" t="n"/>
    </row>
    <row r="125" ht="15.75" customHeight="1" s="41">
      <c r="A125" s="23" t="n">
        <v>15</v>
      </c>
      <c r="B125" s="23" t="inlineStr">
        <is>
          <t>The Court of Justice (Grand Chamber), the apex authority on this question, held directly in Akzo Nobel Chemicals and Akcros Chemicals v Commission that any breach of legal professional privilege in the course of a Commission investigation does not take place when the Commission relies on a privileged document in a decision on the merits, but when such a document is seized by one of its officials - confirming that the breach occurs at the point the inspector accesses/seizes the document, not only when the Commission later uses it.</t>
        </is>
      </c>
      <c r="C125" s="23" t="inlineStr">
        <is>
          <t>[12] 62007CJ0550.md</t>
        </is>
      </c>
      <c r="D125" s="23" t="n"/>
      <c r="E125" s="23" t="inlineStr">
        <is>
          <t>[62007CJ0550.md l.371-376] in its possession had been destroyed. Any breach of legal professional privilege in 
the course of investigations does not take place when the Commission relies on a 
privileged document in a decision on the merits, but when such a document is seized 
by one of its officials. In those circumstances, the appellants’ interest in bringing pro-
ceedings continues for at least as long as the Commission has the documents referred 
to in the rejection decision of 8 May 2003 or copies thereof.</t>
        </is>
      </c>
      <c r="F125" s="23" t="n"/>
      <c r="G125" s="40" t="n"/>
      <c r="H125" s="40" t="n"/>
    </row>
    <row r="126" ht="15.75" customHeight="1" s="41">
      <c r="A126" s="40" t="n"/>
      <c r="B126" s="40" t="n"/>
      <c r="C126" s="40" t="n"/>
      <c r="D126" s="40" t="n"/>
      <c r="E126" s="40" t="n"/>
      <c r="F126" s="40" t="n"/>
      <c r="G126" s="40" t="n"/>
      <c r="H126" s="40" t="n"/>
    </row>
    <row r="127" ht="15.75" customHeight="1" s="41">
      <c r="A127" s="44" t="inlineStr">
        <is>
          <t>Final expert verdict</t>
        </is>
      </c>
    </row>
    <row r="128" ht="15.75" customHeight="1" s="41">
      <c r="A128" s="28" t="inlineStr">
        <is>
          <t>Reviewer</t>
        </is>
      </c>
      <c r="B128" s="23" t="n"/>
      <c r="C128" s="28" t="n"/>
      <c r="D128" s="29" t="n"/>
      <c r="E128" s="23" t="n"/>
      <c r="F128" s="23" t="n"/>
      <c r="G128" s="23" t="n"/>
      <c r="H128" s="23" t="n"/>
    </row>
    <row r="129" ht="15.75" customHeight="1" s="41">
      <c r="A129" s="28" t="inlineStr">
        <is>
          <t>Is the answer acceptable?</t>
        </is>
      </c>
      <c r="B129" s="30" t="n"/>
      <c r="C129" s="28" t="n"/>
      <c r="D129" s="29" t="n"/>
      <c r="E129" s="23" t="n"/>
      <c r="F129" s="23" t="n"/>
      <c r="G129" s="23" t="n"/>
      <c r="H129" s="23" t="n"/>
    </row>
    <row r="130" ht="15.75" customHeight="1" s="41">
      <c r="A130" s="28" t="inlineStr">
        <is>
          <t>Overall comment / required fixes</t>
        </is>
      </c>
      <c r="B130" s="23" t="n"/>
      <c r="C130" s="45" t="n"/>
      <c r="D130" s="45" t="n"/>
      <c r="E130" s="45" t="n"/>
      <c r="F130" s="45" t="n"/>
      <c r="G130" s="45" t="n"/>
      <c r="H130" s="46" t="n"/>
    </row>
    <row r="131" ht="15.75" customHeight="1" s="41">
      <c r="A131" s="28" t="inlineStr">
        <is>
          <t>Review completed?</t>
        </is>
      </c>
      <c r="B131" s="30" t="n"/>
      <c r="C131" s="28" t="n"/>
      <c r="D131" s="29" t="n"/>
      <c r="E131" s="23" t="n"/>
      <c r="F131" s="23" t="n"/>
      <c r="G131" s="23" t="n"/>
      <c r="H131" s="23" t="n"/>
    </row>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c r="A160" s="44" t="inlineStr">
        <is>
          <t>Original source notes</t>
        </is>
      </c>
      <c r="I160" s="40" t="n"/>
      <c r="J160" s="40" t="n"/>
    </row>
    <row r="161" ht="15.75" customHeight="1" s="41">
      <c r="A161" s="28" t="inlineStr">
        <is>
          <t>WAB notes</t>
        </is>
      </c>
      <c r="B161" s="23" t="inlineStr">
        <is>
          <t>Your document gave this as "the same attorney-client privilege question transposed to European Commission inspections". This is our wording of it — check we transposed it as you meant.</t>
        </is>
      </c>
      <c r="C161" s="45" t="n"/>
      <c r="D161" s="45" t="n"/>
      <c r="E161" s="45" t="n"/>
      <c r="F161" s="45" t="n"/>
      <c r="G161" s="45" t="n"/>
      <c r="H161" s="46" t="n"/>
      <c r="I161" s="40" t="n"/>
      <c r="J161" s="40" t="n"/>
    </row>
    <row r="162" ht="15.75" customHeight="1" s="41">
      <c r="A162" s="28" t="inlineStr">
        <is>
          <t>Reviewer notes from question approval</t>
        </is>
      </c>
      <c r="B162" s="23" t="inlineStr">
        <is>
          <t>nothing to be changed.</t>
        </is>
      </c>
      <c r="C162" s="47" t="n"/>
      <c r="D162" s="47" t="n"/>
      <c r="E162" s="47" t="n"/>
      <c r="F162" s="47" t="n"/>
      <c r="G162" s="47" t="n"/>
      <c r="H162" s="48" t="n"/>
      <c r="I162" s="40" t="n"/>
      <c r="J162" s="40" t="n"/>
    </row>
    <row r="163" ht="15.75" customHeight="1" s="41">
      <c r="A163" s="23" t="n"/>
      <c r="B163" s="49" t="n"/>
      <c r="C163" s="50" t="n"/>
      <c r="D163" s="50" t="n"/>
      <c r="E163" s="50" t="n"/>
      <c r="F163" s="50" t="n"/>
      <c r="G163" s="50" t="n"/>
      <c r="H163" s="51" t="n"/>
      <c r="I163" s="40" t="n"/>
      <c r="J163" s="40" t="n"/>
    </row>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J163"/>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Q16 — Expert Review</t>
        </is>
      </c>
    </row>
    <row r="2" hidden="1" s="41">
      <c r="A2" s="44" t="inlineStr">
        <is>
          <t>Question metadata</t>
        </is>
      </c>
    </row>
    <row r="3" hidden="1" s="41">
      <c r="A3" s="13" t="inlineStr">
        <is>
          <t>Question ID</t>
        </is>
      </c>
      <c r="B3" s="39" t="n">
        <v>16</v>
      </c>
    </row>
    <row r="4" hidden="1" s="41">
      <c r="A4" s="13" t="inlineStr">
        <is>
          <t>Topic</t>
        </is>
      </c>
      <c r="B4" s="40" t="inlineStr">
        <is>
          <t>Dawn raids — personal data</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Under what conditions must the European Commission protect personal data during an inspection? Does the GDPR apply? Must documents be sealed on request?</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inspections-eu-law-2nd--3_chapter_1_-_inspections_upon_decision_regulation_1_2003_article_20_4.md</t>
        </is>
      </c>
      <c r="C14" s="23" t="inlineStr">
        <is>
          <t>Book (Livre)</t>
        </is>
      </c>
      <c r="D14" s="23" t="n"/>
      <c r="E14" s="23" t="inlineStr">
        <is>
          <t>d28b1d20-a2c6-425f-a401-498eab28d744</t>
        </is>
      </c>
      <c r="F14" s="23" t="n"/>
      <c r="G14" s="23" t="n"/>
      <c r="H14" s="23" t="inlineStr"/>
    </row>
    <row r="15">
      <c r="A15" s="23" t="n">
        <v>2</v>
      </c>
      <c r="B15" s="23" t="inlineStr">
        <is>
          <t>32018D1927.md</t>
        </is>
      </c>
      <c r="C15" s="23" t="inlineStr">
        <is>
          <t>Legislation</t>
        </is>
      </c>
      <c r="D15" s="23" t="inlineStr">
        <is>
          <t>EU</t>
        </is>
      </c>
      <c r="E15" s="23" t="inlineStr">
        <is>
          <t>4b2f4063-4380-45e9-a0c5-38939bcc1d22</t>
        </is>
      </c>
      <c r="F15" s="23" t="n"/>
      <c r="G15" s="23" t="n"/>
      <c r="H15" s="23" t="inlineStr">
        <is>
          <t>Cited in answer: YES</t>
        </is>
      </c>
    </row>
    <row r="16">
      <c r="A16" s="23" t="n">
        <v>3</v>
      </c>
      <c r="B16" s="23" t="inlineStr">
        <is>
          <t>62020TO0451(01).md</t>
        </is>
      </c>
      <c r="C16" s="23" t="inlineStr">
        <is>
          <t>Court Decision</t>
        </is>
      </c>
      <c r="D16" s="23" t="inlineStr">
        <is>
          <t>EU</t>
        </is>
      </c>
      <c r="E16" s="23" t="inlineStr">
        <is>
          <t>b261ed51-2a85-4d85-a20a-92143a7cd6a5</t>
        </is>
      </c>
      <c r="F16" s="23" t="n"/>
      <c r="G16" s="23" t="n"/>
      <c r="H16" s="23" t="inlineStr">
        <is>
          <t>Cited in answer: YES</t>
        </is>
      </c>
    </row>
    <row r="17">
      <c r="A17" s="23" t="n">
        <v>4</v>
      </c>
      <c r="B17" s="23" t="inlineStr">
        <is>
          <t>62020TO0452(01).md</t>
        </is>
      </c>
      <c r="C17" s="23" t="inlineStr">
        <is>
          <t>Court Decision</t>
        </is>
      </c>
      <c r="D17" s="23" t="inlineStr">
        <is>
          <t>EU</t>
        </is>
      </c>
      <c r="E17" s="23" t="inlineStr">
        <is>
          <t>2768689e-df78-453e-8a77-732820fda1c8</t>
        </is>
      </c>
      <c r="F17" s="23" t="n"/>
      <c r="G17" s="23" t="n"/>
      <c r="H17" s="23" t="inlineStr"/>
    </row>
    <row r="18">
      <c r="A18" s="23" t="n">
        <v>5</v>
      </c>
      <c r="B18" s="23" t="inlineStr">
        <is>
          <t>62023TJ1097.md</t>
        </is>
      </c>
      <c r="C18" s="23" t="inlineStr">
        <is>
          <t>Court Decision</t>
        </is>
      </c>
      <c r="D18" s="23" t="inlineStr">
        <is>
          <t>EU</t>
        </is>
      </c>
      <c r="E18" s="23" t="inlineStr">
        <is>
          <t>17ecc724-b05f-4f42-9a28-b1282ba34327</t>
        </is>
      </c>
      <c r="F18" s="23" t="n"/>
      <c r="G18" s="23" t="n"/>
      <c r="H18" s="23" t="inlineStr"/>
    </row>
    <row r="19">
      <c r="A19" s="23" t="n">
        <v>6</v>
      </c>
      <c r="B19" s="23" t="inlineStr">
        <is>
          <t>62023TJ1119.md</t>
        </is>
      </c>
      <c r="C19" s="23" t="inlineStr">
        <is>
          <t>Court Decision</t>
        </is>
      </c>
      <c r="D19" s="23" t="inlineStr">
        <is>
          <t>EU</t>
        </is>
      </c>
      <c r="E19" s="23" t="inlineStr">
        <is>
          <t>ce0e3df2-f4ea-4345-a297-e54a4f805a9f</t>
        </is>
      </c>
      <c r="F19" s="23" t="n"/>
      <c r="G19" s="23" t="n"/>
      <c r="H19" s="23" t="inlineStr"/>
    </row>
    <row r="20">
      <c r="A20" s="23" t="n">
        <v>7</v>
      </c>
      <c r="B20" s="23" t="inlineStr">
        <is>
          <t>eu-antitrust-enforcement--15_xiv_procedural_rights_and_obligations_of_third_parties_in_antitrust_investigations_and_proceedings_by_the_european_commission.md</t>
        </is>
      </c>
      <c r="C20" s="23" t="inlineStr">
        <is>
          <t>Book (Livre)</t>
        </is>
      </c>
      <c r="D20" s="23" t="n"/>
      <c r="E20" s="23" t="inlineStr">
        <is>
          <t>b2429dd2-ef75-4f34-8bf2-95b08c3a4de5</t>
        </is>
      </c>
      <c r="F20" s="23" t="n"/>
      <c r="G20" s="23" t="n"/>
      <c r="H20" s="23" t="inlineStr"/>
    </row>
    <row r="21">
      <c r="A21" s="23" t="n">
        <v>8</v>
      </c>
      <c r="B21" s="23" t="inlineStr">
        <is>
          <t>128250-35-dawn-raids-the-general-court-of-the-european-union-partially-upholds-the-lega.md</t>
        </is>
      </c>
      <c r="C21" s="23" t="inlineStr">
        <is>
          <t>Bulletin article</t>
        </is>
      </c>
      <c r="D21" s="23" t="n"/>
      <c r="E21" s="23" t="inlineStr">
        <is>
          <t>e34c0e6d-2771-4073-8165-4a73eff42d4c</t>
        </is>
      </c>
      <c r="F21" s="23" t="n"/>
      <c r="G21" s="23" t="n"/>
      <c r="H21" s="23" t="inlineStr"/>
    </row>
    <row r="22">
      <c r="A22" s="23" t="n">
        <v>9</v>
      </c>
      <c r="B22" s="23" t="inlineStr">
        <is>
          <t>62020TJ0451.md</t>
        </is>
      </c>
      <c r="C22" s="23" t="inlineStr">
        <is>
          <t>Court Decision</t>
        </is>
      </c>
      <c r="D22" s="23" t="inlineStr">
        <is>
          <t>EU</t>
        </is>
      </c>
      <c r="E22" s="23" t="inlineStr">
        <is>
          <t>48c42881-8462-4197-885e-35fd7e697950</t>
        </is>
      </c>
      <c r="F22" s="23" t="n"/>
      <c r="G22" s="23" t="n"/>
      <c r="H22" s="23" t="inlineStr"/>
    </row>
    <row r="23" s="41">
      <c r="A23" s="40" t="n">
        <v>10</v>
      </c>
      <c r="B23" s="40" t="inlineStr">
        <is>
          <t>97110-2850-inspection-the-general-court-of-the-european-union-partially-annuls-decisio.md</t>
        </is>
      </c>
      <c r="C23" s="40" t="inlineStr">
        <is>
          <t>Bulletin article</t>
        </is>
      </c>
      <c r="D23" s="40" t="n"/>
      <c r="E23" s="40" t="inlineStr">
        <is>
          <t>0ff86075-a215-4bce-ac53-21a9aa21cd71</t>
        </is>
      </c>
      <c r="F23" s="40" t="n"/>
      <c r="G23" s="40" t="n"/>
      <c r="H23" s="40" t="inlineStr"/>
    </row>
    <row r="24" s="41">
      <c r="A24" s="52" t="n">
        <v>11</v>
      </c>
      <c r="B24" s="52" t="inlineStr">
        <is>
          <t>125471-20-dawn-raids-the-general-court-upholds-the-european-commissions-overall-assessm.md</t>
        </is>
      </c>
      <c r="C24" s="52" t="inlineStr">
        <is>
          <t>Bulletin article</t>
        </is>
      </c>
      <c r="D24" s="52" t="n"/>
      <c r="E24" s="52" t="inlineStr">
        <is>
          <t>e97ed81a-60ca-4112-9207-21a8613078bd</t>
        </is>
      </c>
      <c r="F24" s="52" t="n"/>
      <c r="G24" s="52" t="n"/>
      <c r="H24" s="52" t="inlineStr"/>
    </row>
    <row r="25" s="41">
      <c r="A25" s="52" t="n">
        <v>12</v>
      </c>
      <c r="B25" s="52" t="inlineStr">
        <is>
          <t>62020TJ0452.md</t>
        </is>
      </c>
      <c r="C25" s="52" t="inlineStr">
        <is>
          <t>Court Decision</t>
        </is>
      </c>
      <c r="D25" s="52" t="inlineStr">
        <is>
          <t>EU</t>
        </is>
      </c>
      <c r="E25" s="52" t="inlineStr">
        <is>
          <t>b2ad17a9-5061-42da-938b-6bc18c4c1e54</t>
        </is>
      </c>
      <c r="F25" s="52" t="n"/>
      <c r="G25" s="52" t="n"/>
      <c r="H25" s="52" t="inlineStr"/>
    </row>
    <row r="26" s="41">
      <c r="A26" s="52" t="n">
        <v>13</v>
      </c>
      <c r="B26" s="52" t="inlineStr">
        <is>
          <t>131688-30-inspections-the-general-court-of-the-european-union-upholds-the-european-comm.md</t>
        </is>
      </c>
      <c r="C26" s="52" t="inlineStr">
        <is>
          <t>Bulletin article</t>
        </is>
      </c>
      <c r="D26" s="52" t="n"/>
      <c r="E26" s="52" t="inlineStr">
        <is>
          <t>7de191c9-0221-423b-b670-ef1e047a0196</t>
        </is>
      </c>
      <c r="F26" s="52" t="n"/>
      <c r="G26" s="52" t="n"/>
      <c r="H26" s="52" t="inlineStr"/>
    </row>
    <row r="27" s="41">
      <c r="A27" s="52" t="n">
        <v>14</v>
      </c>
      <c r="B27" s="52" t="inlineStr">
        <is>
          <t>57935-361-decisions-adopted-during-an-inspection-the-general-court-reminds-the-commiss.md</t>
        </is>
      </c>
      <c r="C27" s="52" t="inlineStr">
        <is>
          <t>Bulletin article</t>
        </is>
      </c>
      <c r="D27" s="52" t="n"/>
      <c r="E27" s="52" t="inlineStr">
        <is>
          <t>882aa354-e6cf-464a-b1e2-9486b1cca48f</t>
        </is>
      </c>
      <c r="F27" s="52" t="n"/>
      <c r="G27" s="52" t="n"/>
      <c r="H27" s="52" t="inlineStr"/>
    </row>
    <row r="28" s="41">
      <c r="A28" s="52" t="n">
        <v>15</v>
      </c>
      <c r="B28" s="52" t="inlineStr">
        <is>
          <t>competition-inspections-25-jurisdictions--7_european_union.md</t>
        </is>
      </c>
      <c r="C28" s="52" t="inlineStr">
        <is>
          <t>Article (Review)</t>
        </is>
      </c>
      <c r="D28" s="52" t="n"/>
      <c r="E28" s="52" t="inlineStr">
        <is>
          <t>1c2fa592-34f0-4656-96c2-024c5ea88b1e</t>
        </is>
      </c>
      <c r="F28" s="52" t="n"/>
      <c r="G28" s="52" t="n"/>
      <c r="H28" s="52" t="inlineStr">
        <is>
          <t>Cited in answer: YES</t>
        </is>
      </c>
    </row>
    <row r="29" s="41">
      <c r="A29" s="52" t="n">
        <v>16</v>
      </c>
      <c r="B29" s="52" t="inlineStr">
        <is>
          <t>96586.md</t>
        </is>
      </c>
      <c r="C29" s="52" t="inlineStr">
        <is>
          <t>Article (Review)</t>
        </is>
      </c>
      <c r="D29" s="52" t="n"/>
      <c r="E29" s="52" t="inlineStr">
        <is>
          <t>4cb5c154-4d3a-46c3-8bca-8f09c7e6c562</t>
        </is>
      </c>
      <c r="F29" s="52" t="n"/>
      <c r="G29" s="52" t="n"/>
      <c r="H29" s="52" t="inlineStr"/>
    </row>
    <row r="30" s="41">
      <c r="A30" s="52" t="n">
        <v>17</v>
      </c>
      <c r="B30" s="52" t="inlineStr">
        <is>
          <t>eu-antitrust-enforcement--16_xv_publication_of_antitrust_decisions_of_the_european_commission.md</t>
        </is>
      </c>
      <c r="C30" s="52" t="inlineStr">
        <is>
          <t>Book (Livre)</t>
        </is>
      </c>
      <c r="D30" s="52" t="n"/>
      <c r="E30" s="52" t="inlineStr">
        <is>
          <t>3c9799ff-7e91-4daf-9fef-671444f16757</t>
        </is>
      </c>
      <c r="F30" s="52" t="n"/>
      <c r="G30" s="52" t="n"/>
      <c r="H30" s="52" t="inlineStr"/>
    </row>
    <row r="31" s="41">
      <c r="A31" s="52" t="n">
        <v>18</v>
      </c>
      <c r="B31" s="52" t="inlineStr">
        <is>
          <t>32019D1862.md</t>
        </is>
      </c>
      <c r="C31" s="52" t="inlineStr">
        <is>
          <t>Legislation</t>
        </is>
      </c>
      <c r="D31" s="52" t="inlineStr">
        <is>
          <t>EU</t>
        </is>
      </c>
      <c r="E31" s="52" t="inlineStr">
        <is>
          <t>b5b6f4c2-f369-46e5-a382-72fbc8df883a</t>
        </is>
      </c>
      <c r="F31" s="52" t="n"/>
      <c r="G31" s="52" t="n"/>
      <c r="H31" s="52" t="inlineStr"/>
    </row>
    <row r="32" s="41">
      <c r="A32" s="52" t="n">
        <v>19</v>
      </c>
      <c r="B32" s="52" t="inlineStr">
        <is>
          <t>32022R1925.md</t>
        </is>
      </c>
      <c r="C32" s="52" t="inlineStr">
        <is>
          <t>Legislation</t>
        </is>
      </c>
      <c r="D32" s="52" t="inlineStr">
        <is>
          <t>EU</t>
        </is>
      </c>
      <c r="E32" s="52" t="inlineStr">
        <is>
          <t>2bb20ffc-93ba-4ba0-8872-0bbfc5b98609</t>
        </is>
      </c>
      <c r="F32" s="52" t="n"/>
      <c r="G32" s="52" t="n"/>
      <c r="H32" s="52" t="inlineStr"/>
    </row>
    <row r="33" s="41">
      <c r="A33" s="52" t="n">
        <v>20</v>
      </c>
      <c r="B33" s="52" t="inlineStr">
        <is>
          <t>32024R1689.md</t>
        </is>
      </c>
      <c r="C33" s="52" t="inlineStr">
        <is>
          <t>Legislation</t>
        </is>
      </c>
      <c r="D33" s="52" t="inlineStr">
        <is>
          <t>EU</t>
        </is>
      </c>
      <c r="E33" s="52" t="inlineStr">
        <is>
          <t>d164805a-0886-4c4e-933f-d963ad9182ea</t>
        </is>
      </c>
      <c r="F33" s="52" t="n"/>
      <c r="G33" s="52" t="n"/>
      <c r="H33" s="52" t="inlineStr"/>
    </row>
    <row r="34" s="41">
      <c r="A34" s="52" t="n">
        <v>21</v>
      </c>
      <c r="B34" s="52" t="inlineStr">
        <is>
          <t>competition-case-law-digest-5th--p09.md</t>
        </is>
      </c>
      <c r="C34" s="52" t="inlineStr">
        <is>
          <t>Book (Livre)</t>
        </is>
      </c>
      <c r="D34" s="52" t="n"/>
      <c r="E34" s="52" t="inlineStr">
        <is>
          <t>2f0afdb0-43c8-41b3-99e2-c3003ab906c1</t>
        </is>
      </c>
      <c r="F34" s="52" t="n"/>
      <c r="G34" s="52" t="n"/>
      <c r="H34" s="52" t="inlineStr"/>
    </row>
    <row r="35" s="41">
      <c r="A35" s="52" t="n">
        <v>22</v>
      </c>
      <c r="B35" s="52" t="inlineStr">
        <is>
          <t>103260-35-necessary-limits-to-the-commission-s-inspection-powers.md</t>
        </is>
      </c>
      <c r="C35" s="52" t="inlineStr">
        <is>
          <t>Article (Review)</t>
        </is>
      </c>
      <c r="D35" s="52" t="n"/>
      <c r="E35" s="52" t="inlineStr">
        <is>
          <t>bef18b4b-bb03-49c0-a7aa-afed485ec5d2</t>
        </is>
      </c>
      <c r="F35" s="52" t="n"/>
      <c r="G35" s="52" t="n"/>
      <c r="H35" s="52" t="inlineStr"/>
    </row>
    <row r="36" s="41">
      <c r="A36" s="52" t="n">
        <v>23</v>
      </c>
      <c r="B36" s="52" t="inlineStr">
        <is>
          <t>127929-the-eu-general-court-upholds-the-commissions-inspection-methodology-based-on-pub.md</t>
        </is>
      </c>
      <c r="C36" s="52" t="inlineStr">
        <is>
          <t>Bulletin article</t>
        </is>
      </c>
      <c r="D36" s="52" t="n"/>
      <c r="E36" s="52" t="inlineStr">
        <is>
          <t>af2e8c94-00c3-40d4-8e35-233542ca536d</t>
        </is>
      </c>
      <c r="F36" s="52" t="n"/>
      <c r="G36" s="52" t="n"/>
      <c r="H36" s="52" t="inlineStr"/>
    </row>
    <row r="37" s="41">
      <c r="A37" s="52" t="n">
        <v>24</v>
      </c>
      <c r="B37" s="52" t="inlineStr">
        <is>
          <t>32018R1725.md</t>
        </is>
      </c>
      <c r="C37" s="52" t="inlineStr">
        <is>
          <t>Legislation</t>
        </is>
      </c>
      <c r="D37" s="52" t="inlineStr">
        <is>
          <t>EU</t>
        </is>
      </c>
      <c r="E37" s="52" t="inlineStr">
        <is>
          <t>bc2299a1-c240-4a91-aa11-b5bd00c815b5</t>
        </is>
      </c>
      <c r="F37" s="52" t="n"/>
      <c r="G37" s="52" t="n"/>
      <c r="H37" s="52" t="inlineStr"/>
    </row>
    <row r="38" s="41">
      <c r="A38" s="52" t="n">
        <v>25</v>
      </c>
      <c r="B38" s="52" t="inlineStr">
        <is>
          <t>32025R0327.md</t>
        </is>
      </c>
      <c r="C38" s="52" t="inlineStr">
        <is>
          <t>Legislation</t>
        </is>
      </c>
      <c r="D38" s="52" t="inlineStr">
        <is>
          <t>EU</t>
        </is>
      </c>
      <c r="E38" s="52" t="inlineStr">
        <is>
          <t>10cab083-f284-482e-8d36-a5faf47762ab</t>
        </is>
      </c>
      <c r="F38" s="52" t="n"/>
      <c r="G38" s="52" t="n"/>
      <c r="H38" s="52" t="inlineStr"/>
    </row>
    <row r="39" s="41">
      <c r="A39" s="52" t="n">
        <v>26</v>
      </c>
      <c r="B39" s="52" t="inlineStr">
        <is>
          <t>127186-20-inspection-the-general-court-of-the-european-union-considers-that-the-commiss.md</t>
        </is>
      </c>
      <c r="C39" s="52" t="inlineStr">
        <is>
          <t>Bulletin article</t>
        </is>
      </c>
      <c r="D39" s="52" t="n"/>
      <c r="E39" s="52" t="inlineStr">
        <is>
          <t>329bd68b-1104-4f5c-b636-e9925175dbc6</t>
        </is>
      </c>
      <c r="F39" s="52" t="n"/>
      <c r="G39" s="52" t="n"/>
      <c r="H39" s="52" t="inlineStr"/>
    </row>
    <row r="40" s="41">
      <c r="A40" s="52" t="n">
        <v>27</v>
      </c>
      <c r="B40" s="52" t="inlineStr">
        <is>
          <t>62023TJ1097.md</t>
        </is>
      </c>
      <c r="C40" s="52" t="inlineStr">
        <is>
          <t>Court Decision</t>
        </is>
      </c>
      <c r="D40" s="52" t="inlineStr">
        <is>
          <t>EU</t>
        </is>
      </c>
      <c r="E40" s="52" t="inlineStr">
        <is>
          <t>19135079-d5db-4c66-b2d1-4bc35297af23</t>
        </is>
      </c>
      <c r="F40" s="52" t="n"/>
      <c r="G40" s="52" t="n"/>
      <c r="H40" s="52" t="inlineStr"/>
    </row>
    <row r="41" s="41">
      <c r="A41" s="52" t="n">
        <v>28</v>
      </c>
      <c r="B41" s="52" t="inlineStr">
        <is>
          <t>AT.40684-ATT13405.md</t>
        </is>
      </c>
      <c r="C41" s="52" t="n"/>
      <c r="D41" s="52" t="inlineStr">
        <is>
          <t>EU</t>
        </is>
      </c>
      <c r="E41" s="52" t="inlineStr">
        <is>
          <t>f845d2d5-a7e2-4ba9-b525-8aebbe7f3d30</t>
        </is>
      </c>
      <c r="F41" s="52" t="n"/>
      <c r="G41" s="52" t="n"/>
      <c r="H41" s="52" t="inlineStr"/>
    </row>
    <row r="42" s="41">
      <c r="A42" s="52" t="n">
        <v>29</v>
      </c>
      <c r="B42" s="52" t="inlineStr">
        <is>
          <t>compendium-eu-competition-law--p46.md</t>
        </is>
      </c>
      <c r="C42" s="52" t="inlineStr">
        <is>
          <t>Legislation</t>
        </is>
      </c>
      <c r="D42" s="52" t="n"/>
      <c r="E42" s="52" t="inlineStr">
        <is>
          <t>21d91f72-d429-4ad0-b9aa-f0efaffcf8b6</t>
        </is>
      </c>
      <c r="F42" s="52" t="n"/>
      <c r="G42" s="52" t="n"/>
      <c r="H42" s="52" t="inlineStr"/>
    </row>
    <row r="43" s="41">
      <c r="A43" s="52" t="n">
        <v>30</v>
      </c>
      <c r="B43" s="52" t="inlineStr">
        <is>
          <t>judicial-review-competition-cases--6_european_union_-_judicial_review_of_inspection_decisions.md</t>
        </is>
      </c>
      <c r="C43" s="52" t="inlineStr">
        <is>
          <t>Article (Review)</t>
        </is>
      </c>
      <c r="D43" s="52" t="n"/>
      <c r="E43" s="52" t="inlineStr">
        <is>
          <t>21a3ec2e-1c42-4307-ab97-e45011d6660a</t>
        </is>
      </c>
      <c r="F43" s="52" t="n"/>
      <c r="G43" s="52" t="n"/>
      <c r="H43" s="52" t="inlineStr">
        <is>
          <t>Cited in answer: YES</t>
        </is>
      </c>
    </row>
    <row r="44" s="41">
      <c r="A44" s="52" t="n">
        <v>31</v>
      </c>
      <c r="B44" s="52" t="inlineStr">
        <is>
          <t>32024R1143.md</t>
        </is>
      </c>
      <c r="C44" s="52" t="inlineStr">
        <is>
          <t>Legislation</t>
        </is>
      </c>
      <c r="D44" s="52" t="inlineStr">
        <is>
          <t>EU</t>
        </is>
      </c>
      <c r="E44" s="52" t="inlineStr">
        <is>
          <t>bf3097a4-74c1-4dbe-9a7f-5817030b37e8</t>
        </is>
      </c>
      <c r="F44" s="52" t="n"/>
      <c r="G44" s="52" t="n"/>
      <c r="H44" s="52" t="inlineStr"/>
    </row>
    <row r="45" s="41">
      <c r="A45" s="52" t="n">
        <v>32</v>
      </c>
      <c r="B45" s="52" t="inlineStr">
        <is>
          <t>93706-0060-dawn-raids-advocate-general-kokott-calls-on-the-court-of-justice-to-uphold.md</t>
        </is>
      </c>
      <c r="C45" s="52" t="inlineStr">
        <is>
          <t>Bulletin article</t>
        </is>
      </c>
      <c r="D45" s="52" t="n"/>
      <c r="E45" s="52" t="inlineStr">
        <is>
          <t>42a1613c-b25b-476e-a3b4-e1cac9b5add2</t>
        </is>
      </c>
      <c r="F45" s="52" t="n"/>
      <c r="G45" s="52" t="n"/>
      <c r="H45" s="52" t="inlineStr"/>
    </row>
    <row r="46" s="41">
      <c r="A46" s="52" t="n">
        <v>33</v>
      </c>
      <c r="B46" s="52" t="inlineStr">
        <is>
          <t>eu-antitrust-enforcement--10_ix_the_compatibility_with_fundamental_rights_of_the_eu_antitrust_enforcement_system_in_which_the_european_commission_acts_both_as_investigator_and_as_first_instance_decision_maker.md</t>
        </is>
      </c>
      <c r="C46" s="52" t="inlineStr">
        <is>
          <t>Article (Review)</t>
        </is>
      </c>
      <c r="D46" s="52" t="n"/>
      <c r="E46" s="52" t="inlineStr">
        <is>
          <t>2c996db6-dd0f-46f5-be34-12be8f73b817</t>
        </is>
      </c>
      <c r="F46" s="52" t="n"/>
      <c r="G46" s="52" t="n"/>
      <c r="H46" s="52" t="inlineStr"/>
    </row>
    <row r="47" s="41">
      <c r="A47" s="52" t="n">
        <v>34</v>
      </c>
      <c r="B47" s="52" t="inlineStr">
        <is>
          <t>32020Q1120(02).md</t>
        </is>
      </c>
      <c r="C47" s="52" t="inlineStr">
        <is>
          <t>Regulatory Decision</t>
        </is>
      </c>
      <c r="D47" s="52" t="inlineStr">
        <is>
          <t>EU</t>
        </is>
      </c>
      <c r="E47" s="52" t="inlineStr">
        <is>
          <t>34a3789a-6b42-4095-93c7-459a976d1720</t>
        </is>
      </c>
      <c r="F47" s="52" t="n"/>
      <c r="G47" s="52" t="n"/>
      <c r="H47" s="52" t="inlineStr"/>
    </row>
    <row r="48" s="41">
      <c r="A48" s="52" t="n">
        <v>35</v>
      </c>
      <c r="B48" s="52" t="inlineStr">
        <is>
          <t>32024R1781.md</t>
        </is>
      </c>
      <c r="C48" s="52" t="inlineStr">
        <is>
          <t>Legislation</t>
        </is>
      </c>
      <c r="D48" s="52" t="inlineStr">
        <is>
          <t>EU</t>
        </is>
      </c>
      <c r="E48" s="52" t="inlineStr">
        <is>
          <t>67197a30-5dc9-4e78-9547-4ede1a401d06</t>
        </is>
      </c>
      <c r="F48" s="52" t="n"/>
      <c r="G48" s="52" t="n"/>
      <c r="H48" s="52" t="inlineStr"/>
    </row>
    <row r="49" s="41">
      <c r="A49" s="52" t="n">
        <v>36</v>
      </c>
      <c r="B49" s="52" t="inlineStr">
        <is>
          <t>32026R1744.md</t>
        </is>
      </c>
      <c r="C49" s="52" t="inlineStr">
        <is>
          <t>Legislation</t>
        </is>
      </c>
      <c r="D49" s="52" t="inlineStr">
        <is>
          <t>EU</t>
        </is>
      </c>
      <c r="E49" s="52" t="inlineStr">
        <is>
          <t>efe52fd4-21cb-404d-929f-fbd3ee861b39</t>
        </is>
      </c>
      <c r="F49" s="52" t="n"/>
      <c r="G49" s="52" t="n"/>
      <c r="H49" s="52" t="inlineStr"/>
    </row>
    <row r="50" s="41">
      <c r="A50" s="52" t="n">
        <v>37</v>
      </c>
      <c r="B50" s="52" t="inlineStr">
        <is>
          <t>32022R2560.md</t>
        </is>
      </c>
      <c r="C50" s="52" t="inlineStr">
        <is>
          <t>Legislation</t>
        </is>
      </c>
      <c r="D50" s="52" t="inlineStr">
        <is>
          <t>EU</t>
        </is>
      </c>
      <c r="E50" s="52" t="inlineStr">
        <is>
          <t>dfe609ca-a196-4dd1-8599-fb95fffa69e9</t>
        </is>
      </c>
      <c r="F50" s="52" t="n"/>
      <c r="G50" s="52" t="n"/>
      <c r="H50" s="52" t="inlineStr"/>
    </row>
    <row r="51" s="41">
      <c r="A51" s="52" t="n">
        <v>38</v>
      </c>
      <c r="B51" s="52" t="inlineStr">
        <is>
          <t>32024R2847.md</t>
        </is>
      </c>
      <c r="C51" s="52" t="inlineStr">
        <is>
          <t>Legislation</t>
        </is>
      </c>
      <c r="D51" s="52" t="inlineStr">
        <is>
          <t>EU</t>
        </is>
      </c>
      <c r="E51" s="52" t="inlineStr">
        <is>
          <t>8e023084-4728-49d6-b8d8-712e5184a680</t>
        </is>
      </c>
      <c r="F51" s="52" t="n"/>
      <c r="G51" s="52" t="n"/>
      <c r="H51" s="52" t="inlineStr"/>
    </row>
    <row r="52" s="41">
      <c r="A52" s="52" t="n">
        <v>39</v>
      </c>
      <c r="B52" s="52" t="inlineStr">
        <is>
          <t>32020Q1113(01).md</t>
        </is>
      </c>
      <c r="C52" s="52" t="inlineStr">
        <is>
          <t>Regulatory Decision</t>
        </is>
      </c>
      <c r="D52" s="52" t="inlineStr">
        <is>
          <t>EU</t>
        </is>
      </c>
      <c r="E52" s="52" t="inlineStr">
        <is>
          <t>2e360f32-5e39-401d-9774-af396dc6ca64</t>
        </is>
      </c>
      <c r="F52" s="52" t="n"/>
      <c r="G52" s="52" t="n"/>
      <c r="H52" s="52" t="inlineStr"/>
    </row>
    <row r="53" s="41">
      <c r="A53" s="52" t="n">
        <v>40</v>
      </c>
      <c r="B53" s="52" t="inlineStr">
        <is>
          <t>competition-inspections-25-jurisdictions--2_austria.md</t>
        </is>
      </c>
      <c r="C53" s="52" t="inlineStr">
        <is>
          <t>Article (Review)</t>
        </is>
      </c>
      <c r="D53" s="52" t="n"/>
      <c r="E53" s="52" t="inlineStr">
        <is>
          <t>ec7e95f2-ae1b-4c2b-9635-0ae49e53ba19</t>
        </is>
      </c>
      <c r="F53" s="52" t="n"/>
      <c r="G53" s="52" t="n"/>
      <c r="H53" s="52" t="inlineStr"/>
    </row>
    <row r="54" s="41">
      <c r="A54" s="52" t="n">
        <v>41</v>
      </c>
      <c r="B54" s="52" t="inlineStr">
        <is>
          <t>32024R0590.md</t>
        </is>
      </c>
      <c r="C54" s="52" t="inlineStr">
        <is>
          <t>Legislation</t>
        </is>
      </c>
      <c r="D54" s="52" t="inlineStr">
        <is>
          <t>EU</t>
        </is>
      </c>
      <c r="E54" s="52" t="inlineStr">
        <is>
          <t>8b234b5b-05b4-4329-8070-eba71167091c</t>
        </is>
      </c>
      <c r="F54" s="52" t="n"/>
      <c r="G54" s="52" t="n"/>
      <c r="H54" s="52" t="inlineStr"/>
    </row>
    <row r="55" s="41">
      <c r="A55" s="52" t="n">
        <v>42</v>
      </c>
      <c r="B55" s="52" t="inlineStr">
        <is>
          <t>62023CJ0258.md</t>
        </is>
      </c>
      <c r="C55" s="52" t="inlineStr">
        <is>
          <t>Court Decision</t>
        </is>
      </c>
      <c r="D55" s="52" t="inlineStr">
        <is>
          <t>EU</t>
        </is>
      </c>
      <c r="E55" s="52" t="inlineStr">
        <is>
          <t>5aa970eb-b95b-47f7-848c-8251ba16e8bc</t>
        </is>
      </c>
      <c r="F55" s="52" t="n"/>
      <c r="G55" s="52" t="n"/>
      <c r="H55" s="52" t="inlineStr"/>
    </row>
    <row r="56" s="41">
      <c r="A56" s="52" t="n">
        <v>43</v>
      </c>
      <c r="B56" s="52" t="inlineStr">
        <is>
          <t>32024R1938.md</t>
        </is>
      </c>
      <c r="C56" s="52" t="inlineStr">
        <is>
          <t>Legislation</t>
        </is>
      </c>
      <c r="D56" s="52" t="inlineStr">
        <is>
          <t>EU</t>
        </is>
      </c>
      <c r="E56" s="52" t="inlineStr">
        <is>
          <t>196dcd68-9570-40a2-9ca3-475e4b1a9382</t>
        </is>
      </c>
      <c r="F56" s="52" t="n"/>
      <c r="G56" s="52" t="n"/>
      <c r="H56" s="52" t="inlineStr"/>
    </row>
    <row r="57" s="41">
      <c r="A57" s="52" t="n">
        <v>44</v>
      </c>
      <c r="B57" s="52" t="inlineStr">
        <is>
          <t>129469.md</t>
        </is>
      </c>
      <c r="C57" s="52" t="inlineStr">
        <is>
          <t>Bulletin article</t>
        </is>
      </c>
      <c r="D57" s="52" t="n"/>
      <c r="E57" s="52" t="inlineStr">
        <is>
          <t>96fff51a-7108-4bec-abbc-3cd592bf0bb3</t>
        </is>
      </c>
      <c r="F57" s="52" t="n"/>
      <c r="G57" s="52" t="n"/>
      <c r="H57" s="52" t="inlineStr"/>
    </row>
    <row r="58" s="41">
      <c r="A58" s="52" t="n">
        <v>45</v>
      </c>
      <c r="B58" s="52" t="inlineStr">
        <is>
          <t>107877.md</t>
        </is>
      </c>
      <c r="C58" s="52" t="inlineStr">
        <is>
          <t>Bulletin article</t>
        </is>
      </c>
      <c r="D58" s="52" t="n"/>
      <c r="E58" s="52" t="inlineStr">
        <is>
          <t>632bea47-be17-43c1-937e-08ba80d687d0</t>
        </is>
      </c>
      <c r="F58" s="52" t="n"/>
      <c r="G58" s="52" t="n"/>
      <c r="H58" s="52" t="inlineStr"/>
    </row>
    <row r="59" s="41">
      <c r="A59" s="52" t="n">
        <v>46</v>
      </c>
      <c r="B59" s="52" t="inlineStr">
        <is>
          <t>compendium-eu-competition-law--p19.md</t>
        </is>
      </c>
      <c r="C59" s="52" t="inlineStr">
        <is>
          <t>Book (Livre)</t>
        </is>
      </c>
      <c r="D59" s="52" t="n"/>
      <c r="E59" s="52" t="inlineStr">
        <is>
          <t>9bfde211-445b-477f-98b1-057754da3b52</t>
        </is>
      </c>
      <c r="F59" s="52" t="n"/>
      <c r="G59" s="52" t="n"/>
      <c r="H59" s="52" t="inlineStr"/>
    </row>
    <row r="60" s="41">
      <c r="A60" s="52" t="n">
        <v>47</v>
      </c>
      <c r="B60" s="52" t="inlineStr">
        <is>
          <t>compendium-eu-competition-law--p44.md</t>
        </is>
      </c>
      <c r="C60" s="52" t="inlineStr">
        <is>
          <t>Legislation</t>
        </is>
      </c>
      <c r="D60" s="52" t="n"/>
      <c r="E60" s="52" t="inlineStr">
        <is>
          <t>a132148a-896b-4c54-b8ad-f38a24877738</t>
        </is>
      </c>
      <c r="F60" s="52" t="n"/>
      <c r="G60" s="52" t="n"/>
      <c r="H60" s="52" t="inlineStr"/>
    </row>
    <row r="61" s="41">
      <c r="A61" s="52" t="n">
        <v>48</v>
      </c>
      <c r="B61" s="52" t="inlineStr">
        <is>
          <t>62014TJ0449.md</t>
        </is>
      </c>
      <c r="C61" s="52" t="inlineStr">
        <is>
          <t>Court Decision</t>
        </is>
      </c>
      <c r="D61" s="52" t="inlineStr">
        <is>
          <t>EU</t>
        </is>
      </c>
      <c r="E61" s="52" t="inlineStr">
        <is>
          <t>2f594756-bc0a-4332-829f-e65319b3211c</t>
        </is>
      </c>
      <c r="F61" s="52" t="n"/>
      <c r="G61" s="52" t="n"/>
      <c r="H61" s="52" t="inlineStr"/>
    </row>
    <row r="62" s="41">
      <c r="A62" s="52" t="n">
        <v>49</v>
      </c>
      <c r="B62" s="52" t="inlineStr">
        <is>
          <t>eu-antitrust-enforcement--12_xi_the_role_of_the_hearing_officer_in_antitrust_proceedings_before_the_european_commission.md</t>
        </is>
      </c>
      <c r="C62" s="52" t="inlineStr">
        <is>
          <t>Book (Livre)</t>
        </is>
      </c>
      <c r="D62" s="52" t="n"/>
      <c r="E62" s="52" t="inlineStr">
        <is>
          <t>27d55d8c-5b59-43c1-8576-7a718bd009d4</t>
        </is>
      </c>
      <c r="F62" s="52" t="n"/>
      <c r="G62" s="52" t="n"/>
      <c r="H62" s="52" t="inlineStr"/>
    </row>
    <row r="63" s="41">
      <c r="A63" s="52" t="n">
        <v>50</v>
      </c>
      <c r="B63" s="52" t="inlineStr">
        <is>
          <t>eu-antitrust-enforcement--13_xii_the_oral_hearing_in_antitrust_proceedings_before_the_european_commission.md</t>
        </is>
      </c>
      <c r="C63" s="52" t="inlineStr">
        <is>
          <t>Article (Review)</t>
        </is>
      </c>
      <c r="D63" s="52" t="n"/>
      <c r="E63" s="52" t="inlineStr">
        <is>
          <t>8edbd753-7757-4163-9662-1b5feeeadeb4</t>
        </is>
      </c>
      <c r="F63" s="52" t="n"/>
      <c r="G63" s="52" t="n"/>
      <c r="H63" s="52" t="inlineStr"/>
    </row>
    <row r="64" s="41">
      <c r="A64" s="52" t="n">
        <v>51</v>
      </c>
      <c r="B64" s="52" t="inlineStr">
        <is>
          <t>62018CJ0601.md</t>
        </is>
      </c>
      <c r="C64" s="52" t="inlineStr">
        <is>
          <t>Court Decision</t>
        </is>
      </c>
      <c r="D64" s="52" t="inlineStr">
        <is>
          <t>EU</t>
        </is>
      </c>
      <c r="E64" s="52" t="inlineStr">
        <is>
          <t>d94571df-d56d-45c1-a02e-834714984963</t>
        </is>
      </c>
      <c r="F64" s="52" t="n"/>
      <c r="G64" s="52" t="n"/>
      <c r="H64" s="52" t="inlineStr"/>
    </row>
    <row r="65" s="41">
      <c r="A65" s="52" t="n">
        <v>52</v>
      </c>
      <c r="B65" s="52" t="inlineStr">
        <is>
          <t>32019D0802(01).md</t>
        </is>
      </c>
      <c r="C65" s="52" t="inlineStr">
        <is>
          <t>Legislation</t>
        </is>
      </c>
      <c r="D65" s="52" t="inlineStr">
        <is>
          <t>EU</t>
        </is>
      </c>
      <c r="E65" s="52" t="inlineStr">
        <is>
          <t>2d00c1e9-a0ca-4279-8326-9cab88cc2394</t>
        </is>
      </c>
      <c r="F65" s="52" t="n"/>
      <c r="G65" s="52" t="n"/>
      <c r="H65" s="52" t="inlineStr"/>
    </row>
    <row r="66" s="41">
      <c r="A66" s="52" t="n">
        <v>53</v>
      </c>
      <c r="B66" s="52" t="inlineStr">
        <is>
          <t>32023R0956.md</t>
        </is>
      </c>
      <c r="C66" s="52" t="inlineStr">
        <is>
          <t>Legislation</t>
        </is>
      </c>
      <c r="D66" s="52" t="inlineStr">
        <is>
          <t>EU</t>
        </is>
      </c>
      <c r="E66" s="52" t="inlineStr">
        <is>
          <t>5407807d-3b1e-455f-8877-f8649979d874</t>
        </is>
      </c>
      <c r="F66" s="52" t="n"/>
      <c r="G66" s="52" t="n"/>
      <c r="H66" s="52" t="inlineStr"/>
    </row>
    <row r="67" s="41">
      <c r="A67" s="52" t="n">
        <v>54</v>
      </c>
      <c r="B67" s="52" t="inlineStr">
        <is>
          <t>123082.md</t>
        </is>
      </c>
      <c r="C67" s="52" t="inlineStr">
        <is>
          <t>Bulletin article</t>
        </is>
      </c>
      <c r="D67" s="52" t="n"/>
      <c r="E67" s="52" t="inlineStr">
        <is>
          <t>18ab192b-10fe-48eb-95a5-bfcc61cd2c9d</t>
        </is>
      </c>
      <c r="F67" s="52" t="n"/>
      <c r="G67" s="52" t="n"/>
      <c r="H67" s="52" t="inlineStr"/>
    </row>
    <row r="68" s="41">
      <c r="A68" s="52" t="n">
        <v>55</v>
      </c>
      <c r="B68" s="52" t="inlineStr">
        <is>
          <t>32018D1961.md</t>
        </is>
      </c>
      <c r="C68" s="52" t="inlineStr">
        <is>
          <t>Legislation</t>
        </is>
      </c>
      <c r="D68" s="52" t="inlineStr">
        <is>
          <t>EU</t>
        </is>
      </c>
      <c r="E68" s="52" t="inlineStr">
        <is>
          <t>c17962c2-b09e-4438-90aa-9d264db0ca9d</t>
        </is>
      </c>
      <c r="F68" s="52" t="n"/>
      <c r="G68" s="52" t="n"/>
      <c r="H68" s="52" t="inlineStr">
        <is>
          <t>Cited in answer: YES</t>
        </is>
      </c>
    </row>
    <row r="69" s="41">
      <c r="A69" s="52" t="n">
        <v>56</v>
      </c>
      <c r="B69" s="52" t="inlineStr">
        <is>
          <t>32019D0236.md</t>
        </is>
      </c>
      <c r="C69" s="52" t="inlineStr">
        <is>
          <t>Legislation</t>
        </is>
      </c>
      <c r="D69" s="52" t="inlineStr">
        <is>
          <t>EU</t>
        </is>
      </c>
      <c r="E69" s="52" t="inlineStr">
        <is>
          <t>456bebae-b062-4aa4-bf2c-a9c9d4e4c653</t>
        </is>
      </c>
      <c r="F69" s="52" t="n"/>
      <c r="G69" s="52" t="n"/>
      <c r="H69" s="52" t="inlineStr"/>
    </row>
    <row r="70" s="41">
      <c r="A70" s="52" t="n">
        <v>57</v>
      </c>
      <c r="B70" s="52" t="inlineStr">
        <is>
          <t>32024R0903.md</t>
        </is>
      </c>
      <c r="C70" s="52" t="inlineStr">
        <is>
          <t>Legislation</t>
        </is>
      </c>
      <c r="D70" s="52" t="inlineStr">
        <is>
          <t>EU</t>
        </is>
      </c>
      <c r="E70" s="52" t="inlineStr">
        <is>
          <t>a6d17cc5-caab-4a60-b65e-ea78e2b93d9c</t>
        </is>
      </c>
      <c r="F70" s="52" t="n"/>
      <c r="G70" s="52" t="n"/>
      <c r="H70" s="52" t="inlineStr"/>
    </row>
    <row r="71" s="41">
      <c r="A71" s="52" t="n">
        <v>58</v>
      </c>
      <c r="B71" s="52" t="inlineStr">
        <is>
          <t>32018D1962.md</t>
        </is>
      </c>
      <c r="C71" s="52" t="inlineStr">
        <is>
          <t>Legislation</t>
        </is>
      </c>
      <c r="D71" s="52" t="inlineStr">
        <is>
          <t>EU</t>
        </is>
      </c>
      <c r="E71" s="52" t="inlineStr">
        <is>
          <t>0a2b2c31-a865-44a0-b94f-c0ec4ee0d480</t>
        </is>
      </c>
      <c r="F71" s="52" t="n"/>
      <c r="G71" s="52" t="n"/>
      <c r="H71" s="52" t="inlineStr"/>
    </row>
    <row r="72" s="41">
      <c r="A72" s="52" t="n">
        <v>59</v>
      </c>
      <c r="B72" s="52" t="inlineStr">
        <is>
          <t>competition-inspections-25-jurisdictions--22_spain.md</t>
        </is>
      </c>
      <c r="C72" s="52" t="inlineStr">
        <is>
          <t>Article (Review)</t>
        </is>
      </c>
      <c r="D72" s="52" t="n"/>
      <c r="E72" s="52" t="inlineStr">
        <is>
          <t>c612bb23-e93e-4e90-be30-4979d304f10e</t>
        </is>
      </c>
      <c r="F72" s="52" t="n"/>
      <c r="G72" s="52" t="n"/>
      <c r="H72" s="52" t="inlineStr"/>
    </row>
    <row r="73" s="41">
      <c r="A73" s="52" t="n">
        <v>60</v>
      </c>
      <c r="B73" s="52" t="inlineStr">
        <is>
          <t>32022R2370.md</t>
        </is>
      </c>
      <c r="C73" s="52" t="inlineStr">
        <is>
          <t>Legislation</t>
        </is>
      </c>
      <c r="D73" s="52" t="inlineStr">
        <is>
          <t>EU</t>
        </is>
      </c>
      <c r="E73" s="52" t="inlineStr">
        <is>
          <t>272a3c0d-fd88-47d2-a7a6-d98736410d5f</t>
        </is>
      </c>
      <c r="F73" s="52" t="n"/>
      <c r="G73" s="52" t="n"/>
      <c r="H73" s="52" t="inlineStr"/>
    </row>
    <row r="74" s="41">
      <c r="A74" s="52" t="n">
        <v>61</v>
      </c>
      <c r="B74" s="52" t="inlineStr">
        <is>
          <t>32023R1543.md</t>
        </is>
      </c>
      <c r="C74" s="52" t="inlineStr">
        <is>
          <t>Legislation</t>
        </is>
      </c>
      <c r="D74" s="52" t="inlineStr">
        <is>
          <t>EU</t>
        </is>
      </c>
      <c r="E74" s="52" t="inlineStr">
        <is>
          <t>18e9fb80-801f-4a5a-8690-2b6515bd2f86</t>
        </is>
      </c>
      <c r="F74" s="52" t="n"/>
      <c r="G74" s="52" t="n"/>
      <c r="H74" s="52" t="inlineStr"/>
    </row>
    <row r="75" s="41">
      <c r="A75" s="52" t="n">
        <v>62</v>
      </c>
      <c r="B75" s="52" t="inlineStr">
        <is>
          <t>131258-the-eu-general-court-dismisses-an-action-challenging-commission-s-inspection-pow.md</t>
        </is>
      </c>
      <c r="C75" s="52" t="inlineStr">
        <is>
          <t>Bulletin article</t>
        </is>
      </c>
      <c r="D75" s="52" t="n"/>
      <c r="E75" s="52" t="inlineStr">
        <is>
          <t>b5e40090-4f79-422a-997e-8eaa7a359c88</t>
        </is>
      </c>
      <c r="F75" s="52" t="n"/>
      <c r="G75" s="52" t="n"/>
      <c r="H75" s="52" t="inlineStr"/>
    </row>
    <row r="76" s="41">
      <c r="A76" s="52" t="n">
        <v>63</v>
      </c>
      <c r="B76" s="52" t="inlineStr">
        <is>
          <t>62014CC0033.md</t>
        </is>
      </c>
      <c r="C76" s="52" t="inlineStr">
        <is>
          <t>Bulletin article</t>
        </is>
      </c>
      <c r="D76" s="52" t="inlineStr">
        <is>
          <t>EU</t>
        </is>
      </c>
      <c r="E76" s="52" t="inlineStr">
        <is>
          <t>1dfad74b-fd57-47bb-bfab-18e86ff8d695</t>
        </is>
      </c>
      <c r="F76" s="52" t="n"/>
      <c r="G76" s="52" t="n"/>
      <c r="H76" s="52" t="inlineStr"/>
    </row>
    <row r="77" s="41">
      <c r="A77" s="52" t="n">
        <v>64</v>
      </c>
      <c r="B77" s="52" t="inlineStr">
        <is>
          <t>32026R1881.md</t>
        </is>
      </c>
      <c r="C77" s="52" t="inlineStr">
        <is>
          <t>Legislation</t>
        </is>
      </c>
      <c r="D77" s="52" t="inlineStr">
        <is>
          <t>EU</t>
        </is>
      </c>
      <c r="E77" s="52" t="inlineStr">
        <is>
          <t>40a473f4-06f8-499e-b320-b38c507d379f</t>
        </is>
      </c>
      <c r="F77" s="52" t="n"/>
      <c r="G77" s="52" t="n"/>
      <c r="H77" s="52" t="inlineStr"/>
    </row>
    <row r="78" s="41">
      <c r="A78" s="52" t="n">
        <v>65</v>
      </c>
      <c r="B78" s="52" t="inlineStr">
        <is>
          <t>62009TJ0135.md</t>
        </is>
      </c>
      <c r="C78" s="52" t="inlineStr">
        <is>
          <t>Court Decision</t>
        </is>
      </c>
      <c r="D78" s="52" t="inlineStr">
        <is>
          <t>EU</t>
        </is>
      </c>
      <c r="E78" s="52" t="inlineStr">
        <is>
          <t>10418f10-8b6f-4bcc-adf6-39e168b49440</t>
        </is>
      </c>
      <c r="F78" s="52" t="n"/>
      <c r="G78" s="52" t="n"/>
      <c r="H78" s="52" t="inlineStr"/>
    </row>
    <row r="79" s="41">
      <c r="A79" s="52" t="n">
        <v>66</v>
      </c>
      <c r="B79" s="52" t="inlineStr">
        <is>
          <t>62023CC0070.md</t>
        </is>
      </c>
      <c r="C79" s="52" t="inlineStr">
        <is>
          <t>Bulletin article</t>
        </is>
      </c>
      <c r="D79" s="52" t="inlineStr">
        <is>
          <t>EU</t>
        </is>
      </c>
      <c r="E79" s="52" t="inlineStr">
        <is>
          <t>2a493229-62c6-48e3-be4c-c06477e996fc</t>
        </is>
      </c>
      <c r="F79" s="52" t="n"/>
      <c r="G79" s="52" t="n"/>
      <c r="H79" s="52" t="inlineStr"/>
    </row>
    <row r="80" s="41">
      <c r="A80" s="52" t="n">
        <v>67</v>
      </c>
      <c r="B80" s="52" t="inlineStr">
        <is>
          <t>129745.md</t>
        </is>
      </c>
      <c r="C80" s="52" t="inlineStr">
        <is>
          <t>Bulletin article</t>
        </is>
      </c>
      <c r="D80" s="52" t="n"/>
      <c r="E80" s="52" t="inlineStr">
        <is>
          <t>d77ab0a2-b289-4ca9-981f-ff910bb4451b</t>
        </is>
      </c>
      <c r="F80" s="52" t="n"/>
      <c r="G80" s="52" t="n"/>
      <c r="H80" s="52" t="inlineStr"/>
    </row>
    <row r="81" s="41">
      <c r="A81" s="52" t="n">
        <v>68</v>
      </c>
      <c r="B81" s="52" t="inlineStr">
        <is>
          <t>m10262.md</t>
        </is>
      </c>
      <c r="C81" s="52" t="inlineStr">
        <is>
          <t>Regulatory Decision</t>
        </is>
      </c>
      <c r="D81" s="52" t="inlineStr">
        <is>
          <t>EU</t>
        </is>
      </c>
      <c r="E81" s="52" t="inlineStr">
        <is>
          <t>371d0689-523b-4cfd-b127-c2e6980e3905</t>
        </is>
      </c>
      <c r="F81" s="52" t="n"/>
      <c r="G81" s="52" t="n"/>
      <c r="H81" s="52" t="inlineStr"/>
    </row>
    <row r="82" s="41">
      <c r="A82" s="52" t="n">
        <v>69</v>
      </c>
      <c r="B82" s="52" t="inlineStr">
        <is>
          <t>32024R1183.md</t>
        </is>
      </c>
      <c r="C82" s="52" t="inlineStr">
        <is>
          <t>Legislation</t>
        </is>
      </c>
      <c r="D82" s="52" t="inlineStr">
        <is>
          <t>EU</t>
        </is>
      </c>
      <c r="E82" s="52" t="inlineStr">
        <is>
          <t>89650652-fe90-42ae-a966-9c0b2e32ce85</t>
        </is>
      </c>
      <c r="F82" s="52" t="n"/>
      <c r="G82" s="52" t="n"/>
      <c r="H82" s="52" t="inlineStr"/>
    </row>
    <row r="83" s="41">
      <c r="A83" s="52" t="n">
        <v>70</v>
      </c>
      <c r="B83" s="52" t="inlineStr">
        <is>
          <t>judicial-review-competition-cases--7_european_union_-_are_there_any_limits_to_unlimited_jurisdiction_judicial_review_of_commission_discretion_in_setting_fines_for_breaches_of_eu_competition_rules.md</t>
        </is>
      </c>
      <c r="C83" s="52" t="inlineStr">
        <is>
          <t>Article (Review)</t>
        </is>
      </c>
      <c r="D83" s="52" t="n"/>
      <c r="E83" s="52" t="inlineStr">
        <is>
          <t>db161723-dcab-4880-a411-5ede0c406c3a</t>
        </is>
      </c>
      <c r="F83" s="52" t="n"/>
      <c r="G83" s="52" t="n"/>
      <c r="H83" s="52" t="inlineStr"/>
    </row>
    <row r="84" s="41">
      <c r="A84" s="52" t="n">
        <v>71</v>
      </c>
      <c r="B84" s="52" t="inlineStr">
        <is>
          <t>62015CO0523.md</t>
        </is>
      </c>
      <c r="C84" s="52" t="inlineStr">
        <is>
          <t>Court Decision</t>
        </is>
      </c>
      <c r="D84" s="52" t="inlineStr">
        <is>
          <t>EU</t>
        </is>
      </c>
      <c r="E84" s="52" t="inlineStr">
        <is>
          <t>b66f8514-c7d7-4322-9e3d-b85b2b24d658</t>
        </is>
      </c>
      <c r="F84" s="52" t="n"/>
      <c r="G84" s="52" t="n"/>
      <c r="H84" s="52" t="inlineStr"/>
    </row>
    <row r="85" s="41">
      <c r="A85" s="52" t="n">
        <v>72</v>
      </c>
      <c r="B85" s="52" t="inlineStr">
        <is>
          <t>competition-inspections-25-jurisdictions--10_germany.md</t>
        </is>
      </c>
      <c r="C85" s="52" t="inlineStr">
        <is>
          <t>Article (Review)</t>
        </is>
      </c>
      <c r="D85" s="52" t="n"/>
      <c r="E85" s="52" t="inlineStr">
        <is>
          <t>6e56030e-0de4-4565-963d-135aab5bd6f9</t>
        </is>
      </c>
      <c r="F85" s="52" t="n"/>
      <c r="G85" s="52" t="n"/>
      <c r="H85" s="52" t="inlineStr"/>
    </row>
    <row r="86" s="41">
      <c r="A86" s="52" t="n">
        <v>73</v>
      </c>
      <c r="B86" s="52" t="inlineStr">
        <is>
          <t>32024R0573.md</t>
        </is>
      </c>
      <c r="C86" s="52" t="inlineStr">
        <is>
          <t>Legislation</t>
        </is>
      </c>
      <c r="D86" s="52" t="inlineStr">
        <is>
          <t>EU</t>
        </is>
      </c>
      <c r="E86" s="52" t="inlineStr">
        <is>
          <t>56eae7f7-f179-4903-ab1e-31d7e0d44149</t>
        </is>
      </c>
      <c r="F86" s="52" t="n"/>
      <c r="G86" s="52" t="n"/>
      <c r="H86" s="52" t="inlineStr"/>
    </row>
    <row r="87" s="41">
      <c r="A87" s="52" t="n">
        <v>74</v>
      </c>
      <c r="B87" s="52" t="inlineStr">
        <is>
          <t>32021R1232.md</t>
        </is>
      </c>
      <c r="C87" s="52" t="inlineStr">
        <is>
          <t>Legislation</t>
        </is>
      </c>
      <c r="D87" s="52" t="inlineStr">
        <is>
          <t>EU</t>
        </is>
      </c>
      <c r="E87" s="52" t="inlineStr">
        <is>
          <t>ed05fda7-fe84-4d6d-a820-541b65416c70</t>
        </is>
      </c>
      <c r="F87" s="52" t="n"/>
      <c r="G87" s="52" t="n"/>
      <c r="H87" s="52" t="inlineStr"/>
    </row>
    <row r="88" s="41">
      <c r="A88" s="52" t="n">
        <v>75</v>
      </c>
      <c r="B88" s="52" t="inlineStr">
        <is>
          <t>32024L3101.md</t>
        </is>
      </c>
      <c r="C88" s="52" t="inlineStr">
        <is>
          <t>Legislation</t>
        </is>
      </c>
      <c r="D88" s="52" t="inlineStr">
        <is>
          <t>EU</t>
        </is>
      </c>
      <c r="E88" s="52" t="inlineStr">
        <is>
          <t>3101f376-52b6-46ca-987f-5eeb77a44122</t>
        </is>
      </c>
      <c r="F88" s="52" t="n"/>
      <c r="G88" s="52" t="n"/>
      <c r="H88" s="52" t="inlineStr"/>
    </row>
    <row r="89" s="41">
      <c r="A89" s="52" t="n">
        <v>76</v>
      </c>
      <c r="B89" s="52" t="inlineStr">
        <is>
          <t>competition-case-law-digest-5th--p10.md</t>
        </is>
      </c>
      <c r="C89" s="52" t="inlineStr">
        <is>
          <t>Book (Livre)</t>
        </is>
      </c>
      <c r="D89" s="52" t="n"/>
      <c r="E89" s="52" t="inlineStr">
        <is>
          <t>65e060cb-bdeb-413d-b4e8-b9ffe0ed3995</t>
        </is>
      </c>
      <c r="F89" s="52" t="n"/>
      <c r="G89" s="52" t="n"/>
      <c r="H89" s="52" t="inlineStr"/>
    </row>
    <row r="90" s="41">
      <c r="A90" s="52" t="n">
        <v>77</v>
      </c>
      <c r="B90" s="52" t="inlineStr">
        <is>
          <t>AT.39793-DEC_029956AD-063E-4990-A487-E6815902F29D_-ATT489.md</t>
        </is>
      </c>
      <c r="C90" s="52" t="n"/>
      <c r="D90" s="52" t="inlineStr">
        <is>
          <t>EU</t>
        </is>
      </c>
      <c r="E90" s="52" t="inlineStr">
        <is>
          <t>23f85cf2-ba1b-4daf-b6bf-fd4ebdc0fc24</t>
        </is>
      </c>
      <c r="F90" s="52" t="n"/>
      <c r="G90" s="52" t="n"/>
      <c r="H90" s="52" t="inlineStr"/>
    </row>
    <row r="91" s="41">
      <c r="A91" s="52" t="n">
        <v>78</v>
      </c>
      <c r="B91" s="52" t="inlineStr">
        <is>
          <t>62014CJ0033.md</t>
        </is>
      </c>
      <c r="C91" s="52" t="inlineStr">
        <is>
          <t>Court Decision</t>
        </is>
      </c>
      <c r="D91" s="52" t="inlineStr">
        <is>
          <t>EU</t>
        </is>
      </c>
      <c r="E91" s="52" t="inlineStr">
        <is>
          <t>416f824d-8129-498b-86b2-330a30a0f664</t>
        </is>
      </c>
      <c r="F91" s="52" t="n"/>
      <c r="G91" s="52" t="n"/>
      <c r="H91" s="52" t="inlineStr"/>
    </row>
    <row r="92" s="41">
      <c r="A92" s="52" t="n">
        <v>79</v>
      </c>
      <c r="B92" s="52" t="inlineStr">
        <is>
          <t>62020CC0376.md</t>
        </is>
      </c>
      <c r="C92" s="52" t="inlineStr">
        <is>
          <t>Court Decision</t>
        </is>
      </c>
      <c r="D92" s="52" t="inlineStr">
        <is>
          <t>EU</t>
        </is>
      </c>
      <c r="E92" s="52" t="inlineStr">
        <is>
          <t>cebd4962-06e0-43a6-ac13-b9cc9b05c9e7</t>
        </is>
      </c>
      <c r="F92" s="52" t="n"/>
      <c r="G92" s="52" t="n"/>
      <c r="H92" s="52" t="inlineStr"/>
    </row>
    <row r="93" s="41">
      <c r="A93" s="52" t="n">
        <v>80</v>
      </c>
      <c r="B93" s="52" t="inlineStr">
        <is>
          <t>32019R2175.md</t>
        </is>
      </c>
      <c r="C93" s="52" t="inlineStr">
        <is>
          <t>Legislation</t>
        </is>
      </c>
      <c r="D93" s="52" t="inlineStr">
        <is>
          <t>EU</t>
        </is>
      </c>
      <c r="E93" s="52" t="inlineStr">
        <is>
          <t>c31e89e5-5dcc-4313-b8ac-62706d7adbc8</t>
        </is>
      </c>
      <c r="F93" s="52" t="n"/>
      <c r="G93" s="52" t="n"/>
      <c r="H93" s="52" t="inlineStr"/>
    </row>
    <row r="94" s="41">
      <c r="A94" s="52" t="n">
        <v>81</v>
      </c>
      <c r="B94" s="52" t="inlineStr">
        <is>
          <t>32020Q1113(01).md</t>
        </is>
      </c>
      <c r="C94" s="52" t="inlineStr">
        <is>
          <t>Legislation</t>
        </is>
      </c>
      <c r="D94" s="52" t="inlineStr">
        <is>
          <t>EU</t>
        </is>
      </c>
      <c r="E94" s="52" t="inlineStr">
        <is>
          <t>915950a6-17d1-4005-9100-aa942bbc9fe3</t>
        </is>
      </c>
      <c r="F94" s="52" t="n"/>
      <c r="G94" s="52" t="n"/>
      <c r="H94" s="52" t="inlineStr"/>
    </row>
    <row r="95" s="41">
      <c r="A95" s="52" t="n">
        <v>82</v>
      </c>
      <c r="B95" s="52" t="inlineStr">
        <is>
          <t>62019CJ0563.md</t>
        </is>
      </c>
      <c r="C95" s="52" t="inlineStr">
        <is>
          <t>Court Decision</t>
        </is>
      </c>
      <c r="D95" s="52" t="inlineStr">
        <is>
          <t>EU</t>
        </is>
      </c>
      <c r="E95" s="52" t="inlineStr">
        <is>
          <t>e913f312-653c-49c1-b77a-4a633a3b4bfc</t>
        </is>
      </c>
      <c r="F95" s="52" t="n"/>
      <c r="G95" s="52" t="n"/>
      <c r="H95" s="52" t="inlineStr"/>
    </row>
    <row r="96" s="41">
      <c r="A96" s="52" t="n">
        <v>83</v>
      </c>
      <c r="B96" s="52" t="inlineStr">
        <is>
          <t>62011TJ0479.md</t>
        </is>
      </c>
      <c r="C96" s="52" t="inlineStr">
        <is>
          <t>Court Decision</t>
        </is>
      </c>
      <c r="D96" s="52" t="inlineStr">
        <is>
          <t>EU</t>
        </is>
      </c>
      <c r="E96" s="52" t="inlineStr">
        <is>
          <t>90b1484a-0221-4975-aa87-a00b163ae751</t>
        </is>
      </c>
      <c r="F96" s="52" t="n"/>
      <c r="G96" s="52" t="n"/>
      <c r="H96" s="52" t="inlineStr"/>
    </row>
    <row r="97" s="41">
      <c r="A97" s="52" t="n">
        <v>84</v>
      </c>
      <c r="B97" s="52" t="inlineStr">
        <is>
          <t>32023R2854.md</t>
        </is>
      </c>
      <c r="C97" s="52" t="inlineStr">
        <is>
          <t>Legislation</t>
        </is>
      </c>
      <c r="D97" s="52" t="inlineStr">
        <is>
          <t>EU</t>
        </is>
      </c>
      <c r="E97" s="52" t="inlineStr">
        <is>
          <t>2458f7d0-ad1b-49e0-9d6a-a57dc36ddd3e</t>
        </is>
      </c>
      <c r="F97" s="52" t="n"/>
      <c r="G97" s="52" t="n"/>
      <c r="H97" s="52" t="inlineStr"/>
    </row>
    <row r="98" s="41">
      <c r="A98" s="52" t="n">
        <v>85</v>
      </c>
      <c r="B98" s="52" t="inlineStr">
        <is>
          <t>62018CJ0595.md</t>
        </is>
      </c>
      <c r="C98" s="52" t="inlineStr">
        <is>
          <t>Court Decision</t>
        </is>
      </c>
      <c r="D98" s="52" t="inlineStr">
        <is>
          <t>EU</t>
        </is>
      </c>
      <c r="E98" s="52" t="inlineStr">
        <is>
          <t>9cef1570-4dfe-4218-9740-d8f6d239921b</t>
        </is>
      </c>
      <c r="F98" s="52" t="n"/>
      <c r="G98" s="52" t="n"/>
      <c r="H98" s="52" t="inlineStr"/>
    </row>
    <row r="99" s="41">
      <c r="A99" s="52" t="n">
        <v>86</v>
      </c>
      <c r="B99" s="52" t="inlineStr">
        <is>
          <t>62021CJ0042.md</t>
        </is>
      </c>
      <c r="C99" s="52" t="inlineStr">
        <is>
          <t>Court Decision</t>
        </is>
      </c>
      <c r="D99" s="52" t="inlineStr">
        <is>
          <t>EU</t>
        </is>
      </c>
      <c r="E99" s="52" t="inlineStr">
        <is>
          <t>80e27c6b-81ff-4712-8f72-2122091ffb8f</t>
        </is>
      </c>
      <c r="F99" s="52" t="n"/>
      <c r="G99" s="52" t="n"/>
      <c r="H99" s="52" t="inlineStr"/>
    </row>
    <row r="100" s="41">
      <c r="A100" s="52" t="n">
        <v>87</v>
      </c>
      <c r="B100" s="52" t="inlineStr">
        <is>
          <t>62018CJ0312.md</t>
        </is>
      </c>
      <c r="C100" s="52" t="inlineStr">
        <is>
          <t>Court Decision</t>
        </is>
      </c>
      <c r="D100" s="52" t="inlineStr">
        <is>
          <t>EU</t>
        </is>
      </c>
      <c r="E100" s="52" t="inlineStr">
        <is>
          <t>08dfceb2-3d7f-4ffa-9cfb-5b557d7cae14</t>
        </is>
      </c>
      <c r="F100" s="52" t="n"/>
      <c r="G100" s="52" t="n"/>
      <c r="H100" s="52" t="inlineStr"/>
    </row>
    <row r="101" s="41">
      <c r="A101" s="52" t="n">
        <v>88</v>
      </c>
      <c r="B101" s="52" t="inlineStr">
        <is>
          <t>62017CJ0114.md</t>
        </is>
      </c>
      <c r="C101" s="52" t="inlineStr">
        <is>
          <t>Court Decision</t>
        </is>
      </c>
      <c r="D101" s="52" t="inlineStr">
        <is>
          <t>EU</t>
        </is>
      </c>
      <c r="E101" s="52" t="inlineStr">
        <is>
          <t>3a7152cd-6afa-4e4f-8c45-eaaf4bc248a6</t>
        </is>
      </c>
      <c r="F101" s="52" t="n"/>
      <c r="G101" s="52" t="n"/>
      <c r="H101" s="52" t="inlineStr"/>
    </row>
    <row r="102" s="41">
      <c r="A102" s="52" t="n">
        <v>89</v>
      </c>
      <c r="B102" s="52" t="inlineStr">
        <is>
          <t>62016CJ0128.md</t>
        </is>
      </c>
      <c r="C102" s="52" t="inlineStr">
        <is>
          <t>Court Decision</t>
        </is>
      </c>
      <c r="D102" s="52" t="inlineStr">
        <is>
          <t>EU</t>
        </is>
      </c>
      <c r="E102" s="52" t="inlineStr">
        <is>
          <t>59490de3-8af2-4a5c-aa9b-14f059c7301f</t>
        </is>
      </c>
      <c r="F102" s="52" t="n"/>
      <c r="G102" s="52" t="n"/>
      <c r="H102" s="52" t="inlineStr"/>
    </row>
    <row r="103" s="41">
      <c r="A103" s="52" t="n">
        <v>90</v>
      </c>
      <c r="B103" s="52" t="inlineStr">
        <is>
          <t>62024CO0089(01).md</t>
        </is>
      </c>
      <c r="C103" s="52" t="inlineStr">
        <is>
          <t>Court Decision</t>
        </is>
      </c>
      <c r="D103" s="52" t="inlineStr">
        <is>
          <t>EU</t>
        </is>
      </c>
      <c r="E103" s="52" t="inlineStr">
        <is>
          <t>c937b817-5c56-4e36-8458-4a937aa0c4a4</t>
        </is>
      </c>
      <c r="F103" s="52" t="n"/>
      <c r="G103" s="52" t="n"/>
      <c r="H103" s="52" t="inlineStr"/>
    </row>
    <row r="104" s="41">
      <c r="A104" s="52" t="n">
        <v>91</v>
      </c>
      <c r="B104" s="52" t="inlineStr">
        <is>
          <t>105103.md</t>
        </is>
      </c>
      <c r="C104" s="52" t="inlineStr">
        <is>
          <t>Bulletin article</t>
        </is>
      </c>
      <c r="D104" s="52" t="n"/>
      <c r="E104" s="52" t="inlineStr">
        <is>
          <t>f10e4cc4-d036-4949-b9be-86b79b54fa7d</t>
        </is>
      </c>
      <c r="F104" s="52" t="n"/>
      <c r="G104" s="52" t="n"/>
      <c r="H104" s="52" t="inlineStr"/>
    </row>
    <row r="105" s="41">
      <c r="A105" s="52" t="n">
        <v>92</v>
      </c>
      <c r="B105" s="52" t="inlineStr">
        <is>
          <t>62020CC0682.md</t>
        </is>
      </c>
      <c r="C105" s="52" t="inlineStr">
        <is>
          <t>Article (Review)</t>
        </is>
      </c>
      <c r="D105" s="52" t="inlineStr">
        <is>
          <t>EU</t>
        </is>
      </c>
      <c r="E105" s="52" t="inlineStr">
        <is>
          <t>f6fc977b-8c8d-467b-a5f7-04beb77f1b93</t>
        </is>
      </c>
      <c r="F105" s="52" t="n"/>
      <c r="G105" s="52" t="n"/>
      <c r="H105" s="52" t="inlineStr"/>
    </row>
    <row r="106" s="41">
      <c r="A106" s="52" t="n">
        <v>93</v>
      </c>
      <c r="B106" s="52" t="inlineStr">
        <is>
          <t>m11956.md</t>
        </is>
      </c>
      <c r="C106" s="52" t="inlineStr">
        <is>
          <t>Regulatory Decision</t>
        </is>
      </c>
      <c r="D106" s="52" t="inlineStr">
        <is>
          <t>EU</t>
        </is>
      </c>
      <c r="E106" s="52" t="inlineStr">
        <is>
          <t>92146ffc-5245-4f70-87ce-731b414568b3</t>
        </is>
      </c>
      <c r="F106" s="52" t="n"/>
      <c r="G106" s="52" t="n"/>
      <c r="H106" s="52" t="inlineStr"/>
    </row>
    <row r="107" s="41">
      <c r="A107" s="52" t="n">
        <v>94</v>
      </c>
      <c r="B107" s="52" t="inlineStr">
        <is>
          <t>62022CJ0381.md</t>
        </is>
      </c>
      <c r="C107" s="52" t="inlineStr">
        <is>
          <t>Court Decision</t>
        </is>
      </c>
      <c r="D107" s="52" t="inlineStr">
        <is>
          <t>EU</t>
        </is>
      </c>
      <c r="E107" s="52" t="inlineStr">
        <is>
          <t>71722674-1979-43b0-b9fb-45efc66190fe</t>
        </is>
      </c>
      <c r="F107" s="52" t="n"/>
      <c r="G107" s="52" t="n"/>
      <c r="H107" s="52" t="inlineStr"/>
    </row>
    <row r="108" s="41">
      <c r="A108" s="52" t="n">
        <v>95</v>
      </c>
      <c r="B108" s="52" t="inlineStr">
        <is>
          <t>62021CC0127.md</t>
        </is>
      </c>
      <c r="C108" s="52" t="inlineStr">
        <is>
          <t>Bulletin article</t>
        </is>
      </c>
      <c r="D108" s="52" t="inlineStr">
        <is>
          <t>EU</t>
        </is>
      </c>
      <c r="E108" s="52" t="inlineStr">
        <is>
          <t>dbfdd0df-0a72-4d2b-ba4d-e1e7ead79ba5</t>
        </is>
      </c>
      <c r="F108" s="52" t="n"/>
      <c r="G108" s="52" t="n"/>
      <c r="H108" s="52" t="inlineStr"/>
    </row>
    <row r="109" s="41">
      <c r="A109" s="52" t="n">
        <v>96</v>
      </c>
      <c r="B109" s="52" t="inlineStr">
        <is>
          <t>62019CJ0466.md</t>
        </is>
      </c>
      <c r="C109" s="52" t="inlineStr">
        <is>
          <t>Court Decision</t>
        </is>
      </c>
      <c r="D109" s="52" t="inlineStr">
        <is>
          <t>EU</t>
        </is>
      </c>
      <c r="E109" s="52" t="inlineStr">
        <is>
          <t>d689bd0f-f033-4a3f-b10f-6ff4843115fe</t>
        </is>
      </c>
      <c r="F109" s="52" t="n"/>
      <c r="G109" s="52" t="n"/>
      <c r="H109" s="52" t="inlineStr"/>
    </row>
    <row r="110" s="41">
      <c r="A110" s="52" t="n">
        <v>97</v>
      </c>
      <c r="B110" s="52" t="inlineStr">
        <is>
          <t>62022CJ0588.md</t>
        </is>
      </c>
      <c r="C110" s="52" t="inlineStr">
        <is>
          <t>Court Decision</t>
        </is>
      </c>
      <c r="D110" s="52" t="inlineStr">
        <is>
          <t>EU</t>
        </is>
      </c>
      <c r="E110" s="52" t="inlineStr">
        <is>
          <t>0979c7ef-861a-452d-8976-0e0c34984b26</t>
        </is>
      </c>
      <c r="F110" s="52" t="n"/>
      <c r="G110" s="52" t="n"/>
      <c r="H110" s="52" t="inlineStr"/>
    </row>
    <row r="111" s="41">
      <c r="A111" s="52" t="n">
        <v>98</v>
      </c>
      <c r="B111" s="52" t="inlineStr">
        <is>
          <t>competition-inspections-25-jurisdictions--23_sweden.md</t>
        </is>
      </c>
      <c r="C111" s="52" t="inlineStr">
        <is>
          <t>Article (Review)</t>
        </is>
      </c>
      <c r="D111" s="52" t="n"/>
      <c r="E111" s="52" t="inlineStr">
        <is>
          <t>dcf6ff3a-fc96-4095-bbc3-ecdd4afa4808</t>
        </is>
      </c>
      <c r="F111" s="52" t="n"/>
      <c r="G111" s="52" t="n"/>
      <c r="H111" s="52" t="inlineStr"/>
    </row>
    <row r="112" s="41">
      <c r="A112" s="52" t="n">
        <v>99</v>
      </c>
      <c r="B112" s="52" t="inlineStr">
        <is>
          <t>32023R2411.md</t>
        </is>
      </c>
      <c r="C112" s="52" t="inlineStr">
        <is>
          <t>Legislation</t>
        </is>
      </c>
      <c r="D112" s="52" t="inlineStr">
        <is>
          <t>EU</t>
        </is>
      </c>
      <c r="E112" s="52" t="inlineStr">
        <is>
          <t>2de8efdb-fc41-4f69-a90f-c57d9dd43259</t>
        </is>
      </c>
      <c r="F112" s="52" t="n"/>
      <c r="G112" s="52" t="n"/>
      <c r="H112" s="52" t="inlineStr"/>
    </row>
    <row r="113" s="41">
      <c r="A113" s="52" t="n">
        <v>100</v>
      </c>
      <c r="B113" s="52" t="inlineStr">
        <is>
          <t>62023CJ0469.md</t>
        </is>
      </c>
      <c r="C113" s="52" t="inlineStr">
        <is>
          <t>Court Decision</t>
        </is>
      </c>
      <c r="D113" s="52" t="inlineStr">
        <is>
          <t>EU</t>
        </is>
      </c>
      <c r="E113" s="52" t="inlineStr">
        <is>
          <t>a84d24e9-3bea-4652-8dc3-644d6a4adcea</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The European Commission's obligation to protect personal data during competition inspections arises because, although antitrust, merger control and State aid investigations target undertakings or Member States rather than natural persons, personal data within the meaning of the EU institutions' data protection regime are inevitably processed in the course of such investigations.</t>
        </is>
      </c>
      <c r="C117" s="23" t="inlineStr">
        <is>
          <t>[2] 32018D1927.md</t>
        </is>
      </c>
      <c r="D117" s="23" t="n"/>
      <c r="E117" s="23" t="inlineStr">
        <is>
          <t>[32018D1927.md l.15-16] (2) Commission investigations and enforcement activities in the field of competition target undertakings or Member States which are subject to the competition rules of the Treaty, and not natural persons as such.
Nevertheless, during competition investigations, personal data within the meaning of Article 3(1) of Regulation (EU) 2018/1725 of the European Parliament and of the Council ( 2 ) are inevitably processed within the meaning of Article 3(3) of Regulation (EU) 2018/1725.</t>
        </is>
      </c>
      <c r="F117" s="23" t="n"/>
      <c r="G117" s="40" t="n"/>
      <c r="H117" s="40" t="n"/>
    </row>
    <row r="118" ht="15.75" customHeight="1" s="41">
      <c r="A118" s="23" t="n">
        <v>4</v>
      </c>
      <c r="B118" s="23" t="inlineStr">
        <is>
          <t>Any such restriction is conditioned on the Commission recording and registering the reasons for it, including an assessment of necessity and proportionality, with the record made available to the European Data Protection Supervisor on request.</t>
        </is>
      </c>
      <c r="C118" s="23" t="inlineStr">
        <is>
          <t>[2] 32018D1927.md
[55] 32018D1961.md</t>
        </is>
      </c>
      <c r="D118" s="23" t="n"/>
      <c r="E118" s="23" t="inlineStr">
        <is>
          <t xml:space="preserve">[32018D1927.md l.89-92] Article 6 Recording and registering of restrictions 1. The Commission shall record the reasons for any restriction applied pursuant to this Decision, including an assessment of the necessity and proportionality of the restriction.
2. To that end, the record shall state how the exercise of the right would jeopardise the purpose of the Commission's investigation and enforcement activities, or of restrictions applied pursuant to Article 2(2) or (3), or would adversely affect the rights and freedoms of other data subjects.
3. The record and, where applicable, the documents containing underlying factual and legal elements shall be registered.
They shall be made available to the European Data Protection Supervisor on request.
[32018D1961.md l.106-109] Article 6 Recording and registering of restrictions The Commission shall record the reasons for any restriction applied pursuant to this Decision, including an assessment of the necessity and proportionality of the restriction, taking into account the relevant elements in Article 25(2) of Regulation (EU) 2018/1725.
To that end, the record shall state how the exercise of the right would jeopardise the purpose of the Commissions' activities under Articles 118 and 119(2) of Regulation (EU, Euratom) 2018/1046, or of restrictions applied pursuant to Article 2(2) or (3), or would adversely affect the rights and freedoms of other data subjects.
The record and, where applicable, the documents containing the underlying factual and legal elements shall be registered.
They shall be made available to </t>
        </is>
      </c>
      <c r="F118" s="23" t="n"/>
      <c r="G118" s="40" t="n"/>
      <c r="H118" s="40" t="n"/>
    </row>
    <row r="119" ht="15.75" customHeight="1" s="41">
      <c r="A119" s="23" t="n">
        <v>5</v>
      </c>
      <c r="B119" s="23" t="inlineStr">
        <is>
          <t>The Commission's Data Protection Officer must be informed without undue delay whenever a data subject's rights are restricted and may independently request a review of that restriction, providing an internal check on the Commission's use of these protective powers.</t>
        </is>
      </c>
      <c r="C119" s="23" t="inlineStr">
        <is>
          <t>[55] 32018D1961.md
[2] 32018D1927.md</t>
        </is>
      </c>
      <c r="D119" s="23" t="n"/>
      <c r="E119" s="23" t="inlineStr">
        <is>
          <t>[32018D1961.md l.115-118] Article 8 Review by the Data Protection Officer of the European Commission The Data Protection Officer of the European Commission shall be informed, without undue delay, whenever data subjects' rights are restricted in accordance with this Decision.
Upon request, the Data Protection Officer shall be provided with access to the record and any documents containing underlying factual and legal elements.
The Data Protection Officer may request a review of the restrictions.
The Data Protection Officer shall be informed in writing of the outcome of the requested review.
[32018D1927.md l.97-100] Article 8 Review by the Data Protection Officer 1. The Data Protection Officer shall be informed, without undue delay, whenever data subjects' rights are restricted in accordance with this Decision.
Upon request, the Data Protection Officer shall be provided with access to the record and any documents containing underlying factual and legal elements.
2. The Data Protection Officer may request a review of the restriction.
The Data Protection Officer shall be informed about the outcome of the requested review.</t>
        </is>
      </c>
      <c r="F119" s="23" t="n"/>
      <c r="G119" s="40" t="n"/>
      <c r="H119" s="40" t="n"/>
    </row>
    <row r="120" ht="15.75" customHeight="1" s="41">
      <c r="A120" s="23" t="n">
        <v>6</v>
      </c>
      <c r="B120" s="23" t="inlineStr">
        <is>
          <t>The General Court has confirmed that the exercise of the Commission's inspection powers under Article 20(4) of Regulation No 1/2003 vis-à-vis an undertaking constitutes a clear interference with that undertaking's right to respect for its privacy, private premises and correspondence, which is the trigger for personal-data protection obligations arising during an inspection.</t>
        </is>
      </c>
      <c r="C120" s="23" t="inlineStr">
        <is>
          <t>[3] 62020TO0451(01).md
[30] judicial-review-competition-cases--6_european_union_-_judicial_review_of_inspection_decisions.md</t>
        </is>
      </c>
      <c r="D120" s="23" t="n"/>
      <c r="E120" s="23" t="inlineStr">
        <is>
          <t>[62020TO0451(01).md l.103-104] 57 With respect to the present case, the Court of Justice has already held that the exercise of the powers of inspection under Article 20(4) of Regulation No 1/2003 vis-à-vis an undertaking constitutes a clear interference with the latter’s right to respect for its privacy, private premises and correspondence (judgment of 6 September 2013, Deutsche Bahn and Others v Commission , T‑289/11, T‑290/11 and T‑521/11, EU:T:2013:404, paragraph 65).
That reasoning appears to be transposable to the present case in the context of the powers exercised under Article 18(3) of Regulation No 1/2003.
[judicial-review-competition-cases--6_european_union_-_judicial_review_of_inspection_decisions.md l.42-48] Since the Union is governed by the rule of law,3 such decisions are subject to
judicial review by a court of competent jurisdiction, notably the General Court
of the European Union,4 at first instance.5 The objective necessity for such
judicial oversight is confirmed by the fact that the exercise of the powers that
article 20(4) of Regulation 1/2003 confers on the Commission has been held to
constitute a clear interference with the right to respect for the sphere of private
activities, private premises and correspondence.6</t>
        </is>
      </c>
      <c r="F120" s="23" t="n"/>
      <c r="G120" s="40" t="n"/>
      <c r="H120" s="40" t="n"/>
    </row>
    <row r="121" ht="15.75" customHeight="1" s="41">
      <c r="A121" s="23" t="n">
        <v>7</v>
      </c>
      <c r="B121" s="23" t="inlineStr">
        <is>
          <t>As to the GDPR question, in the Facebook Ireland interim-measures proceedings the General Court recorded the European Data Protection Supervisor's position that the GDPR (Regulation (EU) 2016/679) does not itself prevent the submission of information containing personal data to EU institutions, whether in response to a legal obligation or voluntarily, meaning the GDPR does not act as a shield against a Commission information request or inspection.</t>
        </is>
      </c>
      <c r="C121" s="23" t="inlineStr">
        <is>
          <t>[3] 62020TO0451(01).md</t>
        </is>
      </c>
      <c r="D121" s="23" t="n"/>
      <c r="E121" s="23" t="inlineStr">
        <is>
          <t>[62020TO0451(01).md l.116-119] 65 In that context, the Commission submits that Article 5(1)(a) of Regulation 2018/1725 provides that the EU institutions may lawfully process personal data where it ‘is necessary for the performance of a task carried out in the public interest or in the exercise of official authority vested in the Union institution or body’.
The Commission also refers to the letter from the European Data Protection Supervisor (EDPS) of 22 October 2018 (WW/OL/sn/D (2018) 2422 C 2018-0632), in which it is stated that, although ‘Commission investigations and enforcement activities in the competition field target undertakings or Member States which are subject to the competition rules of the Treaty, and not natural persons as such’, ‘during competition investigations inevitably also personal data are being pr</t>
        </is>
      </c>
      <c r="F121" s="23" t="n"/>
      <c r="G121" s="40" t="n"/>
      <c r="H121" s="40" t="n"/>
    </row>
    <row r="122" ht="15.75" customHeight="1" s="41">
      <c r="A122" s="23" t="n">
        <v>8</v>
      </c>
      <c r="B122" s="23" t="inlineStr">
        <is>
          <t>Rather than the GDPR applying directly, the Commission itself is instead bound by Regulation (EU) 2018/1725 and by Regulation No 1/2003, and the General Court held that the Commission must respect the limits which both of those regulations impose on its powers, even while the GDPR does not bar the underlying transmission of personal data to it.</t>
        </is>
      </c>
      <c r="C122" s="23" t="inlineStr">
        <is>
          <t>[3] 62020TO0451(01).md</t>
        </is>
      </c>
      <c r="D122" s="23" t="n"/>
      <c r="E122" s="23" t="inlineStr">
        <is>
          <t>[62020TO0451(01).md l.119-120] The Commission also submits that, according to the EDPS ‘the GDPR does not prevent the submission of information containing personal data to EU institutions, either in response to a legal obligation to do so or on a voluntary basis’.
66 In that regard, while it is true that, according to the EDPS’s letter, the GDPR does not prevent the transmission of information containing personal data to the EU institutions, the fact remains that the Commission must respect the limits to its powers imposed on it by both Regulation No 1/2003 and Regulation 2018/1725.</t>
        </is>
      </c>
      <c r="F122" s="23" t="n"/>
      <c r="G122" s="40" t="n"/>
      <c r="H122" s="40" t="n"/>
    </row>
    <row r="123" ht="15.75" customHeight="1" s="41">
      <c r="A123" s="23" t="n">
        <v>9</v>
      </c>
      <c r="B123" s="23" t="inlineStr">
        <is>
          <t>Documents and data containing sensitive personal data, such as material revealing racial or ethnic origin, political opinions, religious beliefs, or health information, are subject to a particularly rigorous examination requirement, since both Regulation 2018/1725 and the GDPR grant a higher level of protection to such special categories of data.</t>
        </is>
      </c>
      <c r="C123" s="23" t="inlineStr">
        <is>
          <t>[3] 62020TO0451(01).md</t>
        </is>
      </c>
      <c r="D123" s="23" t="n"/>
      <c r="E123" s="23" t="inlineStr">
        <is>
          <t>[62020TO0451(01).md l.112-115] 62 That conclusion is all the more compelling in respect of documents containing personal data, in particular those containing data which may be characterised as sensitive, the processing of which is a particularly delicate matter as regards the protection of privacy (‘sensitive personal data’).
The applicant cites, for example, documents containing private correspondence of employees concerning medical and autopsy reports and correspondence of employees at times of great personal distress.
63 In that regard, it should be noted that, in view of the extremely personal and sensitive nature of medical data, the treatment of that data requires a particularly rigorous examination (judgment of 12 September 2019, XI v Commission , T‑528/18, not published, EU:T:2019:594, paragraph 67).
64 It shoul</t>
        </is>
      </c>
      <c r="F123" s="23" t="n"/>
      <c r="G123" s="40" t="n"/>
      <c r="H123" s="40" t="n"/>
    </row>
    <row r="124" ht="15.75" customHeight="1" s="41">
      <c r="A124" s="23" t="n">
        <v>10</v>
      </c>
      <c r="B124" s="23" t="inlineStr">
        <is>
          <t>In practical dawn-raid procedure, an inspected company may ask Commission inspectors not to seize personal or purely private data belonging to its employees, or to grant such data adequate protection, and the Commission's refusal to do so is itself a challengeable act, provided the protection request was made before the inspectors seized the data.</t>
        </is>
      </c>
      <c r="C124" s="23" t="inlineStr">
        <is>
          <t>[15] competition-inspections-25-jurisdictions--7_european_union.md</t>
        </is>
      </c>
      <c r="D124" s="23" t="n"/>
      <c r="E124" s="23" t="inlineStr">
        <is>
          <t>[competition-inspections-25-jurisdictions--7_european_union.md l.653-659] Data and documents may contain personal information and purely private data of
employees. The General Court has ruled that companies may ask inspectors not
to seize such data or to grant adequate protection. Refusal of the Commission
to protect personal data is a challengeable act, but only if the request of the
company to have those data protected as such has been made before inspectors
seize the data. In essence, introducing judicial action therefore requires lodging
an application before the General Court while the inspection is still ongoing.22</t>
        </is>
      </c>
      <c r="F124" s="23" t="n"/>
      <c r="G124" s="40" t="n"/>
      <c r="H124" s="40" t="n"/>
    </row>
    <row r="125" ht="15.75" customHeight="1" s="41">
      <c r="A125" s="23" t="n">
        <v>11</v>
      </c>
      <c r="B125" s="23" t="inlineStr">
        <is>
          <t>On the sealing question, EU practice does confirm that documents can be sealed on a company's request, but this mechanism is documented specifically for materials over which a serious, good-faith dispute about legal privilege has been raised before inspectors examine them, rather than as a generalized right to seal any document on demand: the company must first evidence that the document may be legally privileged, after which inspectors place it in a sealed envelope pending resolution.</t>
        </is>
      </c>
      <c r="C125" s="23" t="inlineStr">
        <is>
          <t>[15] competition-inspections-25-jurisdictions--7_european_union.md</t>
        </is>
      </c>
      <c r="D125" s="23" t="n"/>
      <c r="E125" s="23" t="inlineStr">
        <is>
          <t>[competition-inspections-25-jurisdictions--7_european_union.md l.640-649] 55.
In practice, where a document is likely to be legally privileged, the company should
immediately raise the point with inspectors before they examine it. The inspected
company has to evidence that the document or information should be granted legal
protection. In cases where inspectors maintain their intention to review these types
of documents, the inspected company may ask for a sealed envelope in which the
documents will be kept safe until further actions are introduced. This procedure
will only be implemented where the company has succeeded in raising serious
doubts as to the potentially legally privileged nature of the documents concerned.</t>
        </is>
      </c>
      <c r="F125" s="23" t="n"/>
      <c r="G125" s="40" t="n"/>
      <c r="H125" s="40" t="n"/>
    </row>
    <row r="126" ht="15.75" customHeight="1" s="41">
      <c r="A126" s="40" t="n"/>
      <c r="B126" s="40" t="n"/>
      <c r="C126" s="40" t="n"/>
      <c r="D126" s="40" t="n"/>
      <c r="E126" s="40" t="n"/>
      <c r="F126" s="40" t="n"/>
      <c r="G126" s="40" t="n"/>
      <c r="H126" s="40" t="n"/>
    </row>
    <row r="127" ht="15.75" customHeight="1" s="41">
      <c r="A127" s="44" t="inlineStr">
        <is>
          <t>Final expert verdict</t>
        </is>
      </c>
    </row>
    <row r="128" ht="15.75" customHeight="1" s="41">
      <c r="A128" s="28" t="inlineStr">
        <is>
          <t>Reviewer</t>
        </is>
      </c>
      <c r="B128" s="23" t="n"/>
      <c r="C128" s="28" t="n"/>
      <c r="D128" s="29" t="n"/>
      <c r="E128" s="23" t="n"/>
      <c r="F128" s="23" t="n"/>
      <c r="G128" s="23" t="n"/>
      <c r="H128" s="23" t="n"/>
    </row>
    <row r="129" ht="15.75" customHeight="1" s="41">
      <c r="A129" s="28" t="inlineStr">
        <is>
          <t>Is the answer acceptable?</t>
        </is>
      </c>
      <c r="B129" s="30" t="n"/>
      <c r="C129" s="28" t="n"/>
      <c r="D129" s="29" t="n"/>
      <c r="E129" s="23" t="n"/>
      <c r="F129" s="23" t="n"/>
      <c r="G129" s="23" t="n"/>
      <c r="H129" s="23" t="n"/>
    </row>
    <row r="130" ht="15.75" customHeight="1" s="41">
      <c r="A130" s="28" t="inlineStr">
        <is>
          <t>Overall comment / required fixes</t>
        </is>
      </c>
      <c r="B130" s="23" t="n"/>
      <c r="C130" s="45" t="n"/>
      <c r="D130" s="45" t="n"/>
      <c r="E130" s="45" t="n"/>
      <c r="F130" s="45" t="n"/>
      <c r="G130" s="45" t="n"/>
      <c r="H130" s="46" t="n"/>
    </row>
    <row r="131" ht="15.75" customHeight="1" s="41">
      <c r="A131" s="28" t="inlineStr">
        <is>
          <t>Review completed?</t>
        </is>
      </c>
      <c r="B131" s="30" t="n"/>
      <c r="C131" s="28" t="n"/>
      <c r="D131" s="29" t="n"/>
      <c r="E131" s="23" t="n"/>
      <c r="F131" s="23" t="n"/>
      <c r="G131" s="23" t="n"/>
      <c r="H131" s="23" t="n"/>
    </row>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c r="A160" s="44" t="inlineStr">
        <is>
          <t>Original source notes</t>
        </is>
      </c>
      <c r="I160" s="40" t="n"/>
      <c r="J160" s="40" t="n"/>
    </row>
    <row r="161" ht="15.75" customHeight="1" s="41">
      <c r="A161" s="28" t="inlineStr">
        <is>
          <t>WAB notes</t>
        </is>
      </c>
      <c r="B161" s="23" t="inlineStr">
        <is>
          <t>Your document gave this as "the same personal data protection question for Commission inspections". This is our wording of it. One point to check: the GDPR (Regulation 2016/679) binds member states and companies; the Commission's own processing is governed by a different instrument, Regulation 2018/1725. We kept your question as posed, because "the GDPR is not the applicable instrument — Regulation 2018/1725 is" is exactly the answer we want to be able to test for. We had also drafted a wider version covering private correspondence, personal devices, employees' own data, and whether the sealed-envelope procedure reaches beyond privilege. Tell us if you want the wider version, or both.</t>
        </is>
      </c>
      <c r="C161" s="45" t="n"/>
      <c r="D161" s="45" t="n"/>
      <c r="E161" s="45" t="n"/>
      <c r="F161" s="45" t="n"/>
      <c r="G161" s="45" t="n"/>
      <c r="H161" s="46" t="n"/>
      <c r="I161" s="40" t="n"/>
      <c r="J161" s="40" t="n"/>
    </row>
    <row r="162" ht="15.75" customHeight="1" s="41">
      <c r="A162" s="28" t="inlineStr">
        <is>
          <t>Reviewer notes from question approval</t>
        </is>
      </c>
      <c r="B162" s="23" t="inlineStr">
        <is>
          <t>let's leave this wording and also include the wider version of the question too.</t>
        </is>
      </c>
      <c r="C162" s="47" t="n"/>
      <c r="D162" s="47" t="n"/>
      <c r="E162" s="47" t="n"/>
      <c r="F162" s="47" t="n"/>
      <c r="G162" s="47" t="n"/>
      <c r="H162" s="48" t="n"/>
      <c r="I162" s="40" t="n"/>
      <c r="J162" s="40" t="n"/>
    </row>
    <row r="163" ht="15.75" customHeight="1" s="41">
      <c r="A163" s="23" t="n"/>
      <c r="B163" s="49" t="n"/>
      <c r="C163" s="50" t="n"/>
      <c r="D163" s="50" t="n"/>
      <c r="E163" s="50" t="n"/>
      <c r="F163" s="50" t="n"/>
      <c r="G163" s="50" t="n"/>
      <c r="H163" s="51" t="n"/>
      <c r="I163" s="40" t="n"/>
      <c r="J163" s="40" t="n"/>
    </row>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J163"/>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Q17 — Expert Review</t>
        </is>
      </c>
    </row>
    <row r="2" hidden="1" s="41">
      <c r="A2" s="44" t="inlineStr">
        <is>
          <t>Question metadata</t>
        </is>
      </c>
    </row>
    <row r="3" hidden="1" s="41">
      <c r="A3" s="13" t="inlineStr">
        <is>
          <t>Question ID</t>
        </is>
      </c>
      <c r="B3" s="39" t="n">
        <v>17</v>
      </c>
    </row>
    <row r="4" hidden="1" s="41">
      <c r="A4" s="13" t="inlineStr">
        <is>
          <t>Topic</t>
        </is>
      </c>
      <c r="B4" s="40" t="inlineStr">
        <is>
          <t>Dawn raids — challenging a seizure</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What procedural avenues exist to challenge seizure of privileged documents after a European Commission inspection?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inspections-eu-law-2nd--3_chapter_1_-_inspections_upon_decision_regulation_1_2003_article_20_4.md</t>
        </is>
      </c>
      <c r="C14" s="23" t="inlineStr">
        <is>
          <t>Book (Livre)</t>
        </is>
      </c>
      <c r="D14" s="23" t="n"/>
      <c r="E14" s="23" t="inlineStr">
        <is>
          <t>d28b1d20-a2c6-425f-a401-498eab28d744</t>
        </is>
      </c>
      <c r="F14" s="23" t="n"/>
      <c r="G14" s="23" t="n"/>
      <c r="H14" s="23" t="inlineStr"/>
    </row>
    <row r="15">
      <c r="A15" s="23" t="n">
        <v>2</v>
      </c>
      <c r="B15" s="23" t="inlineStr">
        <is>
          <t>62018CJ0403.md</t>
        </is>
      </c>
      <c r="C15" s="23" t="inlineStr">
        <is>
          <t>Court Decision</t>
        </is>
      </c>
      <c r="D15" s="23" t="inlineStr">
        <is>
          <t>EU</t>
        </is>
      </c>
      <c r="E15" s="23" t="inlineStr">
        <is>
          <t>5b155c4b-0345-4afa-8dee-d56351895c8f</t>
        </is>
      </c>
      <c r="F15" s="23" t="n"/>
      <c r="G15" s="23" t="n"/>
      <c r="H15" s="23" t="inlineStr"/>
    </row>
    <row r="16">
      <c r="A16" s="23" t="n">
        <v>3</v>
      </c>
      <c r="B16" s="23" t="inlineStr">
        <is>
          <t>129921.md</t>
        </is>
      </c>
      <c r="C16" s="23" t="inlineStr">
        <is>
          <t>Article (Review)</t>
        </is>
      </c>
      <c r="D16" s="23" t="n"/>
      <c r="E16" s="23" t="inlineStr">
        <is>
          <t>f778c4be-e8ad-469a-a0b4-810de049896e</t>
        </is>
      </c>
      <c r="F16" s="23" t="n"/>
      <c r="G16" s="23" t="n"/>
      <c r="H16" s="23" t="inlineStr"/>
    </row>
    <row r="17">
      <c r="A17" s="23" t="n">
        <v>4</v>
      </c>
      <c r="B17" s="23" t="inlineStr">
        <is>
          <t>judicial-review-competition-cases--6_european_union_-_judicial_review_of_inspection_decisions.md</t>
        </is>
      </c>
      <c r="C17" s="23" t="inlineStr">
        <is>
          <t>Article (Review)</t>
        </is>
      </c>
      <c r="D17" s="23" t="n"/>
      <c r="E17" s="23" t="inlineStr">
        <is>
          <t>21a3ec2e-1c42-4307-ab97-e45011d6660a</t>
        </is>
      </c>
      <c r="F17" s="23" t="n"/>
      <c r="G17" s="23" t="n"/>
      <c r="H17" s="23" t="inlineStr">
        <is>
          <t>Cited in answer: YES</t>
        </is>
      </c>
    </row>
    <row r="18">
      <c r="A18" s="23" t="n">
        <v>5</v>
      </c>
      <c r="B18" s="23" t="inlineStr">
        <is>
          <t>62023TJ1097.md</t>
        </is>
      </c>
      <c r="C18" s="23" t="inlineStr">
        <is>
          <t>Court Decision</t>
        </is>
      </c>
      <c r="D18" s="23" t="inlineStr">
        <is>
          <t>EU</t>
        </is>
      </c>
      <c r="E18" s="23" t="inlineStr">
        <is>
          <t>17ecc724-b05f-4f42-9a28-b1282ba34327</t>
        </is>
      </c>
      <c r="F18" s="23" t="n"/>
      <c r="G18" s="23" t="n"/>
      <c r="H18" s="23" t="inlineStr"/>
    </row>
    <row r="19">
      <c r="A19" s="23" t="n">
        <v>6</v>
      </c>
      <c r="B19" s="23" t="inlineStr">
        <is>
          <t>competition-case-law-digest-5th--p10.md</t>
        </is>
      </c>
      <c r="C19" s="23" t="inlineStr">
        <is>
          <t>Book (Livre)</t>
        </is>
      </c>
      <c r="D19" s="23" t="n"/>
      <c r="E19" s="23" t="inlineStr">
        <is>
          <t>65e060cb-bdeb-413d-b4e8-b9ffe0ed3995</t>
        </is>
      </c>
      <c r="F19" s="23" t="n"/>
      <c r="G19" s="23" t="n"/>
      <c r="H19" s="23" t="inlineStr"/>
    </row>
    <row r="20">
      <c r="A20" s="23" t="n">
        <v>7</v>
      </c>
      <c r="B20" s="23" t="inlineStr">
        <is>
          <t>131688-30-inspections-the-general-court-of-the-european-union-upholds-the-european-comm.md</t>
        </is>
      </c>
      <c r="C20" s="23" t="inlineStr">
        <is>
          <t>Bulletin article</t>
        </is>
      </c>
      <c r="D20" s="23" t="n"/>
      <c r="E20" s="23" t="inlineStr">
        <is>
          <t>7de191c9-0221-423b-b670-ef1e047a0196</t>
        </is>
      </c>
      <c r="F20" s="23" t="n"/>
      <c r="G20" s="23" t="n"/>
      <c r="H20" s="23" t="inlineStr"/>
    </row>
    <row r="21">
      <c r="A21" s="23" t="n">
        <v>8</v>
      </c>
      <c r="B21" s="23" t="inlineStr">
        <is>
          <t>judicial-review-competition-cases--7_european_union_-_are_there_any_limits_to_unlimited_jurisdiction_judicial_review_of_commission_discretion_in_setting_fines_for_breaches_of_eu_competition_rules.md</t>
        </is>
      </c>
      <c r="C21" s="23" t="inlineStr">
        <is>
          <t>Article (Review)</t>
        </is>
      </c>
      <c r="D21" s="23" t="n"/>
      <c r="E21" s="23" t="inlineStr">
        <is>
          <t>db161723-dcab-4880-a411-5ede0c406c3a</t>
        </is>
      </c>
      <c r="F21" s="23" t="n"/>
      <c r="G21" s="23" t="n"/>
      <c r="H21" s="23" t="inlineStr"/>
    </row>
    <row r="22">
      <c r="A22" s="23" t="n">
        <v>9</v>
      </c>
      <c r="B22" s="23" t="inlineStr">
        <is>
          <t>62020CC0682.md</t>
        </is>
      </c>
      <c r="C22" s="23" t="inlineStr">
        <is>
          <t>Article (Review)</t>
        </is>
      </c>
      <c r="D22" s="23" t="inlineStr">
        <is>
          <t>EU</t>
        </is>
      </c>
      <c r="E22" s="23" t="inlineStr">
        <is>
          <t>f6fc977b-8c8d-467b-a5f7-04beb77f1b93</t>
        </is>
      </c>
      <c r="F22" s="23" t="n"/>
      <c r="G22" s="23" t="n"/>
      <c r="H22" s="23" t="inlineStr"/>
    </row>
    <row r="23" s="41">
      <c r="A23" s="40" t="n">
        <v>10</v>
      </c>
      <c r="B23" s="40" t="inlineStr">
        <is>
          <t>128250-35-dawn-raids-the-general-court-of-the-european-union-partially-upholds-the-lega.md</t>
        </is>
      </c>
      <c r="C23" s="40" t="inlineStr">
        <is>
          <t>Bulletin article</t>
        </is>
      </c>
      <c r="D23" s="40" t="n"/>
      <c r="E23" s="40" t="inlineStr">
        <is>
          <t>e34c0e6d-2771-4073-8165-4a73eff42d4c</t>
        </is>
      </c>
      <c r="F23" s="40" t="n"/>
      <c r="G23" s="40" t="n"/>
      <c r="H23" s="40" t="inlineStr"/>
    </row>
    <row r="24" s="41">
      <c r="A24" s="52" t="n">
        <v>11</v>
      </c>
      <c r="B24" s="52" t="inlineStr">
        <is>
          <t>97110-2850-inspection-the-general-court-of-the-european-union-partially-annuls-decisio.md</t>
        </is>
      </c>
      <c r="C24" s="52" t="inlineStr">
        <is>
          <t>Bulletin article</t>
        </is>
      </c>
      <c r="D24" s="52" t="n"/>
      <c r="E24" s="52" t="inlineStr">
        <is>
          <t>0ff86075-a215-4bce-ac53-21a9aa21cd71</t>
        </is>
      </c>
      <c r="F24" s="52" t="n"/>
      <c r="G24" s="52" t="n"/>
      <c r="H24" s="52" t="inlineStr"/>
    </row>
    <row r="25" s="41">
      <c r="A25" s="52" t="n">
        <v>12</v>
      </c>
      <c r="B25" s="52" t="inlineStr">
        <is>
          <t>eu-antitrust-enforcement--12_xi_the_role_of_the_hearing_officer_in_antitrust_proceedings_before_the_european_commission.md</t>
        </is>
      </c>
      <c r="C25" s="52" t="inlineStr">
        <is>
          <t>Book (Livre)</t>
        </is>
      </c>
      <c r="D25" s="52" t="n"/>
      <c r="E25" s="52" t="inlineStr">
        <is>
          <t>27d55d8c-5b59-43c1-8576-7a718bd009d4</t>
        </is>
      </c>
      <c r="F25" s="52" t="n"/>
      <c r="G25" s="52" t="n"/>
      <c r="H25" s="52" t="inlineStr">
        <is>
          <t>Cited in answer: YES</t>
        </is>
      </c>
    </row>
    <row r="26" s="41">
      <c r="A26" s="52" t="n">
        <v>13</v>
      </c>
      <c r="B26" s="52" t="inlineStr">
        <is>
          <t>91835.md</t>
        </is>
      </c>
      <c r="C26" s="52" t="inlineStr">
        <is>
          <t>Article (Review)</t>
        </is>
      </c>
      <c r="D26" s="52" t="n"/>
      <c r="E26" s="52" t="inlineStr">
        <is>
          <t>f6ec0179-d152-4059-9a3f-81d669d422b0</t>
        </is>
      </c>
      <c r="F26" s="52" t="n"/>
      <c r="G26" s="52" t="n"/>
      <c r="H26" s="52" t="inlineStr"/>
    </row>
    <row r="27" s="41">
      <c r="A27" s="52" t="n">
        <v>14</v>
      </c>
      <c r="B27" s="52" t="inlineStr">
        <is>
          <t>125471-20-dawn-raids-the-general-court-upholds-the-european-commissions-overall-assessm.md</t>
        </is>
      </c>
      <c r="C27" s="52" t="inlineStr">
        <is>
          <t>Bulletin article</t>
        </is>
      </c>
      <c r="D27" s="52" t="n"/>
      <c r="E27" s="52" t="inlineStr">
        <is>
          <t>e97ed81a-60ca-4112-9207-21a8613078bd</t>
        </is>
      </c>
      <c r="F27" s="52" t="n"/>
      <c r="G27" s="52" t="n"/>
      <c r="H27" s="52" t="inlineStr"/>
    </row>
    <row r="28" s="41">
      <c r="A28" s="52" t="n">
        <v>15</v>
      </c>
      <c r="B28" s="52" t="inlineStr">
        <is>
          <t>93706-0060-dawn-raids-advocate-general-kokott-calls-on-the-court-of-justice-to-uphold.md</t>
        </is>
      </c>
      <c r="C28" s="52" t="inlineStr">
        <is>
          <t>Bulletin article</t>
        </is>
      </c>
      <c r="D28" s="52" t="n"/>
      <c r="E28" s="52" t="inlineStr">
        <is>
          <t>42a1613c-b25b-476e-a3b4-e1cac9b5add2</t>
        </is>
      </c>
      <c r="F28" s="52" t="n"/>
      <c r="G28" s="52" t="n"/>
      <c r="H28" s="52" t="inlineStr"/>
    </row>
    <row r="29" s="41">
      <c r="A29" s="52" t="n">
        <v>16</v>
      </c>
      <c r="B29" s="52" t="inlineStr">
        <is>
          <t>57935-361-decisions-adopted-during-an-inspection-the-general-court-reminds-the-commiss.md</t>
        </is>
      </c>
      <c r="C29" s="52" t="inlineStr">
        <is>
          <t>Bulletin article</t>
        </is>
      </c>
      <c r="D29" s="52" t="n"/>
      <c r="E29" s="52" t="inlineStr">
        <is>
          <t>882aa354-e6cf-464a-b1e2-9486b1cca48f</t>
        </is>
      </c>
      <c r="F29" s="52" t="n"/>
      <c r="G29" s="52" t="n"/>
      <c r="H29" s="52" t="inlineStr"/>
    </row>
    <row r="30" s="41">
      <c r="A30" s="52" t="n">
        <v>17</v>
      </c>
      <c r="B30" s="52" t="inlineStr">
        <is>
          <t>62017TJ0249.md</t>
        </is>
      </c>
      <c r="C30" s="52" t="inlineStr">
        <is>
          <t>Court Decision</t>
        </is>
      </c>
      <c r="D30" s="52" t="inlineStr">
        <is>
          <t>EU</t>
        </is>
      </c>
      <c r="E30" s="52" t="inlineStr">
        <is>
          <t>dbf7bda8-39fa-4eb5-a6e2-f02b0787cb54</t>
        </is>
      </c>
      <c r="F30" s="52" t="n"/>
      <c r="G30" s="52" t="n"/>
      <c r="H30" s="52" t="inlineStr"/>
    </row>
    <row r="31" s="41">
      <c r="A31" s="52" t="n">
        <v>18</v>
      </c>
      <c r="B31" s="52" t="inlineStr">
        <is>
          <t>eu-antitrust-enforcement--15_xiv_procedural_rights_and_obligations_of_third_parties_in_antitrust_investigations_and_proceedings_by_the_european_commission.md</t>
        </is>
      </c>
      <c r="C31" s="52" t="inlineStr">
        <is>
          <t>Book (Livre)</t>
        </is>
      </c>
      <c r="D31" s="52" t="n"/>
      <c r="E31" s="52" t="inlineStr">
        <is>
          <t>b2429dd2-ef75-4f34-8bf2-95b08c3a4de5</t>
        </is>
      </c>
      <c r="F31" s="52" t="n"/>
      <c r="G31" s="52" t="n"/>
      <c r="H31" s="52" t="inlineStr"/>
    </row>
    <row r="32" s="41">
      <c r="A32" s="52" t="n">
        <v>19</v>
      </c>
      <c r="B32" s="52" t="inlineStr">
        <is>
          <t>eu-antitrust-enforcement--14_xiii_legal_professional_privilege_in_eu_antitrust_enforcement_law_policy_and_procedure.md</t>
        </is>
      </c>
      <c r="C32" s="52" t="inlineStr">
        <is>
          <t>Book (Livre)</t>
        </is>
      </c>
      <c r="D32" s="52" t="n"/>
      <c r="E32" s="52" t="inlineStr">
        <is>
          <t>751159c7-e8b0-4cba-8ae1-5652058d7980</t>
        </is>
      </c>
      <c r="F32" s="52" t="n"/>
      <c r="G32" s="52" t="n"/>
      <c r="H32" s="52" t="inlineStr">
        <is>
          <t>Cited in answer: YES</t>
        </is>
      </c>
    </row>
    <row r="33" s="41">
      <c r="A33" s="52" t="n">
        <v>20</v>
      </c>
      <c r="B33" s="52" t="inlineStr">
        <is>
          <t>62007CJ0550.md</t>
        </is>
      </c>
      <c r="C33" s="52" t="inlineStr">
        <is>
          <t>Court Decision</t>
        </is>
      </c>
      <c r="D33" s="52" t="inlineStr">
        <is>
          <t>EU</t>
        </is>
      </c>
      <c r="E33" s="52" t="inlineStr">
        <is>
          <t>77a4dd19-04ce-410f-ba8e-9998f2902880</t>
        </is>
      </c>
      <c r="F33" s="52" t="n"/>
      <c r="G33" s="52" t="n"/>
      <c r="H33" s="52" t="inlineStr">
        <is>
          <t>Cited in answer: YES</t>
        </is>
      </c>
    </row>
    <row r="34" s="41">
      <c r="A34" s="52" t="n">
        <v>21</v>
      </c>
      <c r="B34" s="52" t="inlineStr">
        <is>
          <t>121144.md</t>
        </is>
      </c>
      <c r="C34" s="52" t="inlineStr">
        <is>
          <t>Bulletin article</t>
        </is>
      </c>
      <c r="D34" s="52" t="n"/>
      <c r="E34" s="52" t="inlineStr">
        <is>
          <t>9f96a5ff-2537-45cd-a34f-b0f82767f132</t>
        </is>
      </c>
      <c r="F34" s="52" t="n"/>
      <c r="G34" s="52" t="n"/>
      <c r="H34" s="52" t="inlineStr"/>
    </row>
    <row r="35" s="41">
      <c r="A35" s="52" t="n">
        <v>22</v>
      </c>
      <c r="B35" s="52" t="inlineStr">
        <is>
          <t>79963.md</t>
        </is>
      </c>
      <c r="C35" s="52" t="inlineStr">
        <is>
          <t>Article (Review)</t>
        </is>
      </c>
      <c r="D35" s="52" t="n"/>
      <c r="E35" s="52" t="inlineStr">
        <is>
          <t>b0c5f913-948d-4dcc-9ea4-98f6136ca5a7</t>
        </is>
      </c>
      <c r="F35" s="52" t="n"/>
      <c r="G35" s="52" t="n"/>
      <c r="H35" s="52" t="inlineStr"/>
    </row>
    <row r="36" s="41">
      <c r="A36" s="52" t="n">
        <v>23</v>
      </c>
      <c r="B36" s="52" t="inlineStr">
        <is>
          <t>96845-the-eu-court-of-justice-rules-that-legal-professional-privilege-does-not-cover-c.md</t>
        </is>
      </c>
      <c r="C36" s="52" t="inlineStr">
        <is>
          <t>Bulletin article</t>
        </is>
      </c>
      <c r="D36" s="52" t="n"/>
      <c r="E36" s="52" t="inlineStr">
        <is>
          <t>ffcd147d-9482-4eff-8ba1-f4eafa068ea6</t>
        </is>
      </c>
      <c r="F36" s="52" t="n"/>
      <c r="G36" s="52" t="n"/>
      <c r="H36" s="52" t="inlineStr"/>
    </row>
    <row r="37" s="41">
      <c r="A37" s="52" t="n">
        <v>24</v>
      </c>
      <c r="B37" s="52" t="inlineStr">
        <is>
          <t>62020CJ0682.md</t>
        </is>
      </c>
      <c r="C37" s="52" t="inlineStr">
        <is>
          <t>Court Decision</t>
        </is>
      </c>
      <c r="D37" s="52" t="inlineStr">
        <is>
          <t>EU</t>
        </is>
      </c>
      <c r="E37" s="52" t="inlineStr">
        <is>
          <t>408cfe67-7fe4-45a8-9c3e-de39d86d56cb</t>
        </is>
      </c>
      <c r="F37" s="52" t="n"/>
      <c r="G37" s="52" t="n"/>
      <c r="H37" s="52" t="inlineStr"/>
    </row>
    <row r="38" s="41">
      <c r="A38" s="52" t="n">
        <v>25</v>
      </c>
      <c r="B38" s="52" t="inlineStr">
        <is>
          <t>62023TJ1097.md</t>
        </is>
      </c>
      <c r="C38" s="52" t="inlineStr">
        <is>
          <t>Court Decision</t>
        </is>
      </c>
      <c r="D38" s="52" t="inlineStr">
        <is>
          <t>EU</t>
        </is>
      </c>
      <c r="E38" s="52" t="inlineStr">
        <is>
          <t>19135079-d5db-4c66-b2d1-4bc35297af23</t>
        </is>
      </c>
      <c r="F38" s="52" t="n"/>
      <c r="G38" s="52" t="n"/>
      <c r="H38" s="52" t="inlineStr"/>
    </row>
    <row r="39" s="41">
      <c r="A39" s="52" t="n">
        <v>26</v>
      </c>
      <c r="B39" s="52" t="inlineStr">
        <is>
          <t>62003TJ0125.md</t>
        </is>
      </c>
      <c r="C39" s="52" t="inlineStr">
        <is>
          <t>Court Decision</t>
        </is>
      </c>
      <c r="D39" s="52" t="inlineStr">
        <is>
          <t>EU</t>
        </is>
      </c>
      <c r="E39" s="52" t="inlineStr">
        <is>
          <t>a8c1d5f4-d4fb-4365-bf78-e327971748f9</t>
        </is>
      </c>
      <c r="F39" s="52" t="n"/>
      <c r="G39" s="52" t="n"/>
      <c r="H39" s="52" t="inlineStr">
        <is>
          <t>Cited in answer: YES</t>
        </is>
      </c>
    </row>
    <row r="40" s="41">
      <c r="A40" s="52" t="n">
        <v>27</v>
      </c>
      <c r="B40" s="52" t="inlineStr">
        <is>
          <t>95849-3360-inspections-the-court-of-justice-of-the-european-union-gives-the-commission.md</t>
        </is>
      </c>
      <c r="C40" s="52" t="inlineStr">
        <is>
          <t>Bulletin article</t>
        </is>
      </c>
      <c r="D40" s="52" t="n"/>
      <c r="E40" s="52" t="inlineStr">
        <is>
          <t>afe07022-9e8e-4270-a8d4-2c0aaa70652f</t>
        </is>
      </c>
      <c r="F40" s="52" t="n"/>
      <c r="G40" s="52" t="n"/>
      <c r="H40" s="52" t="inlineStr"/>
    </row>
    <row r="41" s="41">
      <c r="A41" s="52" t="n">
        <v>28</v>
      </c>
      <c r="B41" s="52" t="inlineStr">
        <is>
          <t>112075.md</t>
        </is>
      </c>
      <c r="C41" s="52" t="inlineStr">
        <is>
          <t>Bulletin article</t>
        </is>
      </c>
      <c r="D41" s="52" t="n"/>
      <c r="E41" s="52" t="inlineStr">
        <is>
          <t>d2417411-7570-40c0-8fde-72b358d5c65a</t>
        </is>
      </c>
      <c r="F41" s="52" t="n"/>
      <c r="G41" s="52" t="n"/>
      <c r="H41" s="52" t="inlineStr"/>
    </row>
    <row r="42" s="41">
      <c r="A42" s="52" t="n">
        <v>29</v>
      </c>
      <c r="B42" s="52" t="inlineStr">
        <is>
          <t>65144.md</t>
        </is>
      </c>
      <c r="C42" s="52" t="inlineStr">
        <is>
          <t>Bulletin article</t>
        </is>
      </c>
      <c r="D42" s="52" t="n"/>
      <c r="E42" s="52" t="inlineStr">
        <is>
          <t>ce8f9970-7bea-4576-a4de-4bd06551adb1</t>
        </is>
      </c>
      <c r="F42" s="52" t="n"/>
      <c r="G42" s="52" t="n"/>
      <c r="H42" s="52" t="inlineStr"/>
    </row>
    <row r="43" s="41">
      <c r="A43" s="52" t="n">
        <v>30</v>
      </c>
      <c r="B43" s="52" t="inlineStr">
        <is>
          <t>127929-the-eu-general-court-upholds-the-commissions-inspection-methodology-based-on-pub.md</t>
        </is>
      </c>
      <c r="C43" s="52" t="inlineStr">
        <is>
          <t>Bulletin article</t>
        </is>
      </c>
      <c r="D43" s="52" t="n"/>
      <c r="E43" s="52" t="inlineStr">
        <is>
          <t>af2e8c94-00c3-40d4-8e35-233542ca536d</t>
        </is>
      </c>
      <c r="F43" s="52" t="n"/>
      <c r="G43" s="52" t="n"/>
      <c r="H43" s="52" t="inlineStr"/>
    </row>
    <row r="44" s="41">
      <c r="A44" s="52" t="n">
        <v>31</v>
      </c>
      <c r="B44" s="52" t="inlineStr">
        <is>
          <t>62014TJ0701.md</t>
        </is>
      </c>
      <c r="C44" s="52" t="inlineStr">
        <is>
          <t>Court Decision</t>
        </is>
      </c>
      <c r="D44" s="52" t="inlineStr">
        <is>
          <t>EU</t>
        </is>
      </c>
      <c r="E44" s="52" t="inlineStr">
        <is>
          <t>82bcdb25-439b-4260-9d81-4848737b9274</t>
        </is>
      </c>
      <c r="F44" s="52" t="n"/>
      <c r="G44" s="52" t="n"/>
      <c r="H44" s="52" t="inlineStr"/>
    </row>
    <row r="45" s="41">
      <c r="A45" s="52" t="n">
        <v>32</v>
      </c>
      <c r="B45" s="52" t="inlineStr">
        <is>
          <t>62020TJ0451.md</t>
        </is>
      </c>
      <c r="C45" s="52" t="inlineStr">
        <is>
          <t>Court Decision</t>
        </is>
      </c>
      <c r="D45" s="52" t="inlineStr">
        <is>
          <t>EU</t>
        </is>
      </c>
      <c r="E45" s="52" t="inlineStr">
        <is>
          <t>48c42881-8462-4197-885e-35fd7e697950</t>
        </is>
      </c>
      <c r="F45" s="52" t="n"/>
      <c r="G45" s="52" t="n"/>
      <c r="H45" s="52" t="inlineStr"/>
    </row>
    <row r="46" s="41">
      <c r="A46" s="52" t="n">
        <v>33</v>
      </c>
      <c r="B46" s="52" t="inlineStr">
        <is>
          <t>96586.md</t>
        </is>
      </c>
      <c r="C46" s="52" t="inlineStr">
        <is>
          <t>Article (Review)</t>
        </is>
      </c>
      <c r="D46" s="52" t="n"/>
      <c r="E46" s="52" t="inlineStr">
        <is>
          <t>4cb5c154-4d3a-46c3-8bca-8f09c7e6c562</t>
        </is>
      </c>
      <c r="F46" s="52" t="n"/>
      <c r="G46" s="52" t="n"/>
      <c r="H46" s="52" t="inlineStr"/>
    </row>
    <row r="47" s="41">
      <c r="A47" s="52" t="n">
        <v>34</v>
      </c>
      <c r="B47" s="52" t="inlineStr">
        <is>
          <t>127186-20-inspection-the-general-court-of-the-european-union-considers-that-the-commiss.md</t>
        </is>
      </c>
      <c r="C47" s="52" t="inlineStr">
        <is>
          <t>Bulletin article</t>
        </is>
      </c>
      <c r="D47" s="52" t="n"/>
      <c r="E47" s="52" t="inlineStr">
        <is>
          <t>329bd68b-1104-4f5c-b636-e9925175dbc6</t>
        </is>
      </c>
      <c r="F47" s="52" t="n"/>
      <c r="G47" s="52" t="n"/>
      <c r="H47" s="52" t="inlineStr"/>
    </row>
    <row r="48" s="41">
      <c r="A48" s="52" t="n">
        <v>35</v>
      </c>
      <c r="B48" s="52" t="inlineStr">
        <is>
          <t>50285.md</t>
        </is>
      </c>
      <c r="C48" s="52" t="inlineStr">
        <is>
          <t>Bulletin article</t>
        </is>
      </c>
      <c r="D48" s="52" t="n"/>
      <c r="E48" s="52" t="inlineStr">
        <is>
          <t>f17418b6-489e-4049-92f0-b9ce2b58968f</t>
        </is>
      </c>
      <c r="F48" s="52" t="n"/>
      <c r="G48" s="52" t="n"/>
      <c r="H48" s="52" t="inlineStr"/>
    </row>
    <row r="49" s="41">
      <c r="A49" s="52" t="n">
        <v>36</v>
      </c>
      <c r="B49" s="52" t="inlineStr">
        <is>
          <t>131823.md</t>
        </is>
      </c>
      <c r="C49" s="52" t="inlineStr">
        <is>
          <t>Bulletin article</t>
        </is>
      </c>
      <c r="D49" s="52" t="n"/>
      <c r="E49" s="52" t="inlineStr">
        <is>
          <t>9a53486d-c10b-4126-a9f0-2a80c4e4e2d2</t>
        </is>
      </c>
      <c r="F49" s="52" t="n"/>
      <c r="G49" s="52" t="n"/>
      <c r="H49" s="52" t="inlineStr"/>
    </row>
    <row r="50" s="41">
      <c r="A50" s="52" t="n">
        <v>37</v>
      </c>
      <c r="B50" s="52" t="inlineStr">
        <is>
          <t>62020CC0682.md</t>
        </is>
      </c>
      <c r="C50" s="52" t="inlineStr">
        <is>
          <t>Bulletin article</t>
        </is>
      </c>
      <c r="D50" s="52" t="inlineStr">
        <is>
          <t>EU</t>
        </is>
      </c>
      <c r="E50" s="52" t="inlineStr">
        <is>
          <t>4228e89d-bc15-4a00-9ed7-bd703f8ec05a</t>
        </is>
      </c>
      <c r="F50" s="52" t="n"/>
      <c r="G50" s="52" t="n"/>
      <c r="H50" s="52" t="inlineStr"/>
    </row>
    <row r="51" s="41">
      <c r="A51" s="52" t="n">
        <v>38</v>
      </c>
      <c r="B51" s="52" t="inlineStr">
        <is>
          <t>eu-antitrust-enforcement--10_ix_the_compatibility_with_fundamental_rights_of_the_eu_antitrust_enforcement_system_in_which_the_european_commission_acts_both_as_investigator_and_as_first_instance_decision_maker.md</t>
        </is>
      </c>
      <c r="C51" s="52" t="inlineStr">
        <is>
          <t>Article (Review)</t>
        </is>
      </c>
      <c r="D51" s="52" t="n"/>
      <c r="E51" s="52" t="inlineStr">
        <is>
          <t>2c996db6-dd0f-46f5-be34-12be8f73b817</t>
        </is>
      </c>
      <c r="F51" s="52" t="n"/>
      <c r="G51" s="52" t="n"/>
      <c r="H51" s="52" t="inlineStr"/>
    </row>
    <row r="52" s="41">
      <c r="A52" s="52" t="n">
        <v>39</v>
      </c>
      <c r="B52" s="52" t="inlineStr">
        <is>
          <t>compendium-eu-competition-law--p20.md</t>
        </is>
      </c>
      <c r="C52" s="52" t="inlineStr">
        <is>
          <t>Legislation</t>
        </is>
      </c>
      <c r="D52" s="52" t="n"/>
      <c r="E52" s="52" t="inlineStr">
        <is>
          <t>4051fc69-a489-4b05-95ab-16bd651b54f1</t>
        </is>
      </c>
      <c r="F52" s="52" t="n"/>
      <c r="G52" s="52" t="n"/>
      <c r="H52" s="52" t="inlineStr"/>
    </row>
    <row r="53" s="41">
      <c r="A53" s="52" t="n">
        <v>40</v>
      </c>
      <c r="B53" s="52" t="inlineStr">
        <is>
          <t>62023TJ1119.md</t>
        </is>
      </c>
      <c r="C53" s="52" t="inlineStr">
        <is>
          <t>Court Decision</t>
        </is>
      </c>
      <c r="D53" s="52" t="inlineStr">
        <is>
          <t>EU</t>
        </is>
      </c>
      <c r="E53" s="52" t="inlineStr">
        <is>
          <t>ce0e3df2-f4ea-4345-a297-e54a4f805a9f</t>
        </is>
      </c>
      <c r="F53" s="52" t="n"/>
      <c r="G53" s="52" t="n"/>
      <c r="H53" s="52" t="inlineStr"/>
    </row>
    <row r="54" s="41">
      <c r="A54" s="52" t="n">
        <v>41</v>
      </c>
      <c r="B54" s="52" t="inlineStr">
        <is>
          <t>62011TJ0289.md</t>
        </is>
      </c>
      <c r="C54" s="52" t="inlineStr">
        <is>
          <t>Court Decision</t>
        </is>
      </c>
      <c r="D54" s="52" t="inlineStr">
        <is>
          <t>EU</t>
        </is>
      </c>
      <c r="E54" s="52" t="inlineStr">
        <is>
          <t>7ecb1eda-828c-4ed1-831c-9ba3cd309425</t>
        </is>
      </c>
      <c r="F54" s="52" t="n"/>
      <c r="G54" s="52" t="n"/>
      <c r="H54" s="52" t="inlineStr"/>
    </row>
    <row r="55" s="41">
      <c r="A55" s="52" t="n">
        <v>42</v>
      </c>
      <c r="B55" s="52" t="inlineStr">
        <is>
          <t>eu-antitrust-enforcement--11_x_fundamental_procedural_rights_and_effective_enforcement_of_articles_101_and_102_tfeu_in_the_european_competition_network.md</t>
        </is>
      </c>
      <c r="C55" s="52" t="inlineStr">
        <is>
          <t>Book (Livre)</t>
        </is>
      </c>
      <c r="D55" s="52" t="n"/>
      <c r="E55" s="52" t="inlineStr">
        <is>
          <t>44d971b2-9615-45f5-94c3-342633964481</t>
        </is>
      </c>
      <c r="F55" s="52" t="n"/>
      <c r="G55" s="52" t="n"/>
      <c r="H55" s="52" t="inlineStr"/>
    </row>
    <row r="56" s="41">
      <c r="A56" s="52" t="n">
        <v>43</v>
      </c>
      <c r="B56" s="52" t="inlineStr">
        <is>
          <t>126520.md</t>
        </is>
      </c>
      <c r="C56" s="52" t="inlineStr">
        <is>
          <t>Bulletin article</t>
        </is>
      </c>
      <c r="D56" s="52" t="n"/>
      <c r="E56" s="52" t="inlineStr">
        <is>
          <t>12452b73-c2de-4280-8e98-eaf8be0779ba</t>
        </is>
      </c>
      <c r="F56" s="52" t="n"/>
      <c r="G56" s="52" t="n"/>
      <c r="H56" s="52" t="inlineStr"/>
    </row>
    <row r="57" s="41">
      <c r="A57" s="52" t="n">
        <v>44</v>
      </c>
      <c r="B57" s="52" t="inlineStr">
        <is>
          <t>34843.md</t>
        </is>
      </c>
      <c r="C57" s="52" t="inlineStr">
        <is>
          <t>Bulletin article</t>
        </is>
      </c>
      <c r="D57" s="52" t="inlineStr">
        <is>
          <t>EU</t>
        </is>
      </c>
      <c r="E57" s="52" t="inlineStr">
        <is>
          <t>76b0b83a-c3dd-4742-972b-2e257224bb41</t>
        </is>
      </c>
      <c r="F57" s="52" t="n"/>
      <c r="G57" s="52" t="n"/>
      <c r="H57" s="52" t="inlineStr"/>
    </row>
    <row r="58" s="41">
      <c r="A58" s="52" t="n">
        <v>45</v>
      </c>
      <c r="B58" s="52" t="inlineStr">
        <is>
          <t>62014TJ0103.md</t>
        </is>
      </c>
      <c r="C58" s="52" t="inlineStr">
        <is>
          <t>Bulletin article</t>
        </is>
      </c>
      <c r="D58" s="52" t="inlineStr">
        <is>
          <t>EU</t>
        </is>
      </c>
      <c r="E58" s="52" t="inlineStr">
        <is>
          <t>71644769-41f5-4da2-82b3-225292de42cb</t>
        </is>
      </c>
      <c r="F58" s="52" t="n"/>
      <c r="G58" s="52" t="n"/>
      <c r="H58" s="52" t="inlineStr"/>
    </row>
    <row r="59" s="41">
      <c r="A59" s="52" t="n">
        <v>46</v>
      </c>
      <c r="B59" s="52" t="inlineStr">
        <is>
          <t>41021.md</t>
        </is>
      </c>
      <c r="C59" s="52" t="inlineStr">
        <is>
          <t>Bulletin article</t>
        </is>
      </c>
      <c r="D59" s="52" t="n"/>
      <c r="E59" s="52" t="inlineStr">
        <is>
          <t>7b2a2c23-bf06-4bb0-84da-b780b94a649c</t>
        </is>
      </c>
      <c r="F59" s="52" t="n"/>
      <c r="G59" s="52" t="n"/>
      <c r="H59" s="52" t="inlineStr"/>
    </row>
    <row r="60" s="41">
      <c r="A60" s="52" t="n">
        <v>47</v>
      </c>
      <c r="B60" s="52" t="inlineStr">
        <is>
          <t>62014TJ0705.md</t>
        </is>
      </c>
      <c r="C60" s="52" t="inlineStr">
        <is>
          <t>Court Decision</t>
        </is>
      </c>
      <c r="D60" s="52" t="inlineStr">
        <is>
          <t>EU</t>
        </is>
      </c>
      <c r="E60" s="52" t="inlineStr">
        <is>
          <t>a795bd44-0811-455c-9d8e-6e9c125b497b</t>
        </is>
      </c>
      <c r="F60" s="52" t="n"/>
      <c r="G60" s="52" t="n"/>
      <c r="H60" s="52" t="inlineStr"/>
    </row>
    <row r="61" s="41">
      <c r="A61" s="52" t="n">
        <v>48</v>
      </c>
      <c r="B61" s="52" t="inlineStr">
        <is>
          <t>120985.md</t>
        </is>
      </c>
      <c r="C61" s="52" t="inlineStr">
        <is>
          <t>Bulletin article</t>
        </is>
      </c>
      <c r="D61" s="52" t="n"/>
      <c r="E61" s="52" t="inlineStr">
        <is>
          <t>8743ed4a-36f8-448f-9aa9-ccf29abfc760</t>
        </is>
      </c>
      <c r="F61" s="52" t="n"/>
      <c r="G61" s="52" t="n"/>
      <c r="H61" s="52" t="inlineStr"/>
    </row>
    <row r="62" s="41">
      <c r="A62" s="52" t="n">
        <v>49</v>
      </c>
      <c r="B62" s="52" t="inlineStr">
        <is>
          <t>competition-case-law-digest-5th--p09.md</t>
        </is>
      </c>
      <c r="C62" s="52" t="inlineStr">
        <is>
          <t>Book (Livre)</t>
        </is>
      </c>
      <c r="D62" s="52" t="n"/>
      <c r="E62" s="52" t="inlineStr">
        <is>
          <t>2f0afdb0-43c8-41b3-99e2-c3003ab906c1</t>
        </is>
      </c>
      <c r="F62" s="52" t="n"/>
      <c r="G62" s="52" t="n"/>
      <c r="H62" s="52" t="inlineStr"/>
    </row>
    <row r="63" s="41">
      <c r="A63" s="52" t="n">
        <v>50</v>
      </c>
      <c r="B63" s="52" t="inlineStr">
        <is>
          <t>72606.md</t>
        </is>
      </c>
      <c r="C63" s="52" t="inlineStr">
        <is>
          <t>Bulletin article</t>
        </is>
      </c>
      <c r="D63" s="52" t="n"/>
      <c r="E63" s="52" t="inlineStr">
        <is>
          <t>83edad42-3128-49b7-8bf5-14acc3d80b0c</t>
        </is>
      </c>
      <c r="F63" s="52" t="n"/>
      <c r="G63" s="52" t="n"/>
      <c r="H63" s="52" t="inlineStr"/>
    </row>
    <row r="64" s="41">
      <c r="A64" s="52" t="n">
        <v>51</v>
      </c>
      <c r="B64" s="52" t="inlineStr">
        <is>
          <t>62020CJ0690.md</t>
        </is>
      </c>
      <c r="C64" s="52" t="inlineStr">
        <is>
          <t>Court Decision</t>
        </is>
      </c>
      <c r="D64" s="52" t="inlineStr">
        <is>
          <t>EU</t>
        </is>
      </c>
      <c r="E64" s="52" t="inlineStr">
        <is>
          <t>75c2da13-00ee-43b2-baa4-a6f2e5a71e73</t>
        </is>
      </c>
      <c r="F64" s="52" t="n"/>
      <c r="G64" s="52" t="n"/>
      <c r="H64" s="52" t="inlineStr"/>
    </row>
    <row r="65" s="41">
      <c r="A65" s="52" t="n">
        <v>52</v>
      </c>
      <c r="B65" s="52" t="inlineStr">
        <is>
          <t>62020CJ0693.md</t>
        </is>
      </c>
      <c r="C65" s="52" t="inlineStr">
        <is>
          <t>Court Decision</t>
        </is>
      </c>
      <c r="D65" s="52" t="inlineStr">
        <is>
          <t>EU</t>
        </is>
      </c>
      <c r="E65" s="52" t="inlineStr">
        <is>
          <t>74ccf3f4-5d27-4c74-9208-62829cc5bcf1</t>
        </is>
      </c>
      <c r="F65" s="52" t="n"/>
      <c r="G65" s="52" t="n"/>
      <c r="H65" s="52" t="inlineStr"/>
    </row>
    <row r="66" s="41">
      <c r="A66" s="52" t="n">
        <v>53</v>
      </c>
      <c r="B66" s="52" t="inlineStr">
        <is>
          <t>62014CJ0033.md</t>
        </is>
      </c>
      <c r="C66" s="52" t="inlineStr">
        <is>
          <t>Court Decision</t>
        </is>
      </c>
      <c r="D66" s="52" t="inlineStr">
        <is>
          <t>EU</t>
        </is>
      </c>
      <c r="E66" s="52" t="inlineStr">
        <is>
          <t>416f824d-8129-498b-86b2-330a30a0f664</t>
        </is>
      </c>
      <c r="F66" s="52" t="n"/>
      <c r="G66" s="52" t="n"/>
      <c r="H66" s="52" t="inlineStr"/>
    </row>
    <row r="67" s="41">
      <c r="A67" s="52" t="n">
        <v>54</v>
      </c>
      <c r="B67" s="52" t="inlineStr">
        <is>
          <t>74797.md</t>
        </is>
      </c>
      <c r="C67" s="52" t="inlineStr">
        <is>
          <t>Bulletin article</t>
        </is>
      </c>
      <c r="D67" s="52" t="n"/>
      <c r="E67" s="52" t="inlineStr">
        <is>
          <t>7aa935c3-59fb-4514-b6c3-08e34df697ff</t>
        </is>
      </c>
      <c r="F67" s="52" t="n"/>
      <c r="G67" s="52" t="n"/>
      <c r="H67" s="52" t="inlineStr"/>
    </row>
    <row r="68" s="41">
      <c r="A68" s="52" t="n">
        <v>55</v>
      </c>
      <c r="B68" s="52" t="inlineStr">
        <is>
          <t>62018CJ0606.md</t>
        </is>
      </c>
      <c r="C68" s="52" t="inlineStr">
        <is>
          <t>Court Decision</t>
        </is>
      </c>
      <c r="D68" s="52" t="inlineStr">
        <is>
          <t>EU</t>
        </is>
      </c>
      <c r="E68" s="52" t="inlineStr">
        <is>
          <t>2d074327-045b-484e-8bbc-1a0f9c7ed660</t>
        </is>
      </c>
      <c r="F68" s="52" t="n"/>
      <c r="G68" s="52" t="n"/>
      <c r="H68" s="52" t="inlineStr"/>
    </row>
    <row r="69" s="41">
      <c r="A69" s="52" t="n">
        <v>56</v>
      </c>
      <c r="B69" s="52" t="inlineStr">
        <is>
          <t>130104-the-eu-commission-issues-a-policy-brief-on-legal-professional-privilege-in-compe.md</t>
        </is>
      </c>
      <c r="C69" s="52" t="inlineStr">
        <is>
          <t>Bulletin article</t>
        </is>
      </c>
      <c r="D69" s="52" t="n"/>
      <c r="E69" s="52" t="inlineStr">
        <is>
          <t>865b10b4-e120-4887-a566-4d32965a6785</t>
        </is>
      </c>
      <c r="F69" s="52" t="n"/>
      <c r="G69" s="52" t="n"/>
      <c r="H69" s="52" t="inlineStr"/>
    </row>
    <row r="70" s="41">
      <c r="A70" s="52" t="n">
        <v>57</v>
      </c>
      <c r="B70" s="52" t="inlineStr">
        <is>
          <t>62022CJ0381.md</t>
        </is>
      </c>
      <c r="C70" s="52" t="inlineStr">
        <is>
          <t>Court Decision</t>
        </is>
      </c>
      <c r="D70" s="52" t="inlineStr">
        <is>
          <t>EU</t>
        </is>
      </c>
      <c r="E70" s="52" t="inlineStr">
        <is>
          <t>71722674-1979-43b0-b9fb-45efc66190fe</t>
        </is>
      </c>
      <c r="F70" s="52" t="n"/>
      <c r="G70" s="52" t="n"/>
      <c r="H70" s="52" t="inlineStr"/>
    </row>
    <row r="71" s="41">
      <c r="A71" s="52" t="n">
        <v>58</v>
      </c>
      <c r="B71" s="52" t="inlineStr">
        <is>
          <t>eu-antitrust-enforcement--17_xvi_re_adoption_by_the_european_commission_of_cartel_decisions_annulled_on_procedural_grounds_by_the_eu_courts.md</t>
        </is>
      </c>
      <c r="C71" s="52" t="inlineStr">
        <is>
          <t>Article (Review)</t>
        </is>
      </c>
      <c r="D71" s="52" t="n"/>
      <c r="E71" s="52" t="inlineStr">
        <is>
          <t>71ba5e7f-b51e-4068-b010-b7e7f422add9</t>
        </is>
      </c>
      <c r="F71" s="52" t="n"/>
      <c r="G71" s="52" t="n"/>
      <c r="H71" s="52" t="inlineStr"/>
    </row>
    <row r="72" s="41">
      <c r="A72" s="52" t="n">
        <v>59</v>
      </c>
      <c r="B72" s="52" t="inlineStr">
        <is>
          <t>97568-3340-investigation-the-court-of-justice-of-the-european-union-recognizes-the-eur.md</t>
        </is>
      </c>
      <c r="C72" s="52" t="inlineStr">
        <is>
          <t>Bulletin article</t>
        </is>
      </c>
      <c r="D72" s="52" t="n"/>
      <c r="E72" s="52" t="inlineStr">
        <is>
          <t>0a9a6620-916c-4d26-8e97-e91a08871183</t>
        </is>
      </c>
      <c r="F72" s="52" t="n"/>
      <c r="G72" s="52" t="n"/>
      <c r="H72" s="52" t="inlineStr"/>
    </row>
    <row r="73" s="41">
      <c r="A73" s="52" t="n">
        <v>60</v>
      </c>
      <c r="B73" s="52" t="inlineStr">
        <is>
          <t>62015TJ0554.md</t>
        </is>
      </c>
      <c r="C73" s="52" t="inlineStr">
        <is>
          <t>Court Decision</t>
        </is>
      </c>
      <c r="D73" s="52" t="inlineStr">
        <is>
          <t>EU</t>
        </is>
      </c>
      <c r="E73" s="52" t="inlineStr">
        <is>
          <t>92f51d45-f144-4968-8d1a-ac8a3c851e76</t>
        </is>
      </c>
      <c r="F73" s="52" t="n"/>
      <c r="G73" s="52" t="n"/>
      <c r="H73" s="52" t="inlineStr"/>
    </row>
    <row r="74" s="41">
      <c r="A74" s="52" t="n">
        <v>61</v>
      </c>
      <c r="B74" s="52" t="inlineStr">
        <is>
          <t>86349.md</t>
        </is>
      </c>
      <c r="C74" s="52" t="inlineStr">
        <is>
          <t>Article (Review)</t>
        </is>
      </c>
      <c r="D74" s="52" t="n"/>
      <c r="E74" s="52" t="inlineStr">
        <is>
          <t>1cdd887b-6171-4114-a519-848559eecb91</t>
        </is>
      </c>
      <c r="F74" s="52" t="n"/>
      <c r="G74" s="52" t="n"/>
      <c r="H74" s="52" t="inlineStr"/>
    </row>
    <row r="75" s="41">
      <c r="A75" s="52" t="n">
        <v>62</v>
      </c>
      <c r="B75" s="52" t="inlineStr">
        <is>
          <t>81215.md</t>
        </is>
      </c>
      <c r="C75" s="52" t="inlineStr">
        <is>
          <t>Article (Review)</t>
        </is>
      </c>
      <c r="D75" s="52" t="n"/>
      <c r="E75" s="52" t="inlineStr">
        <is>
          <t>1326c749-4c6d-42ec-974e-b228dd1bf722</t>
        </is>
      </c>
      <c r="F75" s="52" t="n"/>
      <c r="G75" s="52" t="n"/>
      <c r="H75" s="52" t="inlineStr"/>
    </row>
    <row r="76" s="41">
      <c r="A76" s="52" t="n">
        <v>63</v>
      </c>
      <c r="B76" s="52" t="inlineStr">
        <is>
          <t>96910-3420-dawn-raids-the-court-of-justice-of-the-european-union-confirms-the-power-of.md</t>
        </is>
      </c>
      <c r="C76" s="52" t="inlineStr">
        <is>
          <t>Bulletin article</t>
        </is>
      </c>
      <c r="D76" s="52" t="n"/>
      <c r="E76" s="52" t="inlineStr">
        <is>
          <t>a95ca40b-ceae-4436-8de6-a7a126b177e3</t>
        </is>
      </c>
      <c r="F76" s="52" t="n"/>
      <c r="G76" s="52" t="n"/>
      <c r="H76" s="52" t="inlineStr"/>
    </row>
    <row r="77" s="41">
      <c r="A77" s="52" t="n">
        <v>64</v>
      </c>
      <c r="B77" s="52" t="inlineStr">
        <is>
          <t>62015TJ0274.md</t>
        </is>
      </c>
      <c r="C77" s="52" t="inlineStr">
        <is>
          <t>Court Decision</t>
        </is>
      </c>
      <c r="D77" s="52" t="inlineStr">
        <is>
          <t>EU</t>
        </is>
      </c>
      <c r="E77" s="52" t="inlineStr">
        <is>
          <t>d42f923b-c267-4df9-acb3-5abda361a0d6</t>
        </is>
      </c>
      <c r="F77" s="52" t="n"/>
      <c r="G77" s="52" t="n"/>
      <c r="H77" s="52" t="inlineStr"/>
    </row>
    <row r="78" s="41">
      <c r="A78" s="52" t="n">
        <v>65</v>
      </c>
      <c r="B78" s="52" t="inlineStr">
        <is>
          <t>62017TJ0814.md</t>
        </is>
      </c>
      <c r="C78" s="52" t="inlineStr">
        <is>
          <t>Court Decision</t>
        </is>
      </c>
      <c r="D78" s="52" t="inlineStr">
        <is>
          <t>EU</t>
        </is>
      </c>
      <c r="E78" s="52" t="inlineStr">
        <is>
          <t>adbf5b23-5582-4b9c-82b5-519ddcf7bc67</t>
        </is>
      </c>
      <c r="F78" s="52" t="n"/>
      <c r="G78" s="52" t="n"/>
      <c r="H78" s="52" t="inlineStr"/>
    </row>
    <row r="79" s="41">
      <c r="A79" s="52" t="n">
        <v>66</v>
      </c>
      <c r="B79" s="52" t="inlineStr">
        <is>
          <t>41554.md</t>
        </is>
      </c>
      <c r="C79" s="52" t="inlineStr">
        <is>
          <t>Bulletin article</t>
        </is>
      </c>
      <c r="D79" s="52" t="n"/>
      <c r="E79" s="52" t="inlineStr">
        <is>
          <t>7ac322df-dba5-454b-a0e6-0bff2167a703</t>
        </is>
      </c>
      <c r="F79" s="52" t="n"/>
      <c r="G79" s="52" t="n"/>
      <c r="H79" s="52" t="inlineStr"/>
    </row>
    <row r="80" s="41">
      <c r="A80" s="52" t="n">
        <v>67</v>
      </c>
      <c r="B80" s="52" t="inlineStr">
        <is>
          <t>62023CO0138.md</t>
        </is>
      </c>
      <c r="C80" s="52" t="inlineStr">
        <is>
          <t>Court Decision</t>
        </is>
      </c>
      <c r="D80" s="52" t="inlineStr">
        <is>
          <t>EU</t>
        </is>
      </c>
      <c r="E80" s="52" t="inlineStr">
        <is>
          <t>5abd9264-9c98-4239-bc5a-fd55ba2f17f6</t>
        </is>
      </c>
      <c r="F80" s="52" t="n"/>
      <c r="G80" s="52" t="n"/>
      <c r="H80" s="52" t="inlineStr"/>
    </row>
    <row r="81" s="41">
      <c r="A81" s="52" t="n">
        <v>68</v>
      </c>
      <c r="B81" s="52" t="inlineStr">
        <is>
          <t>62020TJ0452.md</t>
        </is>
      </c>
      <c r="C81" s="52" t="inlineStr">
        <is>
          <t>Court Decision</t>
        </is>
      </c>
      <c r="D81" s="52" t="inlineStr">
        <is>
          <t>EU</t>
        </is>
      </c>
      <c r="E81" s="52" t="inlineStr">
        <is>
          <t>b2ad17a9-5061-42da-938b-6bc18c4c1e54</t>
        </is>
      </c>
      <c r="F81" s="52" t="n"/>
      <c r="G81" s="52" t="n"/>
      <c r="H81" s="52" t="inlineStr"/>
    </row>
    <row r="82" s="41">
      <c r="A82" s="52" t="n">
        <v>69</v>
      </c>
      <c r="B82" s="52" t="inlineStr">
        <is>
          <t>62013CC0583.md</t>
        </is>
      </c>
      <c r="C82" s="52" t="inlineStr">
        <is>
          <t>Bulletin article</t>
        </is>
      </c>
      <c r="D82" s="52" t="inlineStr">
        <is>
          <t>EU</t>
        </is>
      </c>
      <c r="E82" s="52" t="inlineStr">
        <is>
          <t>778d749c-48cb-405c-a58f-962dd3ceef0c</t>
        </is>
      </c>
      <c r="F82" s="52" t="n"/>
      <c r="G82" s="52" t="n"/>
      <c r="H82" s="52" t="inlineStr"/>
    </row>
    <row r="83" s="41">
      <c r="A83" s="52" t="n">
        <v>70</v>
      </c>
      <c r="B83" s="52" t="inlineStr">
        <is>
          <t>96291-the-eu-court-of-justice-upholds-the-commissions-right-to-continue-inspection-at.md</t>
        </is>
      </c>
      <c r="C83" s="52" t="inlineStr">
        <is>
          <t>Bulletin article</t>
        </is>
      </c>
      <c r="D83" s="52" t="n"/>
      <c r="E83" s="52" t="inlineStr">
        <is>
          <t>b5945681-864a-4470-b1bb-33978a2016ed</t>
        </is>
      </c>
      <c r="F83" s="52" t="n"/>
      <c r="G83" s="52" t="n"/>
      <c r="H83" s="52" t="inlineStr"/>
    </row>
    <row r="84" s="41">
      <c r="A84" s="52" t="n">
        <v>71</v>
      </c>
      <c r="B84" s="52" t="inlineStr">
        <is>
          <t>62009TJ0135.md</t>
        </is>
      </c>
      <c r="C84" s="52" t="inlineStr">
        <is>
          <t>Court Decision</t>
        </is>
      </c>
      <c r="D84" s="52" t="inlineStr">
        <is>
          <t>EU</t>
        </is>
      </c>
      <c r="E84" s="52" t="inlineStr">
        <is>
          <t>10418f10-8b6f-4bcc-adf6-39e168b49440</t>
        </is>
      </c>
      <c r="F84" s="52" t="n"/>
      <c r="G84" s="52" t="n"/>
      <c r="H84" s="52" t="inlineStr"/>
    </row>
    <row r="85" s="41">
      <c r="A85" s="52" t="n">
        <v>72</v>
      </c>
      <c r="B85" s="52" t="inlineStr">
        <is>
          <t>m10149.md</t>
        </is>
      </c>
      <c r="C85" s="52" t="inlineStr">
        <is>
          <t>Regulatory Decision</t>
        </is>
      </c>
      <c r="D85" s="52" t="inlineStr">
        <is>
          <t>EU</t>
        </is>
      </c>
      <c r="E85" s="52" t="inlineStr">
        <is>
          <t>440344d8-5df6-4302-a894-bc58447b2a18</t>
        </is>
      </c>
      <c r="F85" s="52" t="n"/>
      <c r="G85" s="52" t="n"/>
      <c r="H85" s="52" t="inlineStr"/>
    </row>
    <row r="86" s="41">
      <c r="A86" s="52" t="n">
        <v>73</v>
      </c>
      <c r="B86" s="52" t="inlineStr">
        <is>
          <t>62010TJ0027.md</t>
        </is>
      </c>
      <c r="C86" s="52" t="inlineStr">
        <is>
          <t>Court Decision</t>
        </is>
      </c>
      <c r="D86" s="52" t="inlineStr">
        <is>
          <t>EU</t>
        </is>
      </c>
      <c r="E86" s="52" t="inlineStr">
        <is>
          <t>bc02167d-8c4b-4b56-831c-f9c775215394</t>
        </is>
      </c>
      <c r="F86" s="52" t="n"/>
      <c r="G86" s="52" t="n"/>
      <c r="H86" s="52" t="inlineStr"/>
    </row>
    <row r="87" s="41">
      <c r="A87" s="52" t="n">
        <v>74</v>
      </c>
      <c r="B87" s="52" t="inlineStr">
        <is>
          <t>62016CJ0611.md</t>
        </is>
      </c>
      <c r="C87" s="52" t="inlineStr">
        <is>
          <t>Court Decision</t>
        </is>
      </c>
      <c r="D87" s="52" t="inlineStr">
        <is>
          <t>EU</t>
        </is>
      </c>
      <c r="E87" s="52" t="inlineStr">
        <is>
          <t>3db04834-4025-49ed-ae15-42e6d03d00b0</t>
        </is>
      </c>
      <c r="F87" s="52" t="n"/>
      <c r="G87" s="52" t="n"/>
      <c r="H87" s="52" t="inlineStr"/>
    </row>
    <row r="88" s="41">
      <c r="A88" s="52" t="n">
        <v>75</v>
      </c>
      <c r="B88" s="52" t="inlineStr">
        <is>
          <t>93368-2520-investigations-the-court-of-justice-of-the-european-union-rules-that-an-act.md</t>
        </is>
      </c>
      <c r="C88" s="52" t="inlineStr">
        <is>
          <t>Bulletin article</t>
        </is>
      </c>
      <c r="D88" s="52" t="n"/>
      <c r="E88" s="52" t="inlineStr">
        <is>
          <t>eb4af447-a8d7-4102-8c9b-20f8865d5fea</t>
        </is>
      </c>
      <c r="F88" s="52" t="n"/>
      <c r="G88" s="52" t="n"/>
      <c r="H88" s="52" t="inlineStr"/>
    </row>
    <row r="89" s="41">
      <c r="A89" s="52" t="n">
        <v>76</v>
      </c>
      <c r="B89" s="52" t="inlineStr">
        <is>
          <t>103260-35-necessary-limits-to-the-commission-s-inspection-powers.md</t>
        </is>
      </c>
      <c r="C89" s="52" t="inlineStr">
        <is>
          <t>Article (Review)</t>
        </is>
      </c>
      <c r="D89" s="52" t="n"/>
      <c r="E89" s="52" t="inlineStr">
        <is>
          <t>bef18b4b-bb03-49c0-a7aa-afed485ec5d2</t>
        </is>
      </c>
      <c r="F89" s="52" t="n"/>
      <c r="G89" s="52" t="n"/>
      <c r="H89" s="52" t="inlineStr"/>
    </row>
    <row r="90" s="41">
      <c r="A90" s="52" t="n">
        <v>77</v>
      </c>
      <c r="B90" s="52" t="inlineStr">
        <is>
          <t>62013TJ0219.md</t>
        </is>
      </c>
      <c r="C90" s="52" t="inlineStr">
        <is>
          <t>Court Decision</t>
        </is>
      </c>
      <c r="D90" s="52" t="inlineStr">
        <is>
          <t>EU</t>
        </is>
      </c>
      <c r="E90" s="52" t="inlineStr">
        <is>
          <t>87e5f9af-d387-4b32-bab1-26622717af34</t>
        </is>
      </c>
      <c r="F90" s="52" t="n"/>
      <c r="G90" s="52" t="n"/>
      <c r="H90" s="52" t="inlineStr"/>
    </row>
    <row r="91" s="41">
      <c r="A91" s="52" t="n">
        <v>78</v>
      </c>
      <c r="B91" s="52" t="inlineStr">
        <is>
          <t>62018CJ0056.md</t>
        </is>
      </c>
      <c r="C91" s="52" t="inlineStr">
        <is>
          <t>Court Decision</t>
        </is>
      </c>
      <c r="D91" s="52" t="inlineStr">
        <is>
          <t>EU</t>
        </is>
      </c>
      <c r="E91" s="52" t="inlineStr">
        <is>
          <t>4ba456ff-b77d-491b-bd04-801c30595086</t>
        </is>
      </c>
      <c r="F91" s="52" t="n"/>
      <c r="G91" s="52" t="n"/>
      <c r="H91" s="52" t="inlineStr"/>
    </row>
    <row r="92" s="41">
      <c r="A92" s="52" t="n">
        <v>79</v>
      </c>
      <c r="B92" s="52" t="inlineStr">
        <is>
          <t>62021CJ0795.md</t>
        </is>
      </c>
      <c r="C92" s="52" t="inlineStr">
        <is>
          <t>Court Decision</t>
        </is>
      </c>
      <c r="D92" s="52" t="inlineStr">
        <is>
          <t>EU</t>
        </is>
      </c>
      <c r="E92" s="52" t="inlineStr">
        <is>
          <t>5a4f02ec-c67d-4d7b-8f01-5d3edbe5e851</t>
        </is>
      </c>
      <c r="F92" s="52" t="n"/>
      <c r="G92" s="52" t="n"/>
      <c r="H92" s="52" t="inlineStr"/>
    </row>
    <row r="93" s="41">
      <c r="A93" s="52" t="n">
        <v>80</v>
      </c>
      <c r="B93" s="52" t="inlineStr">
        <is>
          <t>62021CJ0792.md</t>
        </is>
      </c>
      <c r="C93" s="52" t="inlineStr">
        <is>
          <t>Court Decision</t>
        </is>
      </c>
      <c r="D93" s="52" t="inlineStr">
        <is>
          <t>EU</t>
        </is>
      </c>
      <c r="E93" s="52" t="inlineStr">
        <is>
          <t>2a32ce23-298f-4d99-a76a-52b5f408feda</t>
        </is>
      </c>
      <c r="F93" s="52" t="n"/>
      <c r="G93" s="52" t="n"/>
      <c r="H93" s="52" t="inlineStr"/>
    </row>
    <row r="94" s="41">
      <c r="A94" s="52" t="n">
        <v>81</v>
      </c>
      <c r="B94" s="52" t="inlineStr">
        <is>
          <t>62018CJ0601.md</t>
        </is>
      </c>
      <c r="C94" s="52" t="inlineStr">
        <is>
          <t>Court Decision</t>
        </is>
      </c>
      <c r="D94" s="52" t="inlineStr">
        <is>
          <t>EU</t>
        </is>
      </c>
      <c r="E94" s="52" t="inlineStr">
        <is>
          <t>d94571df-d56d-45c1-a02e-834714984963</t>
        </is>
      </c>
      <c r="F94" s="52" t="n"/>
      <c r="G94" s="52" t="n"/>
      <c r="H94" s="52" t="inlineStr"/>
    </row>
    <row r="95" s="41">
      <c r="A95" s="52" t="n">
        <v>82</v>
      </c>
      <c r="B95" s="52" t="inlineStr">
        <is>
          <t>94920-2150-inquiries-the-court-of-justice-of-the-european-union-dismisses-appeals-brou.md</t>
        </is>
      </c>
      <c r="C95" s="52" t="inlineStr">
        <is>
          <t>Bulletin article</t>
        </is>
      </c>
      <c r="D95" s="52" t="n"/>
      <c r="E95" s="52" t="inlineStr">
        <is>
          <t>e7e462f6-8d3e-4f46-92a9-57edcae44fd8</t>
        </is>
      </c>
      <c r="F95" s="52" t="n"/>
      <c r="G95" s="52" t="n"/>
      <c r="H95" s="52" t="inlineStr"/>
    </row>
    <row r="96" s="41">
      <c r="A96" s="52" t="n">
        <v>83</v>
      </c>
      <c r="B96" s="52" t="inlineStr">
        <is>
          <t>62015CO0523.md</t>
        </is>
      </c>
      <c r="C96" s="52" t="inlineStr">
        <is>
          <t>Court Decision</t>
        </is>
      </c>
      <c r="D96" s="52" t="inlineStr">
        <is>
          <t>EU</t>
        </is>
      </c>
      <c r="E96" s="52" t="inlineStr">
        <is>
          <t>b66f8514-c7d7-4322-9e3d-b85b2b24d658</t>
        </is>
      </c>
      <c r="F96" s="52" t="n"/>
      <c r="G96" s="52" t="n"/>
      <c r="H96" s="52" t="inlineStr"/>
    </row>
    <row r="97" s="41">
      <c r="A97" s="52" t="n">
        <v>84</v>
      </c>
      <c r="B97" s="52" t="inlineStr">
        <is>
          <t>62016CJ0123.md</t>
        </is>
      </c>
      <c r="C97" s="52" t="inlineStr">
        <is>
          <t>Court Decision</t>
        </is>
      </c>
      <c r="D97" s="52" t="inlineStr">
        <is>
          <t>EU</t>
        </is>
      </c>
      <c r="E97" s="52" t="inlineStr">
        <is>
          <t>22252c77-2086-4d9e-94b7-b7219394e299</t>
        </is>
      </c>
      <c r="F97" s="52" t="n"/>
      <c r="G97" s="52" t="n"/>
      <c r="H97" s="52" t="inlineStr"/>
    </row>
    <row r="98" s="41">
      <c r="A98" s="52" t="n">
        <v>85</v>
      </c>
      <c r="B98" s="52" t="inlineStr">
        <is>
          <t>62020CC0376.md</t>
        </is>
      </c>
      <c r="C98" s="52" t="inlineStr">
        <is>
          <t>Court Decision</t>
        </is>
      </c>
      <c r="D98" s="52" t="inlineStr">
        <is>
          <t>EU</t>
        </is>
      </c>
      <c r="E98" s="52" t="inlineStr">
        <is>
          <t>cebd4962-06e0-43a6-ac13-b9cc9b05c9e7</t>
        </is>
      </c>
      <c r="F98" s="52" t="n"/>
      <c r="G98" s="52" t="n"/>
      <c r="H98" s="52" t="inlineStr"/>
    </row>
    <row r="99" s="41">
      <c r="A99" s="52" t="n">
        <v>86</v>
      </c>
      <c r="B99" s="52" t="inlineStr">
        <is>
          <t>62021CC0320.md</t>
        </is>
      </c>
      <c r="C99" s="52" t="inlineStr">
        <is>
          <t>Bulletin article</t>
        </is>
      </c>
      <c r="D99" s="52" t="inlineStr">
        <is>
          <t>EU</t>
        </is>
      </c>
      <c r="E99" s="52" t="inlineStr">
        <is>
          <t>75a5ded3-767b-4407-994f-4851c80f8279</t>
        </is>
      </c>
      <c r="F99" s="52" t="n"/>
      <c r="G99" s="52" t="n"/>
      <c r="H99" s="52" t="inlineStr"/>
    </row>
    <row r="100" s="41">
      <c r="A100" s="52" t="n">
        <v>87</v>
      </c>
      <c r="B100" s="52" t="inlineStr">
        <is>
          <t>42450.md</t>
        </is>
      </c>
      <c r="C100" s="52" t="inlineStr">
        <is>
          <t>Bulletin article</t>
        </is>
      </c>
      <c r="D100" s="52" t="n"/>
      <c r="E100" s="52" t="inlineStr">
        <is>
          <t>a1b4b6f8-67ab-4961-a0e8-5bfb813f0936</t>
        </is>
      </c>
      <c r="F100" s="52" t="n"/>
      <c r="G100" s="52" t="n"/>
      <c r="H100" s="52" t="inlineStr"/>
    </row>
    <row r="101" s="41">
      <c r="A101" s="52" t="n">
        <v>88</v>
      </c>
      <c r="B101" s="52" t="inlineStr">
        <is>
          <t>62012CC0527.md</t>
        </is>
      </c>
      <c r="C101" s="52" t="inlineStr">
        <is>
          <t>Bulletin article</t>
        </is>
      </c>
      <c r="D101" s="52" t="inlineStr">
        <is>
          <t>EU</t>
        </is>
      </c>
      <c r="E101" s="52" t="inlineStr">
        <is>
          <t>44a79c29-656d-4347-a382-ce74397c7cbb</t>
        </is>
      </c>
      <c r="F101" s="52" t="n"/>
      <c r="G101" s="52" t="n"/>
      <c r="H101" s="52" t="inlineStr"/>
    </row>
    <row r="102" s="41">
      <c r="A102" s="52" t="n">
        <v>89</v>
      </c>
      <c r="B102" s="52" t="inlineStr">
        <is>
          <t>82445.md</t>
        </is>
      </c>
      <c r="C102" s="52" t="inlineStr">
        <is>
          <t>Article (Review)</t>
        </is>
      </c>
      <c r="D102" s="52" t="n"/>
      <c r="E102" s="52" t="inlineStr">
        <is>
          <t>1be45df1-87e1-4ba2-bdd9-76e5fe184f97</t>
        </is>
      </c>
      <c r="F102" s="52" t="n"/>
      <c r="G102" s="52" t="n"/>
      <c r="H102" s="52" t="inlineStr"/>
    </row>
    <row r="103" s="41">
      <c r="A103" s="52" t="n">
        <v>90</v>
      </c>
      <c r="B103" s="52" t="inlineStr">
        <is>
          <t>62019TJ0195.md</t>
        </is>
      </c>
      <c r="C103" s="52" t="inlineStr">
        <is>
          <t>Court Decision</t>
        </is>
      </c>
      <c r="D103" s="52" t="inlineStr">
        <is>
          <t>EU</t>
        </is>
      </c>
      <c r="E103" s="52" t="inlineStr">
        <is>
          <t>42c42170-1a3d-4049-994a-af344818ee70</t>
        </is>
      </c>
      <c r="F103" s="52" t="n"/>
      <c r="G103" s="52" t="n"/>
      <c r="H103" s="52" t="inlineStr"/>
    </row>
    <row r="104" s="41">
      <c r="A104" s="52" t="n">
        <v>91</v>
      </c>
      <c r="B104" s="52" t="inlineStr">
        <is>
          <t>129913.md</t>
        </is>
      </c>
      <c r="C104" s="52" t="inlineStr">
        <is>
          <t>Bulletin article</t>
        </is>
      </c>
      <c r="D104" s="52" t="n"/>
      <c r="E104" s="52" t="inlineStr">
        <is>
          <t>3a32afa7-1686-4dd5-83df-28c025e3c011</t>
        </is>
      </c>
      <c r="F104" s="52" t="n"/>
      <c r="G104" s="52" t="n"/>
      <c r="H104" s="52" t="inlineStr"/>
    </row>
    <row r="105" s="41">
      <c r="A105" s="52" t="n">
        <v>92</v>
      </c>
      <c r="B105" s="52" t="inlineStr">
        <is>
          <t>62013CJ0583.md</t>
        </is>
      </c>
      <c r="C105" s="52" t="inlineStr">
        <is>
          <t>Court Decision</t>
        </is>
      </c>
      <c r="D105" s="52" t="inlineStr">
        <is>
          <t>EU</t>
        </is>
      </c>
      <c r="E105" s="52" t="inlineStr">
        <is>
          <t>7b8f60ed-1acc-484e-b298-5a745b6b18f3</t>
        </is>
      </c>
      <c r="F105" s="52" t="n"/>
      <c r="G105" s="52" t="n"/>
      <c r="H105" s="52" t="inlineStr"/>
    </row>
    <row r="106" s="41">
      <c r="A106" s="52" t="n">
        <v>93</v>
      </c>
      <c r="B106" s="52" t="inlineStr">
        <is>
          <t>62020CC0690.md</t>
        </is>
      </c>
      <c r="C106" s="52" t="inlineStr">
        <is>
          <t>Bulletin article</t>
        </is>
      </c>
      <c r="D106" s="52" t="inlineStr">
        <is>
          <t>EU</t>
        </is>
      </c>
      <c r="E106" s="52" t="inlineStr">
        <is>
          <t>349cac6b-c1bd-4e7c-a092-8bef2db77ad2</t>
        </is>
      </c>
      <c r="F106" s="52" t="n"/>
      <c r="G106" s="52" t="n"/>
      <c r="H106" s="52" t="inlineStr"/>
    </row>
    <row r="107" s="41">
      <c r="A107" s="52" t="n">
        <v>94</v>
      </c>
      <c r="B107" s="52" t="inlineStr">
        <is>
          <t>AT.37990-DEC_D1115C27-9B1D-401A-A930-8895EBEFC8F6_-ATT3581.md</t>
        </is>
      </c>
      <c r="C107" s="52" t="inlineStr">
        <is>
          <t>Regulatory Decision</t>
        </is>
      </c>
      <c r="D107" s="52" t="inlineStr">
        <is>
          <t>EU</t>
        </is>
      </c>
      <c r="E107" s="52" t="inlineStr">
        <is>
          <t>b320e5cc-5605-4cb5-9f85-f6decae603d2</t>
        </is>
      </c>
      <c r="F107" s="52" t="n"/>
      <c r="G107" s="52" t="n"/>
      <c r="H107" s="52" t="inlineStr"/>
    </row>
    <row r="108" s="41">
      <c r="A108" s="52" t="n">
        <v>95</v>
      </c>
      <c r="B108" s="52" t="inlineStr">
        <is>
          <t>AT.40588-DEC_3BB0CA7D-3722-43A5-85E8-BF3CA6EB441B_-ATT6339.md</t>
        </is>
      </c>
      <c r="C108" s="52" t="inlineStr">
        <is>
          <t>Regulatory Decision</t>
        </is>
      </c>
      <c r="D108" s="52" t="inlineStr">
        <is>
          <t>EU</t>
        </is>
      </c>
      <c r="E108" s="52" t="inlineStr">
        <is>
          <t>9d692a02-4ebd-41a5-ae70-af412829d83f</t>
        </is>
      </c>
      <c r="F108" s="52" t="n"/>
      <c r="G108" s="52" t="n"/>
      <c r="H108" s="52" t="inlineStr"/>
    </row>
    <row r="109" s="41">
      <c r="A109" s="52" t="n">
        <v>96</v>
      </c>
      <c r="B109" s="52" t="inlineStr">
        <is>
          <t>62019CJ0453.md</t>
        </is>
      </c>
      <c r="C109" s="52" t="inlineStr">
        <is>
          <t>Court Decision</t>
        </is>
      </c>
      <c r="D109" s="52" t="inlineStr">
        <is>
          <t>EU</t>
        </is>
      </c>
      <c r="E109" s="52" t="inlineStr">
        <is>
          <t>49dd1f12-eb01-43fb-b8ee-c95b7a66173a</t>
        </is>
      </c>
      <c r="F109" s="52" t="n"/>
      <c r="G109" s="52" t="n"/>
      <c r="H109" s="52" t="inlineStr"/>
    </row>
    <row r="110" s="41">
      <c r="A110" s="52" t="n">
        <v>97</v>
      </c>
      <c r="B110" s="52" t="inlineStr">
        <is>
          <t>62019TJ0508.md</t>
        </is>
      </c>
      <c r="C110" s="52" t="inlineStr">
        <is>
          <t>Court Decision</t>
        </is>
      </c>
      <c r="D110" s="52" t="inlineStr">
        <is>
          <t>EU</t>
        </is>
      </c>
      <c r="E110" s="52" t="inlineStr">
        <is>
          <t>b52e9f2f-7cb6-4234-9cc7-55555f2771bf</t>
        </is>
      </c>
      <c r="F110" s="52" t="n"/>
      <c r="G110" s="52" t="n"/>
      <c r="H110" s="52" t="inlineStr"/>
    </row>
    <row r="111" s="41">
      <c r="A111" s="52" t="n">
        <v>98</v>
      </c>
      <c r="B111" s="52" t="inlineStr">
        <is>
          <t>62019CC0167.md</t>
        </is>
      </c>
      <c r="C111" s="52" t="inlineStr">
        <is>
          <t>Bulletin article</t>
        </is>
      </c>
      <c r="D111" s="52" t="inlineStr">
        <is>
          <t>EU</t>
        </is>
      </c>
      <c r="E111" s="52" t="inlineStr">
        <is>
          <t>0f9f25d3-e6bb-427b-b154-230dcf2c1e1b</t>
        </is>
      </c>
      <c r="F111" s="52" t="n"/>
      <c r="G111" s="52" t="n"/>
      <c r="H111" s="52" t="inlineStr"/>
    </row>
    <row r="112" s="41">
      <c r="A112" s="52" t="n">
        <v>99</v>
      </c>
      <c r="B112" s="52" t="inlineStr">
        <is>
          <t>123082.md</t>
        </is>
      </c>
      <c r="C112" s="52" t="inlineStr">
        <is>
          <t>Bulletin article</t>
        </is>
      </c>
      <c r="D112" s="52" t="n"/>
      <c r="E112" s="52" t="inlineStr">
        <is>
          <t>18ab192b-10fe-48eb-95a5-bfcc61cd2c9d</t>
        </is>
      </c>
      <c r="F112" s="52" t="n"/>
      <c r="G112" s="52" t="n"/>
      <c r="H112" s="52" t="inlineStr"/>
    </row>
    <row r="113" s="41">
      <c r="A113" s="52" t="n">
        <v>100</v>
      </c>
      <c r="B113" s="52" t="inlineStr">
        <is>
          <t>62022CC0255.md</t>
        </is>
      </c>
      <c r="C113" s="52" t="inlineStr">
        <is>
          <t>Court Decision</t>
        </is>
      </c>
      <c r="D113" s="52" t="inlineStr">
        <is>
          <t>EU</t>
        </is>
      </c>
      <c r="E113" s="52" t="inlineStr">
        <is>
          <t>682fdea6-9fd0-484b-866e-24e920319756</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When a company under European Commission inspection claims that a seized document is protected by legal professional privilege, the General Court's AM&amp;S/Akzo Nobel case law establishes a three-step procedure: the company must first give the Commission's officials material demonstrating that the document meets the conditions for privilege without revealing its content; if the Commission is not satisfied, it may take a copy of the document and place it in a sealed envelope pending resolution of the dispute; and if the disagreement persists, it is for the EU Courts alone, not an arbitrator or national authority, to settle whether the document is privileged.</t>
        </is>
      </c>
      <c r="C117" s="23" t="inlineStr">
        <is>
          <t>[19] eu-antitrust-enforcement--14_xiii_legal_professional_privilege_in_eu_antitrust_enforcement_law_policy_and_procedure.md
[26] 62003TJ0125.md</t>
        </is>
      </c>
      <c r="D117" s="23" t="n"/>
      <c r="E117" s="23" t="inlineStr">
        <is>
          <t>[eu-antitrust-enforcement--14_xiii_legal_professional_privilege_in_eu_antitrust_enforcement_law_policy_and_procedure.md l.655-688] between itself and its lawyer, it must provide the Commission’s authorised agents with relevant material of such a nature as to demonstrate that the communications fulfil the ­conditions
for being granted legal protection, although it is not bound to reveal the contents of the
communications in question.1108 The company may, in particular, inform the Commission of
the author of the document and for whom it was intended, explain the respective duties and
responsibilities of each, and refer to the objective and the context in which the document
was drawn up. Similarly, it may also mention the context in which the document was found,
the way in which it was filed and any related documents.1109
The mere fact that a company claims that a document is protected by legal professional privilege is 
[62003TJ0125.md l.8-8] 62003TJ0125_EN Parties Grounds Operative part Parties In Joined Cases T‑125/03 and T‑253/03, Akzo Nobel Chemicals Ltd, established in Hersham, Walton on Thames, Surrey (United Kingdom), Akcros Chemicals Ltd, established in Hersham, Walton on Thames, Surrey, represented by C. Swaak, M. Mollica and M. van der Woude, lawyers, applicants, supported by The Council of the Bars and Law Societies of the European Union (CCBE), established in Brussels (Belgium), represented by J. Flynn QC, by Algemene Raad van de Nederlandse Orde van Advocaten, established in The Hague (Netherlands), represented by O. Brouwer and C. Schillemans, lawyers, by European Company Lawyers Association (ECLA), established in Brussels, represented by M. Dolmans, K. Nordlander, lawyers, and J. Temple Lang, solicitor, by Americ</t>
        </is>
      </c>
      <c r="F117" s="23" t="n"/>
      <c r="G117" s="40" t="n"/>
      <c r="H117" s="40" t="n"/>
    </row>
    <row r="118" ht="15.75" customHeight="1" s="41">
      <c r="A118" s="23" t="n">
        <v>2</v>
      </c>
      <c r="B118" s="23" t="inlineStr">
        <is>
          <t>A Commission decision formally rejecting a company's claim that seized documents are protected by legal professional privilege is itself a challengeable act open to an action for annulment, because it brings to an end a special procedure distinct from any decision on the substance of a competition infringement and produces a definitive change in the company's legal position independent of whether an infringement is ever found.</t>
        </is>
      </c>
      <c r="C118" s="23" t="inlineStr">
        <is>
          <t>[19] eu-antitrust-enforcement--14_xiii_legal_professional_privilege_in_eu_antitrust_enforcement_law_policy_and_procedure.md
[26] 62003TJ0125.md</t>
        </is>
      </c>
      <c r="D118" s="23" t="n"/>
      <c r="E118" s="23" t="inlineStr">
        <is>
          <t>[eu-antitrust-enforcement--14_xiii_legal_professional_privilege_in_eu_antitrust_enforcement_law_policy_and_procedure.md l.714-722] If the European Commission wants to open the sealed envelope and read the contents of
the document, it must first adopt a decision rejecting the company’s legal professional
privilege claim, thus allowing the company concerned to refer the matter to the EU
General Court, and to make an application for interim measures seeking suspension of
operation of the decision rejecting the legal professional privilege claim.1115
Only if the company either does not bring such an application before the EU General
Court or after its application has been rejected by the EU Courts (General Court as well
as, on a possible further appeal on points of law, Court of Justice) can the European
Commission open the sealed envelope and read the contents of the document.1116
[62003TJ0125.md l.8-8] 62003TJ0125_EN Parties Grounds Operative part Parties In Joined Cases T‑125/03 and T‑253/03, Akzo Nobel Chemicals Ltd, established in Hersham, Walton on Thames, Surrey (United Kingdom), Akcros Chemicals Ltd, established in Hersham, Walton on Thames, Surrey, represented by C. Swaak, M. Mollica and M. van der Woude, lawyers, applicants, supported by The Council of the Bars and Law Societies of the European Union (CCBE), established in Brussels (Belgium), represented by J. Flynn QC, by Algemene Raad van de Nederlandse Orde van Advocaten, established in The Hague (Netherlands), represented by O. Brouwer and C. Schillemans, lawyers, by European Company Lawyers Association (ECLA), established in Brussels, represented by M. Dolmans, K. Nordlander, lawyers, and J. Temple Lang, solicitor, by Americ</t>
        </is>
      </c>
      <c r="F118" s="23" t="n"/>
      <c r="G118" s="40" t="n"/>
      <c r="H118" s="40" t="n"/>
    </row>
    <row r="119" ht="15.75" customHeight="1" s="41">
      <c r="A119" s="23" t="n">
        <v>4</v>
      </c>
      <c r="B119" s="23" t="inlineStr">
        <is>
          <t>Because an annulment action against the rejection decision has no automatic suspensory effect, a company wishing to stop the Commission from reading documents it believes are privileged must couple its action for annulment with an application for interim relief, historically under Articles 242 and 243 EC and now under Articles 278 and 279 TFEU, seeking suspension of the rejection decision until the Court rules on the substance.</t>
        </is>
      </c>
      <c r="C119" s="23" t="inlineStr">
        <is>
          <t>[26] 62003TJ0125.md</t>
        </is>
      </c>
      <c r="D119" s="23" t="n"/>
      <c r="E119" s="23" t="inlineStr">
        <is>
          <t>[62003TJ0125.md l.8-8] 62003TJ0125_EN Parties Grounds Operative part Parties In Joined Cases T‑125/03 and T‑253/03, Akzo Nobel Chemicals Ltd, established in Hersham, Walton on Thames, Surrey (United Kingdom), Akcros Chemicals Ltd, established in Hersham, Walton on Thames, Surrey, represented by C. Swaak, M. Mollica and M. van der Woude, lawyers, applicants, supported by The Council of the Bars and Law Societies of the European Union (CCBE), established in Brussels (Belgium), represented by J. Flynn QC, by Algemene Raad van de Nederlandse Orde van Advocaten, established in The Hague (Netherlands), represented by O. Brouwer and C. Schillemans, lawyers, by European Company Lawyers Association (ECLA), established in Brussels, represented by M. Dolmans, K. Nordlander, lawyers, and J. Temple Lang, solicitor, by Americ</t>
        </is>
      </c>
      <c r="F119" s="23" t="n"/>
      <c r="G119" s="40" t="n"/>
      <c r="H119" s="40" t="n"/>
    </row>
    <row r="120" ht="15.75" customHeight="1" s="41">
      <c r="A120" s="23" t="n">
        <v>6</v>
      </c>
      <c r="B120" s="23" t="inlineStr">
        <is>
          <t>On further appeal in the Akzo Nobel dispute, the Court of Justice confirmed that a company's interest in pursuing its annulment action against the rejection decision persists for as long as the Commission retains the seized documents or copies of them, because a breach of legal professional privilege occurs at the moment the Commission's officials seize the document, not merely when the Commission later relies on it in a decision on the merits.</t>
        </is>
      </c>
      <c r="C120" s="23" t="inlineStr">
        <is>
          <t>[20] 62007CJ0550.md</t>
        </is>
      </c>
      <c r="D120" s="23" t="n"/>
      <c r="E120" s="23" t="inlineStr">
        <is>
          <t>[62007CJ0550.md l.357-379] 24 A
s regards the present appeal, the Commission’s assertion that the two e-mails e x-
changed between the Director General of Akcros and Mr S. clearly could not be cov-
ered by legal professional privilege, is not capable of affecting the appellants’ interest 
in bringing proceedings. Such an argument, which seeks to show that the General 
Court rightly held that the two e-mails at issue are not covered by legal professional 
privilege is not a matter of admissibility, but pertains to the substance of the appeal.
25 A
s to the Commission’s argument that the adoption of the decision of 11 November 
2009 eliminated the appellants’ interest in pursuing the present proceedings, it must 
be recalled that, by the rejection decision of 8 May 2003, which is the subject-matter 
of the judgment un</t>
        </is>
      </c>
      <c r="F120" s="23" t="n"/>
      <c r="G120" s="40" t="n"/>
      <c r="H120" s="40" t="n"/>
    </row>
    <row r="121" ht="15.75" customHeight="1" s="41">
      <c r="A121" s="23" t="n">
        <v>7</v>
      </c>
      <c r="B121" s="23" t="inlineStr">
        <is>
          <t>A company can also try to raise the unlawfulness of a privileged-document seizure within a later action against the Commission's final decision finding an infringement, but the General Court has held that this route does not provide adequate protection, since the administrative procedure may never culminate in an infringement decision at all and, even where it does, a subsequent annulment action cannot undo the irreversible harm already caused by the Commission having read the privileged material during the investigation.</t>
        </is>
      </c>
      <c r="C121" s="23" t="inlineStr">
        <is>
          <t>[26] 62003TJ0125.md</t>
        </is>
      </c>
      <c r="D121" s="23" t="n"/>
      <c r="E121" s="23" t="inlineStr">
        <is>
          <t>[62003TJ0125.md l.8-8] 62003TJ0125_EN Parties Grounds Operative part Parties In Joined Cases T‑125/03 and T‑253/03, Akzo Nobel Chemicals Ltd, established in Hersham, Walton on Thames, Surrey (United Kingdom), Akcros Chemicals Ltd, established in Hersham, Walton on Thames, Surrey, represented by C. Swaak, M. Mollica and M. van der Woude, lawyers, applicants, supported by The Council of the Bars and Law Societies of the European Union (CCBE), established in Brussels (Belgium), represented by J. Flynn QC, by Algemene Raad van de Nederlandse Orde van Advocaten, established in The Hague (Netherlands), represented by O. Brouwer and C. Schillemans, lawyers, by European Company Lawyers Association (ECLA), established in Brussels, represented by M. Dolmans, K. Nordlander, lawyers, and J. Temple Lang, solicitor, by Americ</t>
        </is>
      </c>
      <c r="F121" s="23" t="n"/>
      <c r="G121" s="40" t="n"/>
      <c r="H121" s="40" t="n"/>
    </row>
    <row r="122" ht="15.75" customHeight="1" s="41">
      <c r="A122" s="23" t="n">
        <v>8</v>
      </c>
      <c r="B122" s="23" t="inlineStr">
        <is>
          <t>Separately from court proceedings, a company may ask the Commission's Hearing Officer to examine a legal-professional-privilege claim under Article 4(2)(a) of the Hearing Officer's Terms of Reference, but this avenue is available only after the matter has first been raised with DG Competition, only where the document has actually been withheld from the Commission (including by use of the sealed-envelope procedure), and only if the company consents to the Hearing Officer viewing the disputed material.</t>
        </is>
      </c>
      <c r="C122" s="23" t="inlineStr">
        <is>
          <t>[12] eu-antitrust-enforcement--12_xi_the_role_of_the_hearing_officer_in_antitrust_proceedings_before_the_european_commission.md</t>
        </is>
      </c>
      <c r="D122" s="23" t="n"/>
      <c r="E122" s="23" t="inlineStr">
        <is>
          <t>[eu-antitrust-enforcement--12_xi_the_role_of_the_hearing_officer_in_antitrust_proceedings_before_the_european_commission.md l.928-963] Article 4(2)(a), read in conjunction with Article 3(7), of the Terms of Reference, pro­
vides that, where an undertaking or association of undertakings has withheld from the
Commission a document, claiming that it is covered by legal professional privilege within
the meaning of the case law of the Court of Justice, the undertaking or association of
undertakings may, after having raised the matter with DG Competition, ask the Hearing
Officer to examine the claim. The Hearing Officer may only review the matter if the
undertaking or association of undertakings making the claim consents to the Hearing
Officer viewing the information claimed to be covered by legal professional privilege as
well as related documents that the Hearing Officer considers necessary for their review.
Without revealing</t>
        </is>
      </c>
      <c r="F122" s="23" t="n"/>
      <c r="G122" s="40" t="n"/>
      <c r="H122" s="40" t="n"/>
    </row>
    <row r="123" ht="15.75" customHeight="1" s="41">
      <c r="A123" s="23" t="n">
        <v>9</v>
      </c>
      <c r="B123" s="23" t="inlineStr">
        <is>
          <t>Because the Hearing Officer's recommendation on a privilege claim carries no binding legal force, if the Commission still wishes to use the document after that recommendation the company maintains its claim, the Commission must adopt a formal decision ordering production of the document or opening the sealed envelope, which in turn allows the company to bring the matter before the General Court through an application for annulment accompanied by a request for interim relief, just as it could have done without invoking the Hearing Officer at all.</t>
        </is>
      </c>
      <c r="C123" s="23" t="inlineStr">
        <is>
          <t>[12] eu-antitrust-enforcement--12_xi_the_role_of_the_hearing_officer_in_antitrust_proceedings_before_the_european_commission.md</t>
        </is>
      </c>
      <c r="D123" s="23" t="n"/>
      <c r="E123" s="23" t="inlineStr">
        <is>
          <t>[eu-antitrust-enforcement--12_xi_the_role_of_the_hearing_officer_in_antitrust_proceedings_before_the_european_commission.md l.944-951] The Hearing Officer’s recommendation has no binding force.944 If, after the intervention
of the Hearing Officer, the undertaking maintains its claim, and the Commission still
wants to read and use the document, then the Commission must do what it would also
have to do if the intervention of the Hearing Officer had not been asked, namely, take a
decision ordering production of the document or opening the sealed envelope, allowing
the undertaking to bring the matter immediately before the General Court through an
application for annulment of that decision and an accompanying request for interim
relief.945</t>
        </is>
      </c>
      <c r="F123" s="23" t="n"/>
      <c r="G123" s="40" t="n"/>
      <c r="H123" s="40" t="n"/>
    </row>
    <row r="124" ht="15.75" customHeight="1" s="41">
      <c r="A124" s="23" t="n">
        <v>13</v>
      </c>
      <c r="B124" s="23" t="inlineStr">
        <is>
          <t>These positions are reconcilable rather than contradictory: EU case law treats the inadequacy of any single remedy, including a later challenge folded into the final infringement decision, as the very reason why courts assess the right to an effective remedy by reference to the whole arsenal of available actions taken together, so that the acknowledged shortcomings of one route are compensated by the combination of the action against the rejection decision, the action against the inspection decision itself, the application for interim relief, and the action for damages, rather than by relying on the final-decision challenge in isolation.</t>
        </is>
      </c>
      <c r="C124" s="23" t="inlineStr">
        <is>
          <t>[4] judicial-review-competition-cases--6_european_union_-_judicial_review_of_inspection_decisions.md</t>
        </is>
      </c>
      <c r="D124" s="23" t="n"/>
      <c r="E124" s="23" t="inlineStr">
        <is>
          <t>[judicial-review-competition-cases--6_european_union_-_judicial_review_of_inspection_decisions.md l.725-745] A decision made in the course of an inspection to reject a request to withhold
documents on grounds of confidentiality as between lawyers and clients is a
challengeable act. Taking that point in the context of an action against a finding
that the competition rules had been breached was an inadequate remedy since
that action would not prevent certain irreversible consequences that could flow
from a breach of legal professional privilege.49
The complaint that the remedies available are restricted since they do not
facilitate challenges launched by undertakings in the course of an inspection
was met by the observation that actions may be brought for the annulment of
acts carried out in the course of an inspection, provided those actions meet the
requirements of article 263, fourth paragraph T
[judicial-review-competition-cases--6_european_union_-_judicial_review_of_inspection_decisions.md l.793-818] On the basis of these observations, the General Court considered that the system
for the judicial review of the conduct of inspection operations satisfied the four
conditions it had distilled from the case law of the European Court of Human
Rights.
As for the criterion of effectiveness: the review of inspection decisions that the
treaties provided for requires the EU courts to carry out an in-depth review of
the law and of the facts on the basis of the evidence adduced by the applicant
in support of the pleas in law it put forward.55 The combination of the legal
remedies available permits a review of the various measures taken in the course
of an inspection.56 That an undertaking to which an inspection decision is
addressed may be required to take certain steps to preserve its rights and t</t>
        </is>
      </c>
      <c r="F124" s="23" t="n"/>
      <c r="G124" s="40" t="n"/>
      <c r="H124" s="40" t="n"/>
    </row>
    <row r="125" ht="15.75" customHeight="1" s="41">
      <c r="A125" s="23" t="n"/>
      <c r="B125" s="23" t="n"/>
      <c r="C125" s="23" t="n"/>
      <c r="D125" s="23" t="n"/>
      <c r="E125" s="23" t="n"/>
      <c r="F125" s="23" t="n"/>
      <c r="G125" s="40" t="n"/>
      <c r="H125" s="40" t="n"/>
    </row>
    <row r="126" ht="15.75" customHeight="1" s="41">
      <c r="A126" s="40" t="n"/>
      <c r="B126" s="40" t="n"/>
      <c r="C126" s="40" t="n"/>
      <c r="D126" s="40" t="n"/>
      <c r="E126" s="40" t="n"/>
      <c r="F126" s="40" t="n"/>
      <c r="G126" s="40" t="n"/>
      <c r="H126" s="40" t="n"/>
    </row>
    <row r="127" ht="15.75" customHeight="1" s="41">
      <c r="A127" s="44" t="inlineStr">
        <is>
          <t>Final expert verdict</t>
        </is>
      </c>
    </row>
    <row r="128" ht="15.75" customHeight="1" s="41">
      <c r="A128" s="28" t="inlineStr">
        <is>
          <t>Reviewer</t>
        </is>
      </c>
      <c r="B128" s="23" t="n"/>
      <c r="C128" s="28" t="n"/>
      <c r="D128" s="29" t="n"/>
      <c r="E128" s="23" t="n"/>
      <c r="F128" s="23" t="n"/>
      <c r="G128" s="23" t="n"/>
      <c r="H128" s="23" t="n"/>
    </row>
    <row r="129" ht="15.75" customHeight="1" s="41">
      <c r="A129" s="28" t="inlineStr">
        <is>
          <t>Is the answer acceptable?</t>
        </is>
      </c>
      <c r="B129" s="30" t="n"/>
      <c r="C129" s="28" t="n"/>
      <c r="D129" s="29" t="n"/>
      <c r="E129" s="23" t="n"/>
      <c r="F129" s="23" t="n"/>
      <c r="G129" s="23" t="n"/>
      <c r="H129" s="23" t="n"/>
    </row>
    <row r="130" ht="15.75" customHeight="1" s="41">
      <c r="A130" s="28" t="inlineStr">
        <is>
          <t>Overall comment / required fixes</t>
        </is>
      </c>
      <c r="B130" s="23" t="n"/>
      <c r="C130" s="45" t="n"/>
      <c r="D130" s="45" t="n"/>
      <c r="E130" s="45" t="n"/>
      <c r="F130" s="45" t="n"/>
      <c r="G130" s="45" t="n"/>
      <c r="H130" s="46" t="n"/>
    </row>
    <row r="131" ht="15.75" customHeight="1" s="41">
      <c r="A131" s="28" t="inlineStr">
        <is>
          <t>Review completed?</t>
        </is>
      </c>
      <c r="B131" s="30" t="n"/>
      <c r="C131" s="28" t="n"/>
      <c r="D131" s="29" t="n"/>
      <c r="E131" s="23" t="n"/>
      <c r="F131" s="23" t="n"/>
      <c r="G131" s="23" t="n"/>
      <c r="H131" s="23" t="n"/>
    </row>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c r="A160" s="44" t="inlineStr">
        <is>
          <t>Original source notes</t>
        </is>
      </c>
      <c r="I160" s="40" t="n"/>
      <c r="J160" s="40" t="n"/>
    </row>
    <row r="161" ht="15.75" customHeight="1" s="41">
      <c r="A161" s="28" t="inlineStr">
        <is>
          <t>WAB notes</t>
        </is>
      </c>
      <c r="B161" s="23" t="inlineStr">
        <is>
          <t>Your wording, unchanged.</t>
        </is>
      </c>
      <c r="C161" s="45" t="n"/>
      <c r="D161" s="45" t="n"/>
      <c r="E161" s="45" t="n"/>
      <c r="F161" s="45" t="n"/>
      <c r="G161" s="45" t="n"/>
      <c r="H161" s="46" t="n"/>
      <c r="I161" s="40" t="n"/>
      <c r="J161" s="40" t="n"/>
    </row>
    <row r="162" ht="15.75" customHeight="1" s="41">
      <c r="A162" s="28" t="inlineStr">
        <is>
          <t>Reviewer notes from question approval</t>
        </is>
      </c>
      <c r="B162" s="23" t="inlineStr">
        <is>
          <t>agreed.</t>
        </is>
      </c>
      <c r="C162" s="47" t="n"/>
      <c r="D162" s="47" t="n"/>
      <c r="E162" s="47" t="n"/>
      <c r="F162" s="47" t="n"/>
      <c r="G162" s="47" t="n"/>
      <c r="H162" s="48" t="n"/>
      <c r="I162" s="40" t="n"/>
      <c r="J162" s="40" t="n"/>
    </row>
    <row r="163" ht="15.75" customHeight="1" s="41">
      <c r="A163" s="23" t="n"/>
      <c r="B163" s="49" t="n"/>
      <c r="C163" s="50" t="n"/>
      <c r="D163" s="50" t="n"/>
      <c r="E163" s="50" t="n"/>
      <c r="F163" s="50" t="n"/>
      <c r="G163" s="50" t="n"/>
      <c r="H163" s="51" t="n"/>
      <c r="I163" s="40" t="n"/>
      <c r="J163" s="40" t="n"/>
    </row>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Q18 — Expert Review</t>
        </is>
      </c>
    </row>
    <row r="2" hidden="1" s="41">
      <c r="A2" s="44" t="inlineStr">
        <is>
          <t>Question metadata</t>
        </is>
      </c>
    </row>
    <row r="3" hidden="1" s="41">
      <c r="A3" s="13" t="inlineStr">
        <is>
          <t>Question ID</t>
        </is>
      </c>
      <c r="B3" s="39" t="n">
        <v>18</v>
      </c>
    </row>
    <row r="4" hidden="1" s="41">
      <c r="A4" s="13" t="inlineStr">
        <is>
          <t>Topic</t>
        </is>
      </c>
      <c r="B4" s="40" t="inlineStr">
        <is>
          <t>Dawn raids — legal professional privilege</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At what stage is attorney-client privilege breached when US antitrust authorities gather documents — when the investigator reads the document, or only when it is later used?</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Your document gave this as "the same attorney-client privilege question transposed to US inspections". This is our wording of it. We had drafted a wider US question instead — how privilege is protected, what separates a criminal search from civil compulsory process, and what keeps privileged material away from the investigating team. Yours is narrower and sharper, so we used yours. Tell us if you want the wider version, or both.</t>
        </is>
      </c>
      <c r="C70" s="45" t="n"/>
      <c r="D70" s="45" t="n"/>
      <c r="E70" s="45" t="n"/>
      <c r="F70" s="45" t="n"/>
      <c r="G70" s="45" t="n"/>
      <c r="H70" s="46" t="n"/>
      <c r="I70" s="40" t="n"/>
      <c r="J70" s="40" t="n"/>
    </row>
    <row r="71" ht="54" customHeight="1" s="41">
      <c r="A71" s="28" t="inlineStr">
        <is>
          <t>Reviewer notes from question approval</t>
        </is>
      </c>
      <c r="B71" s="23" t="inlineStr">
        <is>
          <t>I suggest including both versions. Please retain the narrower question, but also add the wider question addressing how attorney-client privilege and work-product protection operate under criminal search warrants and civil compulsory process, including the use of filter teams or special masters. The issue is not limited to whether the document is ultimately used: concerns may arise at the stages of seizure, initial review, disclosure to the investigating team, retention, and derivative use.</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Q19 — Expert Review</t>
        </is>
      </c>
    </row>
    <row r="2" hidden="1" s="41">
      <c r="A2" s="44" t="inlineStr">
        <is>
          <t>Question metadata</t>
        </is>
      </c>
    </row>
    <row r="3" hidden="1" s="41">
      <c r="A3" s="13" t="inlineStr">
        <is>
          <t>Question ID</t>
        </is>
      </c>
      <c r="B3" s="39" t="n">
        <v>19</v>
      </c>
    </row>
    <row r="4" hidden="1" s="41">
      <c r="A4" s="13" t="inlineStr">
        <is>
          <t>Topic</t>
        </is>
      </c>
      <c r="B4" s="40" t="inlineStr">
        <is>
          <t>Dawn raids — personal data</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What protections apply to personal or otherwise sensitive data gathered by U.S. antitrust authorities, and on what grounds may material that is irrelevant, overbroad, privileged, or otherwise protected be segregated, withheld, returned, or destroyed?</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Q20 — Expert Review</t>
        </is>
      </c>
    </row>
    <row r="2" hidden="1" s="41">
      <c r="A2" s="44" t="inlineStr">
        <is>
          <t>Question metadata</t>
        </is>
      </c>
    </row>
    <row r="3" hidden="1" s="41">
      <c r="A3" s="13" t="inlineStr">
        <is>
          <t>Question ID</t>
        </is>
      </c>
      <c r="B3" s="39" t="n">
        <v>20</v>
      </c>
    </row>
    <row r="4" hidden="1" s="41">
      <c r="A4" s="13" t="inlineStr">
        <is>
          <t>Topic</t>
        </is>
      </c>
      <c r="B4" s="40" t="inlineStr">
        <is>
          <t>Dawn raids — challenging a seizure</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What procedural avenues exist to challenge the seizure, review, retention, or use of privileged documents following the execution of a search warrant in a criminal antitrust investigation, and how do those remedies differ from procedures for modifying or setting aside a subpoena or Civil Investigative Demand (CID) in a civil antitrust investigation?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Q21 — Expert Review</t>
        </is>
      </c>
    </row>
    <row r="2" hidden="1" s="41">
      <c r="A2" s="44" t="inlineStr">
        <is>
          <t>Question metadata</t>
        </is>
      </c>
    </row>
    <row r="3" hidden="1" s="41">
      <c r="A3" s="13" t="inlineStr">
        <is>
          <t>Question ID</t>
        </is>
      </c>
      <c r="B3" s="39" t="n">
        <v>21</v>
      </c>
    </row>
    <row r="4" hidden="1" s="41">
      <c r="A4" s="13" t="inlineStr">
        <is>
          <t>Topic</t>
        </is>
      </c>
      <c r="B4" s="40" t="inlineStr">
        <is>
          <t>Food delivery — data access</t>
        </is>
      </c>
    </row>
    <row r="5" hidden="1" s="41">
      <c r="A5" s="13" t="inlineStr">
        <is>
          <t>Scope</t>
        </is>
      </c>
      <c r="B5" s="40" t="inlineStr">
        <is>
          <t>EU + UK</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Deliberately open to the answer "considered and set aside". If in your view none of the food-delivery decisions engaged with data access at all, tell us — a question with no answer in the case law is one we should drop.</t>
        </is>
      </c>
      <c r="C70" s="45" t="n"/>
      <c r="D70" s="45" t="n"/>
      <c r="E70" s="45" t="n"/>
      <c r="F70" s="45" t="n"/>
      <c r="G70" s="45" t="n"/>
      <c r="H70" s="46" t="n"/>
      <c r="I70" s="40" t="n"/>
      <c r="J70" s="40" t="n"/>
    </row>
    <row r="71" ht="54" customHeight="1" s="41">
      <c r="A71" s="28" t="inlineStr">
        <is>
          <t>Reviewer notes from question approval</t>
        </is>
      </c>
      <c r="B71" s="23" t="inlineStr">
        <is>
          <t>question to be replaced with that one "Where a platform like Uber leverages data collected across its ecosystem to improve and strengthen its food delivery arm, how would such conduct be characterised under EU competition law — as tying/bundling, as an exploitative abuse, as leveraging into an adjacent market, or as a distinct data-driven theory of harm? Which category best fits, and what would be required to establish it under Article 102 TFEU?"</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Q22 — Expert Review</t>
        </is>
      </c>
    </row>
    <row r="2" hidden="1" s="41">
      <c r="A2" s="44" t="inlineStr">
        <is>
          <t>Question metadata</t>
        </is>
      </c>
    </row>
    <row r="3" hidden="1" s="41">
      <c r="A3" s="13" t="inlineStr">
        <is>
          <t>Question ID</t>
        </is>
      </c>
      <c r="B3" s="39" t="n">
        <v>22</v>
      </c>
    </row>
    <row r="4" hidden="1" s="41">
      <c r="A4" s="13" t="inlineStr">
        <is>
          <t>Topic</t>
        </is>
      </c>
      <c r="B4" s="40" t="inlineStr">
        <is>
          <t>Food delivery — own fleet vs marketplace</t>
        </is>
      </c>
    </row>
    <row r="5" hidden="1" s="41">
      <c r="A5" s="13" t="inlineStr">
        <is>
          <t>Scope</t>
        </is>
      </c>
      <c r="B5" s="40" t="inlineStr">
        <is>
          <t>EU + UK + ES</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Can a food-delivery platform qualify as a provider of online intermediation services within the meaning of the P2B Regulation (EU) 2019/1150 — and if so, which obligations would it additionally have to comply with should it be designated as a gatekeeper under the DMA?</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question to be replaced with that one "Can a food-delivery platform qualify as a provider of online intermediation services within the meaning of the P2B Regulation (EU) 2019/1150 — and if so, which obligations would it additionally have to comply with should it be designated as a gatekeeper under the DMA?'</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Q23 — Expert Review</t>
        </is>
      </c>
    </row>
    <row r="2" hidden="1" s="41">
      <c r="A2" s="44" t="inlineStr">
        <is>
          <t>Question metadata</t>
        </is>
      </c>
    </row>
    <row r="3" hidden="1" s="41">
      <c r="A3" s="13" t="inlineStr">
        <is>
          <t>Question ID</t>
        </is>
      </c>
      <c r="B3" s="39" t="n">
        <v>23</v>
      </c>
    </row>
    <row r="4" hidden="1" s="41">
      <c r="A4" s="13" t="inlineStr">
        <is>
          <t>Topic</t>
        </is>
      </c>
      <c r="B4" s="40" t="inlineStr">
        <is>
          <t>Food delivery — which authority reviews</t>
        </is>
      </c>
    </row>
    <row r="5" hidden="1" s="41">
      <c r="A5" s="13" t="inlineStr">
        <is>
          <t>Scope</t>
        </is>
      </c>
      <c r="B5" s="40" t="inlineStr">
        <is>
          <t>EU + UK + ES</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questions to be replaced with that one: "Food-delivery transactions frequently fall below the EU Merger Regulation turnover thresholds yet raise cross-border concerns. In light of the CJEU's Illumina/Grail judgment restricting Article 22 upward referrals for deals that do not meet any national threshold, what mechanisms remain for the Commission to capture a below-threshold food-delivery 'killer acquisition'?"</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J168"/>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Q24 — Expert Review</t>
        </is>
      </c>
    </row>
    <row r="2" hidden="1" s="41">
      <c r="A2" s="44" t="inlineStr">
        <is>
          <t>Question metadata</t>
        </is>
      </c>
    </row>
    <row r="3" hidden="1" s="41">
      <c r="A3" s="13" t="inlineStr">
        <is>
          <t>Question ID</t>
        </is>
      </c>
      <c r="B3" s="39" t="n">
        <v>24</v>
      </c>
    </row>
    <row r="4" hidden="1" s="41">
      <c r="A4" s="13" t="inlineStr">
        <is>
          <t>Topic</t>
        </is>
      </c>
      <c r="B4" s="40" t="inlineStr">
        <is>
          <t>Dawn raids — legal professional privilege</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Does legal professional privilege in EU competition law cover advice from a company's own in-house lawyers? How have the courts justified where the line falls, and what does that mean in practice during an inspection?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eu-antitrust-enforcement--14_xiii_legal_professional_privilege_in_eu_antitrust_enforcement_law_policy_and_procedure.md</t>
        </is>
      </c>
      <c r="C14" s="23" t="inlineStr">
        <is>
          <t>Book (Livre)</t>
        </is>
      </c>
      <c r="D14" s="23" t="n"/>
      <c r="E14" s="23" t="inlineStr">
        <is>
          <t>751159c7-e8b0-4cba-8ae1-5652058d7980</t>
        </is>
      </c>
      <c r="F14" s="23" t="n"/>
      <c r="G14" s="23" t="n"/>
      <c r="H14" s="23" t="inlineStr">
        <is>
          <t>Cited in answer: YES</t>
        </is>
      </c>
    </row>
    <row r="15">
      <c r="A15" s="23" t="n">
        <v>2</v>
      </c>
      <c r="B15" s="23" t="inlineStr">
        <is>
          <t>129921.md</t>
        </is>
      </c>
      <c r="C15" s="23" t="inlineStr">
        <is>
          <t>Article (Review)</t>
        </is>
      </c>
      <c r="D15" s="23" t="n"/>
      <c r="E15" s="23" t="inlineStr">
        <is>
          <t>f778c4be-e8ad-469a-a0b4-810de049896e</t>
        </is>
      </c>
      <c r="F15" s="23" t="n"/>
      <c r="G15" s="23" t="n"/>
      <c r="H15" s="23" t="inlineStr">
        <is>
          <t>Cited in answer: YES</t>
        </is>
      </c>
    </row>
    <row r="16">
      <c r="A16" s="23" t="n">
        <v>3</v>
      </c>
      <c r="B16" s="23" t="inlineStr">
        <is>
          <t>62007CJ0550.md</t>
        </is>
      </c>
      <c r="C16" s="23" t="inlineStr">
        <is>
          <t>Court Decision</t>
        </is>
      </c>
      <c r="D16" s="23" t="inlineStr">
        <is>
          <t>EU</t>
        </is>
      </c>
      <c r="E16" s="23" t="inlineStr">
        <is>
          <t>77a4dd19-04ce-410f-ba8e-9998f2902880</t>
        </is>
      </c>
      <c r="F16" s="23" t="n"/>
      <c r="G16" s="23" t="n"/>
      <c r="H16" s="23" t="inlineStr">
        <is>
          <t>Cited in answer: YES</t>
        </is>
      </c>
    </row>
    <row r="17">
      <c r="A17" s="23" t="n">
        <v>4</v>
      </c>
      <c r="B17" s="23" t="inlineStr">
        <is>
          <t>eu-antitrust-enforcement--11_x_fundamental_procedural_rights_and_effective_enforcement_of_articles_101_and_102_tfeu_in_the_european_competition_network.md</t>
        </is>
      </c>
      <c r="C17" s="23" t="inlineStr">
        <is>
          <t>Book (Livre)</t>
        </is>
      </c>
      <c r="D17" s="23" t="n"/>
      <c r="E17" s="23" t="inlineStr">
        <is>
          <t>44d971b2-9615-45f5-94c3-342633964481</t>
        </is>
      </c>
      <c r="F17" s="23" t="n"/>
      <c r="G17" s="23" t="n"/>
      <c r="H17" s="23" t="inlineStr"/>
    </row>
    <row r="18">
      <c r="A18" s="23" t="n">
        <v>5</v>
      </c>
      <c r="B18" s="23" t="inlineStr">
        <is>
          <t>65144.md</t>
        </is>
      </c>
      <c r="C18" s="23" t="inlineStr">
        <is>
          <t>Bulletin article</t>
        </is>
      </c>
      <c r="D18" s="23" t="n"/>
      <c r="E18" s="23" t="inlineStr">
        <is>
          <t>ce8f9970-7bea-4576-a4de-4bd06551adb1</t>
        </is>
      </c>
      <c r="F18" s="23" t="n"/>
      <c r="G18" s="23" t="n"/>
      <c r="H18" s="23" t="inlineStr"/>
    </row>
    <row r="19">
      <c r="A19" s="23" t="n">
        <v>6</v>
      </c>
      <c r="B19" s="23" t="inlineStr">
        <is>
          <t>eu-antitrust-enforcement--12_xi_the_role_of_the_hearing_officer_in_antitrust_proceedings_before_the_european_commission.md</t>
        </is>
      </c>
      <c r="C19" s="23" t="inlineStr">
        <is>
          <t>Book (Livre)</t>
        </is>
      </c>
      <c r="D19" s="23" t="n"/>
      <c r="E19" s="23" t="inlineStr">
        <is>
          <t>27d55d8c-5b59-43c1-8576-7a718bd009d4</t>
        </is>
      </c>
      <c r="F19" s="23" t="n"/>
      <c r="G19" s="23" t="n"/>
      <c r="H19" s="23" t="inlineStr"/>
    </row>
    <row r="20">
      <c r="A20" s="23" t="n">
        <v>7</v>
      </c>
      <c r="B20" s="23" t="inlineStr">
        <is>
          <t>34843.md</t>
        </is>
      </c>
      <c r="C20" s="23" t="inlineStr">
        <is>
          <t>Bulletin article</t>
        </is>
      </c>
      <c r="D20" s="23" t="inlineStr">
        <is>
          <t>EU</t>
        </is>
      </c>
      <c r="E20" s="23" t="inlineStr">
        <is>
          <t>76b0b83a-c3dd-4742-972b-2e257224bb41</t>
        </is>
      </c>
      <c r="F20" s="23" t="n"/>
      <c r="G20" s="23" t="n"/>
      <c r="H20" s="23" t="inlineStr"/>
    </row>
    <row r="21">
      <c r="A21" s="23" t="n">
        <v>8</v>
      </c>
      <c r="B21" s="23" t="inlineStr">
        <is>
          <t>eu-antitrust-enforcement--15_xiv_procedural_rights_and_obligations_of_third_parties_in_antitrust_investigations_and_proceedings_by_the_european_commission.md</t>
        </is>
      </c>
      <c r="C21" s="23" t="inlineStr">
        <is>
          <t>Book (Livre)</t>
        </is>
      </c>
      <c r="D21" s="23" t="n"/>
      <c r="E21" s="23" t="inlineStr">
        <is>
          <t>b2429dd2-ef75-4f34-8bf2-95b08c3a4de5</t>
        </is>
      </c>
      <c r="F21" s="23" t="n"/>
      <c r="G21" s="23" t="n"/>
      <c r="H21" s="23" t="inlineStr"/>
    </row>
    <row r="22">
      <c r="A22" s="23" t="n">
        <v>9</v>
      </c>
      <c r="B22" s="23" t="inlineStr">
        <is>
          <t>120985.md</t>
        </is>
      </c>
      <c r="C22" s="23" t="inlineStr">
        <is>
          <t>Bulletin article</t>
        </is>
      </c>
      <c r="D22" s="23" t="n"/>
      <c r="E22" s="23" t="inlineStr">
        <is>
          <t>8743ed4a-36f8-448f-9aa9-ccf29abfc760</t>
        </is>
      </c>
      <c r="F22" s="23" t="n"/>
      <c r="G22" s="23" t="n"/>
      <c r="H22" s="23" t="inlineStr">
        <is>
          <t>Cited in answer: YES</t>
        </is>
      </c>
    </row>
    <row r="23" s="41">
      <c r="A23" s="40" t="n">
        <v>10</v>
      </c>
      <c r="B23" s="40" t="inlineStr">
        <is>
          <t>inspections-eu-law-2nd--3_chapter_1_-_inspections_upon_decision_regulation_1_2003_article_20_4.md</t>
        </is>
      </c>
      <c r="C23" s="40" t="inlineStr">
        <is>
          <t>Book (Livre)</t>
        </is>
      </c>
      <c r="D23" s="40" t="n"/>
      <c r="E23" s="40" t="inlineStr">
        <is>
          <t>d28b1d20-a2c6-425f-a401-498eab28d744</t>
        </is>
      </c>
      <c r="F23" s="40" t="n"/>
      <c r="G23" s="40" t="n"/>
      <c r="H23" s="40" t="inlineStr"/>
    </row>
    <row r="24" s="41">
      <c r="A24" s="52" t="n">
        <v>11</v>
      </c>
      <c r="B24" s="52" t="inlineStr">
        <is>
          <t>41021.md</t>
        </is>
      </c>
      <c r="C24" s="52" t="inlineStr">
        <is>
          <t>Bulletin article</t>
        </is>
      </c>
      <c r="D24" s="52" t="n"/>
      <c r="E24" s="52" t="inlineStr">
        <is>
          <t>7b2a2c23-bf06-4bb0-84da-b780b94a649c</t>
        </is>
      </c>
      <c r="F24" s="52" t="n"/>
      <c r="G24" s="52" t="n"/>
      <c r="H24" s="52" t="inlineStr"/>
    </row>
    <row r="25" s="41">
      <c r="A25" s="52" t="n">
        <v>12</v>
      </c>
      <c r="B25" s="52" t="inlineStr">
        <is>
          <t>compendium-eu-competition-law--p20.md</t>
        </is>
      </c>
      <c r="C25" s="52" t="inlineStr">
        <is>
          <t>Legislation</t>
        </is>
      </c>
      <c r="D25" s="52" t="n"/>
      <c r="E25" s="52" t="inlineStr">
        <is>
          <t>4051fc69-a489-4b05-95ab-16bd651b54f1</t>
        </is>
      </c>
      <c r="F25" s="52" t="n"/>
      <c r="G25" s="52" t="n"/>
      <c r="H25" s="52" t="inlineStr"/>
    </row>
    <row r="26" s="41">
      <c r="A26" s="52" t="n">
        <v>13</v>
      </c>
      <c r="B26" s="52" t="inlineStr">
        <is>
          <t>126520.md</t>
        </is>
      </c>
      <c r="C26" s="52" t="inlineStr">
        <is>
          <t>Bulletin article</t>
        </is>
      </c>
      <c r="D26" s="52" t="n"/>
      <c r="E26" s="52" t="inlineStr">
        <is>
          <t>12452b73-c2de-4280-8e98-eaf8be0779ba</t>
        </is>
      </c>
      <c r="F26" s="52" t="n"/>
      <c r="G26" s="52" t="n"/>
      <c r="H26" s="52" t="inlineStr"/>
    </row>
    <row r="27" s="41">
      <c r="A27" s="52" t="n">
        <v>14</v>
      </c>
      <c r="B27" s="52" t="inlineStr">
        <is>
          <t>121144.md</t>
        </is>
      </c>
      <c r="C27" s="52" t="inlineStr">
        <is>
          <t>Bulletin article</t>
        </is>
      </c>
      <c r="D27" s="52" t="n"/>
      <c r="E27" s="52" t="inlineStr">
        <is>
          <t>9f96a5ff-2537-45cd-a34f-b0f82767f132</t>
        </is>
      </c>
      <c r="F27" s="52" t="n"/>
      <c r="G27" s="52" t="n"/>
      <c r="H27" s="52" t="inlineStr"/>
    </row>
    <row r="28" s="41">
      <c r="A28" s="52" t="n">
        <v>15</v>
      </c>
      <c r="B28" s="52" t="inlineStr">
        <is>
          <t>41554.md</t>
        </is>
      </c>
      <c r="C28" s="52" t="inlineStr">
        <is>
          <t>Bulletin article</t>
        </is>
      </c>
      <c r="D28" s="52" t="n"/>
      <c r="E28" s="52" t="inlineStr">
        <is>
          <t>7ac322df-dba5-454b-a0e6-0bff2167a703</t>
        </is>
      </c>
      <c r="F28" s="52" t="n"/>
      <c r="G28" s="52" t="n"/>
      <c r="H28" s="52" t="inlineStr"/>
    </row>
    <row r="29" s="41">
      <c r="A29" s="52" t="n">
        <v>16</v>
      </c>
      <c r="B29" s="52" t="inlineStr">
        <is>
          <t>130104-the-eu-commission-issues-a-policy-brief-on-legal-professional-privilege-in-compe.md</t>
        </is>
      </c>
      <c r="C29" s="52" t="inlineStr">
        <is>
          <t>Bulletin article</t>
        </is>
      </c>
      <c r="D29" s="52" t="n"/>
      <c r="E29" s="52" t="inlineStr">
        <is>
          <t>865b10b4-e120-4887-a566-4d32965a6785</t>
        </is>
      </c>
      <c r="F29" s="52" t="n"/>
      <c r="G29" s="52" t="n"/>
      <c r="H29" s="52" t="inlineStr"/>
    </row>
    <row r="30" s="41">
      <c r="A30" s="52" t="n">
        <v>17</v>
      </c>
      <c r="B30" s="52" t="inlineStr">
        <is>
          <t>86349.md</t>
        </is>
      </c>
      <c r="C30" s="52" t="inlineStr">
        <is>
          <t>Article (Review)</t>
        </is>
      </c>
      <c r="D30" s="52" t="n"/>
      <c r="E30" s="52" t="inlineStr">
        <is>
          <t>1cdd887b-6171-4114-a519-848559eecb91</t>
        </is>
      </c>
      <c r="F30" s="52" t="n"/>
      <c r="G30" s="52" t="n"/>
      <c r="H30" s="52" t="inlineStr"/>
    </row>
    <row r="31" s="41">
      <c r="A31" s="52" t="n">
        <v>18</v>
      </c>
      <c r="B31" s="52" t="inlineStr">
        <is>
          <t>74797.md</t>
        </is>
      </c>
      <c r="C31" s="52" t="inlineStr">
        <is>
          <t>Bulletin article</t>
        </is>
      </c>
      <c r="D31" s="52" t="n"/>
      <c r="E31" s="52" t="inlineStr">
        <is>
          <t>7aa935c3-59fb-4514-b6c3-08e34df697ff</t>
        </is>
      </c>
      <c r="F31" s="52" t="n"/>
      <c r="G31" s="52" t="n"/>
      <c r="H31" s="52" t="inlineStr"/>
    </row>
    <row r="32" s="41">
      <c r="A32" s="52" t="n">
        <v>19</v>
      </c>
      <c r="B32" s="52" t="inlineStr">
        <is>
          <t>62017TJ0249.md</t>
        </is>
      </c>
      <c r="C32" s="52" t="inlineStr">
        <is>
          <t>Court Decision</t>
        </is>
      </c>
      <c r="D32" s="52" t="inlineStr">
        <is>
          <t>EU</t>
        </is>
      </c>
      <c r="E32" s="52" t="inlineStr">
        <is>
          <t>dbf7bda8-39fa-4eb5-a6e2-f02b0787cb54</t>
        </is>
      </c>
      <c r="F32" s="52" t="n"/>
      <c r="G32" s="52" t="n"/>
      <c r="H32" s="52" t="inlineStr"/>
    </row>
    <row r="33" s="41">
      <c r="A33" s="52" t="n">
        <v>20</v>
      </c>
      <c r="B33" s="52" t="inlineStr">
        <is>
          <t>129913.md</t>
        </is>
      </c>
      <c r="C33" s="52" t="inlineStr">
        <is>
          <t>Bulletin article</t>
        </is>
      </c>
      <c r="D33" s="52" t="n"/>
      <c r="E33" s="52" t="inlineStr">
        <is>
          <t>3a32afa7-1686-4dd5-83df-28c025e3c011</t>
        </is>
      </c>
      <c r="F33" s="52" t="n"/>
      <c r="G33" s="52" t="n"/>
      <c r="H33" s="52" t="inlineStr">
        <is>
          <t>Cited in answer: YES</t>
        </is>
      </c>
    </row>
    <row r="34" s="41">
      <c r="A34" s="52" t="n">
        <v>21</v>
      </c>
      <c r="B34" s="52" t="inlineStr">
        <is>
          <t>competition-case-law-digest-5th--p10.md</t>
        </is>
      </c>
      <c r="C34" s="52" t="inlineStr">
        <is>
          <t>Book (Livre)</t>
        </is>
      </c>
      <c r="D34" s="52" t="n"/>
      <c r="E34" s="52" t="inlineStr">
        <is>
          <t>65e060cb-bdeb-413d-b4e8-b9ffe0ed3995</t>
        </is>
      </c>
      <c r="F34" s="52" t="n"/>
      <c r="G34" s="52" t="n"/>
      <c r="H34" s="52" t="inlineStr"/>
    </row>
    <row r="35" s="41">
      <c r="A35" s="52" t="n">
        <v>22</v>
      </c>
      <c r="B35" s="52" t="inlineStr">
        <is>
          <t>competition-inspections-25-jurisdictions--16_netherlands.md</t>
        </is>
      </c>
      <c r="C35" s="52" t="inlineStr">
        <is>
          <t>Article (Review)</t>
        </is>
      </c>
      <c r="D35" s="52" t="n"/>
      <c r="E35" s="52" t="inlineStr">
        <is>
          <t>bd91d513-0a9b-4001-afec-498af0c4e9c4</t>
        </is>
      </c>
      <c r="F35" s="52" t="n"/>
      <c r="G35" s="52" t="n"/>
      <c r="H35" s="52" t="inlineStr"/>
    </row>
    <row r="36" s="41">
      <c r="A36" s="52" t="n">
        <v>23</v>
      </c>
      <c r="B36" s="52" t="inlineStr">
        <is>
          <t>96845-the-eu-court-of-justice-rules-that-legal-professional-privilege-does-not-cover-c.md</t>
        </is>
      </c>
      <c r="C36" s="52" t="inlineStr">
        <is>
          <t>Bulletin article</t>
        </is>
      </c>
      <c r="D36" s="52" t="n"/>
      <c r="E36" s="52" t="inlineStr">
        <is>
          <t>ffcd147d-9482-4eff-8ba1-f4eafa068ea6</t>
        </is>
      </c>
      <c r="F36" s="52" t="n"/>
      <c r="G36" s="52" t="n"/>
      <c r="H36" s="52" t="inlineStr"/>
    </row>
    <row r="37" s="41">
      <c r="A37" s="52" t="n">
        <v>24</v>
      </c>
      <c r="B37" s="52" t="inlineStr">
        <is>
          <t>112075.md</t>
        </is>
      </c>
      <c r="C37" s="52" t="inlineStr">
        <is>
          <t>Bulletin article</t>
        </is>
      </c>
      <c r="D37" s="52" t="n"/>
      <c r="E37" s="52" t="inlineStr">
        <is>
          <t>d2417411-7570-40c0-8fde-72b358d5c65a</t>
        </is>
      </c>
      <c r="F37" s="52" t="n"/>
      <c r="G37" s="52" t="n"/>
      <c r="H37" s="52" t="inlineStr">
        <is>
          <t>Cited in answer: YES</t>
        </is>
      </c>
    </row>
    <row r="38" s="41">
      <c r="A38" s="52" t="n">
        <v>25</v>
      </c>
      <c r="B38" s="52" t="inlineStr">
        <is>
          <t>62014TJ0705.md</t>
        </is>
      </c>
      <c r="C38" s="52" t="inlineStr">
        <is>
          <t>Court Decision</t>
        </is>
      </c>
      <c r="D38" s="52" t="inlineStr">
        <is>
          <t>EU</t>
        </is>
      </c>
      <c r="E38" s="52" t="inlineStr">
        <is>
          <t>a795bd44-0811-455c-9d8e-6e9c125b497b</t>
        </is>
      </c>
      <c r="F38" s="52" t="n"/>
      <c r="G38" s="52" t="n"/>
      <c r="H38" s="52" t="inlineStr"/>
    </row>
    <row r="39" s="41">
      <c r="A39" s="52" t="n">
        <v>26</v>
      </c>
      <c r="B39" s="52" t="inlineStr">
        <is>
          <t>62014TJ0701.md</t>
        </is>
      </c>
      <c r="C39" s="52" t="inlineStr">
        <is>
          <t>Court Decision</t>
        </is>
      </c>
      <c r="D39" s="52" t="inlineStr">
        <is>
          <t>EU</t>
        </is>
      </c>
      <c r="E39" s="52" t="inlineStr">
        <is>
          <t>82bcdb25-439b-4260-9d81-4848737b9274</t>
        </is>
      </c>
      <c r="F39" s="52" t="n"/>
      <c r="G39" s="52" t="n"/>
      <c r="H39" s="52" t="inlineStr"/>
    </row>
    <row r="40" s="41">
      <c r="A40" s="52" t="n">
        <v>27</v>
      </c>
      <c r="B40" s="52" t="inlineStr">
        <is>
          <t>127784.md</t>
        </is>
      </c>
      <c r="C40" s="52" t="inlineStr">
        <is>
          <t>Bulletin article</t>
        </is>
      </c>
      <c r="D40" s="52" t="n"/>
      <c r="E40" s="52" t="inlineStr">
        <is>
          <t>470178ab-ccae-498b-a50a-4f7075e27cd0</t>
        </is>
      </c>
      <c r="F40" s="52" t="n"/>
      <c r="G40" s="52" t="n"/>
      <c r="H40" s="52" t="inlineStr"/>
    </row>
    <row r="41" s="41">
      <c r="A41" s="52" t="n">
        <v>28</v>
      </c>
      <c r="B41" s="52" t="inlineStr">
        <is>
          <t>91835.md</t>
        </is>
      </c>
      <c r="C41" s="52" t="inlineStr">
        <is>
          <t>Article (Review)</t>
        </is>
      </c>
      <c r="D41" s="52" t="n"/>
      <c r="E41" s="52" t="inlineStr">
        <is>
          <t>f6ec0179-d152-4059-9a3f-81d669d422b0</t>
        </is>
      </c>
      <c r="F41" s="52" t="n"/>
      <c r="G41" s="52" t="n"/>
      <c r="H41" s="52" t="inlineStr"/>
    </row>
    <row r="42" s="41">
      <c r="A42" s="52" t="n">
        <v>29</v>
      </c>
      <c r="B42" s="52" t="inlineStr">
        <is>
          <t>120341.md</t>
        </is>
      </c>
      <c r="C42" s="52" t="inlineStr">
        <is>
          <t>Bulletin article</t>
        </is>
      </c>
      <c r="D42" s="52" t="n"/>
      <c r="E42" s="52" t="inlineStr">
        <is>
          <t>62e4c8bf-db38-4627-90b0-e49ff9dbad01</t>
        </is>
      </c>
      <c r="F42" s="52" t="n"/>
      <c r="G42" s="52" t="n"/>
      <c r="H42" s="52" t="inlineStr"/>
    </row>
    <row r="43" s="41">
      <c r="A43" s="52" t="n">
        <v>30</v>
      </c>
      <c r="B43" s="52" t="inlineStr">
        <is>
          <t>62018CJ0403.md</t>
        </is>
      </c>
      <c r="C43" s="52" t="inlineStr">
        <is>
          <t>Court Decision</t>
        </is>
      </c>
      <c r="D43" s="52" t="inlineStr">
        <is>
          <t>EU</t>
        </is>
      </c>
      <c r="E43" s="52" t="inlineStr">
        <is>
          <t>5b155c4b-0345-4afa-8dee-d56351895c8f</t>
        </is>
      </c>
      <c r="F43" s="52" t="n"/>
      <c r="G43" s="52" t="n"/>
      <c r="H43" s="52" t="inlineStr"/>
    </row>
    <row r="44" s="41">
      <c r="A44" s="52" t="n">
        <v>31</v>
      </c>
      <c r="B44" s="52" t="inlineStr">
        <is>
          <t>62020CC0682.md</t>
        </is>
      </c>
      <c r="C44" s="52" t="inlineStr">
        <is>
          <t>Article (Review)</t>
        </is>
      </c>
      <c r="D44" s="52" t="inlineStr">
        <is>
          <t>EU</t>
        </is>
      </c>
      <c r="E44" s="52" t="inlineStr">
        <is>
          <t>f6fc977b-8c8d-467b-a5f7-04beb77f1b93</t>
        </is>
      </c>
      <c r="F44" s="52" t="n"/>
      <c r="G44" s="52" t="n"/>
      <c r="H44" s="52" t="inlineStr"/>
    </row>
    <row r="45" s="41">
      <c r="A45" s="52" t="n">
        <v>32</v>
      </c>
      <c r="B45" s="52" t="inlineStr">
        <is>
          <t>62023TJ1097.md</t>
        </is>
      </c>
      <c r="C45" s="52" t="inlineStr">
        <is>
          <t>Court Decision</t>
        </is>
      </c>
      <c r="D45" s="52" t="inlineStr">
        <is>
          <t>EU</t>
        </is>
      </c>
      <c r="E45" s="52" t="inlineStr">
        <is>
          <t>17ecc724-b05f-4f42-9a28-b1282ba34327</t>
        </is>
      </c>
      <c r="F45" s="52" t="n"/>
      <c r="G45" s="52" t="n"/>
      <c r="H45" s="52" t="inlineStr"/>
    </row>
    <row r="46" s="41">
      <c r="A46" s="52" t="n">
        <v>33</v>
      </c>
      <c r="B46" s="52" t="inlineStr">
        <is>
          <t>62003TJ0125.md</t>
        </is>
      </c>
      <c r="C46" s="52" t="inlineStr">
        <is>
          <t>Court Decision</t>
        </is>
      </c>
      <c r="D46" s="52" t="inlineStr">
        <is>
          <t>EU</t>
        </is>
      </c>
      <c r="E46" s="52" t="inlineStr">
        <is>
          <t>a8c1d5f4-d4fb-4365-bf78-e327971748f9</t>
        </is>
      </c>
      <c r="F46" s="52" t="n"/>
      <c r="G46" s="52" t="n"/>
      <c r="H46" s="52" t="inlineStr"/>
    </row>
    <row r="47" s="41">
      <c r="A47" s="52" t="n">
        <v>34</v>
      </c>
      <c r="B47" s="52" t="inlineStr">
        <is>
          <t>26656.md</t>
        </is>
      </c>
      <c r="C47" s="52" t="inlineStr">
        <is>
          <t>Bulletin article</t>
        </is>
      </c>
      <c r="D47" s="52" t="n"/>
      <c r="E47" s="52" t="inlineStr">
        <is>
          <t>81642e09-5607-418a-a7f4-cf18d6fa7ddf</t>
        </is>
      </c>
      <c r="F47" s="52" t="n"/>
      <c r="G47" s="52" t="n"/>
      <c r="H47" s="52" t="inlineStr"/>
    </row>
    <row r="48" s="41">
      <c r="A48" s="52" t="n">
        <v>35</v>
      </c>
      <c r="B48" s="52" t="inlineStr">
        <is>
          <t>81215.md</t>
        </is>
      </c>
      <c r="C48" s="52" t="inlineStr">
        <is>
          <t>Article (Review)</t>
        </is>
      </c>
      <c r="D48" s="52" t="n"/>
      <c r="E48" s="52" t="inlineStr">
        <is>
          <t>1326c749-4c6d-42ec-974e-b228dd1bf722</t>
        </is>
      </c>
      <c r="F48" s="52" t="n"/>
      <c r="G48" s="52" t="n"/>
      <c r="H48" s="52" t="inlineStr"/>
    </row>
    <row r="49" s="41">
      <c r="A49" s="52" t="n">
        <v>36</v>
      </c>
      <c r="B49" s="52" t="inlineStr">
        <is>
          <t>131688-30-inspections-the-general-court-of-the-european-union-upholds-the-european-comm.md</t>
        </is>
      </c>
      <c r="C49" s="52" t="inlineStr">
        <is>
          <t>Bulletin article</t>
        </is>
      </c>
      <c r="D49" s="52" t="n"/>
      <c r="E49" s="52" t="inlineStr">
        <is>
          <t>7de191c9-0221-423b-b670-ef1e047a0196</t>
        </is>
      </c>
      <c r="F49" s="52" t="n"/>
      <c r="G49" s="52" t="n"/>
      <c r="H49" s="52" t="inlineStr"/>
    </row>
    <row r="50" s="41">
      <c r="A50" s="52" t="n">
        <v>37</v>
      </c>
      <c r="B50" s="52" t="inlineStr">
        <is>
          <t>62009TJ0135.md</t>
        </is>
      </c>
      <c r="C50" s="52" t="inlineStr">
        <is>
          <t>Court Decision</t>
        </is>
      </c>
      <c r="D50" s="52" t="inlineStr">
        <is>
          <t>EU</t>
        </is>
      </c>
      <c r="E50" s="52" t="inlineStr">
        <is>
          <t>10418f10-8b6f-4bcc-adf6-39e168b49440</t>
        </is>
      </c>
      <c r="F50" s="52" t="n"/>
      <c r="G50" s="52" t="n"/>
      <c r="H50" s="52" t="inlineStr"/>
    </row>
    <row r="51" s="41">
      <c r="A51" s="52" t="n">
        <v>38</v>
      </c>
      <c r="B51" s="52" t="inlineStr">
        <is>
          <t>79963.md</t>
        </is>
      </c>
      <c r="C51" s="52" t="inlineStr">
        <is>
          <t>Article (Review)</t>
        </is>
      </c>
      <c r="D51" s="52" t="n"/>
      <c r="E51" s="52" t="inlineStr">
        <is>
          <t>b0c5f913-948d-4dcc-9ea4-98f6136ca5a7</t>
        </is>
      </c>
      <c r="F51" s="52" t="n"/>
      <c r="G51" s="52" t="n"/>
      <c r="H51" s="52" t="inlineStr"/>
    </row>
    <row r="52" s="41">
      <c r="A52" s="52" t="n">
        <v>39</v>
      </c>
      <c r="B52" s="52" t="inlineStr">
        <is>
          <t>95849-3360-inspections-the-court-of-justice-of-the-european-union-gives-the-commission.md</t>
        </is>
      </c>
      <c r="C52" s="52" t="inlineStr">
        <is>
          <t>Bulletin article</t>
        </is>
      </c>
      <c r="D52" s="52" t="n"/>
      <c r="E52" s="52" t="inlineStr">
        <is>
          <t>afe07022-9e8e-4270-a8d4-2c0aaa70652f</t>
        </is>
      </c>
      <c r="F52" s="52" t="n"/>
      <c r="G52" s="52" t="n"/>
      <c r="H52" s="52" t="inlineStr"/>
    </row>
    <row r="53" s="41">
      <c r="A53" s="52" t="n">
        <v>40</v>
      </c>
      <c r="B53" s="52" t="inlineStr">
        <is>
          <t>judicial-review-competition-cases--6_european_union_-_judicial_review_of_inspection_decisions.md</t>
        </is>
      </c>
      <c r="C53" s="52" t="inlineStr">
        <is>
          <t>Article (Review)</t>
        </is>
      </c>
      <c r="D53" s="52" t="n"/>
      <c r="E53" s="52" t="inlineStr">
        <is>
          <t>21a3ec2e-1c42-4307-ab97-e45011d6660a</t>
        </is>
      </c>
      <c r="F53" s="52" t="n"/>
      <c r="G53" s="52" t="n"/>
      <c r="H53" s="52" t="inlineStr"/>
    </row>
    <row r="54" s="41">
      <c r="A54" s="52" t="n">
        <v>41</v>
      </c>
      <c r="B54" s="52" t="inlineStr">
        <is>
          <t>96910-3420-dawn-raids-the-court-of-justice-of-the-european-union-confirms-the-power-of.md</t>
        </is>
      </c>
      <c r="C54" s="52" t="inlineStr">
        <is>
          <t>Bulletin article</t>
        </is>
      </c>
      <c r="D54" s="52" t="n"/>
      <c r="E54" s="52" t="inlineStr">
        <is>
          <t>a95ca40b-ceae-4436-8de6-a7a126b177e3</t>
        </is>
      </c>
      <c r="F54" s="52" t="n"/>
      <c r="G54" s="52" t="n"/>
      <c r="H54" s="52" t="inlineStr"/>
    </row>
    <row r="55" s="41">
      <c r="A55" s="52" t="n">
        <v>42</v>
      </c>
      <c r="B55" s="52" t="inlineStr">
        <is>
          <t>97110-2850-inspection-the-general-court-of-the-european-union-partially-annuls-decisio.md</t>
        </is>
      </c>
      <c r="C55" s="52" t="inlineStr">
        <is>
          <t>Bulletin article</t>
        </is>
      </c>
      <c r="D55" s="52" t="n"/>
      <c r="E55" s="52" t="inlineStr">
        <is>
          <t>0ff86075-a215-4bce-ac53-21a9aa21cd71</t>
        </is>
      </c>
      <c r="F55" s="52" t="n"/>
      <c r="G55" s="52" t="n"/>
      <c r="H55" s="52" t="inlineStr"/>
    </row>
    <row r="56" s="41">
      <c r="A56" s="52" t="n">
        <v>43</v>
      </c>
      <c r="B56" s="52" t="inlineStr">
        <is>
          <t>97568-3340-investigation-the-court-of-justice-of-the-european-union-recognizes-the-eur.md</t>
        </is>
      </c>
      <c r="C56" s="52" t="inlineStr">
        <is>
          <t>Bulletin article</t>
        </is>
      </c>
      <c r="D56" s="52" t="n"/>
      <c r="E56" s="52" t="inlineStr">
        <is>
          <t>0a9a6620-916c-4d26-8e97-e91a08871183</t>
        </is>
      </c>
      <c r="F56" s="52" t="n"/>
      <c r="G56" s="52" t="n"/>
      <c r="H56" s="52" t="inlineStr"/>
    </row>
    <row r="57" s="41">
      <c r="A57" s="52" t="n">
        <v>44</v>
      </c>
      <c r="B57" s="52" t="inlineStr">
        <is>
          <t>45408-the-eu-court-of-justice-holds-that-in-house-lawyers-are-not-protected-by-legal-p.md</t>
        </is>
      </c>
      <c r="C57" s="52" t="inlineStr">
        <is>
          <t>Bulletin article</t>
        </is>
      </c>
      <c r="D57" s="52" t="n"/>
      <c r="E57" s="52" t="inlineStr">
        <is>
          <t>7af38e62-27f7-4570-be20-5b4f80937e5e</t>
        </is>
      </c>
      <c r="F57" s="52" t="n"/>
      <c r="G57" s="52" t="n"/>
      <c r="H57" s="52" t="inlineStr"/>
    </row>
    <row r="58" s="41">
      <c r="A58" s="52" t="n">
        <v>45</v>
      </c>
      <c r="B58" s="52" t="inlineStr">
        <is>
          <t>93368-2520-investigations-the-court-of-justice-of-the-european-union-rules-that-an-act.md</t>
        </is>
      </c>
      <c r="C58" s="52" t="inlineStr">
        <is>
          <t>Bulletin article</t>
        </is>
      </c>
      <c r="D58" s="52" t="n"/>
      <c r="E58" s="52" t="inlineStr">
        <is>
          <t>eb4af447-a8d7-4102-8c9b-20f8865d5fea</t>
        </is>
      </c>
      <c r="F58" s="52" t="n"/>
      <c r="G58" s="52" t="n"/>
      <c r="H58" s="52" t="inlineStr"/>
    </row>
    <row r="59" s="41">
      <c r="A59" s="52" t="n">
        <v>46</v>
      </c>
      <c r="B59" s="52" t="inlineStr">
        <is>
          <t>94920-2150-inquiries-the-court-of-justice-of-the-european-union-dismisses-appeals-brou.md</t>
        </is>
      </c>
      <c r="C59" s="52" t="inlineStr">
        <is>
          <t>Bulletin article</t>
        </is>
      </c>
      <c r="D59" s="52" t="n"/>
      <c r="E59" s="52" t="inlineStr">
        <is>
          <t>e7e462f6-8d3e-4f46-92a9-57edcae44fd8</t>
        </is>
      </c>
      <c r="F59" s="52" t="n"/>
      <c r="G59" s="52" t="n"/>
      <c r="H59" s="52" t="inlineStr"/>
    </row>
    <row r="60" s="41">
      <c r="A60" s="52" t="n">
        <v>47</v>
      </c>
      <c r="B60" s="52" t="inlineStr">
        <is>
          <t>AT.37990-DEC_D1115C27-9B1D-401A-A930-8895EBEFC8F6_-ATT3581.md</t>
        </is>
      </c>
      <c r="C60" s="52" t="inlineStr">
        <is>
          <t>Regulatory Decision</t>
        </is>
      </c>
      <c r="D60" s="52" t="inlineStr">
        <is>
          <t>EU</t>
        </is>
      </c>
      <c r="E60" s="52" t="inlineStr">
        <is>
          <t>b320e5cc-5605-4cb5-9f85-f6decae603d2</t>
        </is>
      </c>
      <c r="F60" s="52" t="n"/>
      <c r="G60" s="52" t="n"/>
      <c r="H60" s="52" t="inlineStr"/>
    </row>
    <row r="61" s="41">
      <c r="A61" s="52" t="n">
        <v>48</v>
      </c>
      <c r="B61" s="52" t="inlineStr">
        <is>
          <t>128250-35-dawn-raids-the-general-court-of-the-european-union-partially-upholds-the-lega.md</t>
        </is>
      </c>
      <c r="C61" s="52" t="inlineStr">
        <is>
          <t>Bulletin article</t>
        </is>
      </c>
      <c r="D61" s="52" t="n"/>
      <c r="E61" s="52" t="inlineStr">
        <is>
          <t>e34c0e6d-2771-4073-8165-4a73eff42d4c</t>
        </is>
      </c>
      <c r="F61" s="52" t="n"/>
      <c r="G61" s="52" t="n"/>
      <c r="H61" s="52" t="inlineStr"/>
    </row>
    <row r="62" s="41">
      <c r="A62" s="52" t="n">
        <v>49</v>
      </c>
      <c r="B62" s="52" t="inlineStr">
        <is>
          <t>93706-0060-dawn-raids-advocate-general-kokott-calls-on-the-court-of-justice-to-uphold.md</t>
        </is>
      </c>
      <c r="C62" s="52" t="inlineStr">
        <is>
          <t>Bulletin article</t>
        </is>
      </c>
      <c r="D62" s="52" t="n"/>
      <c r="E62" s="52" t="inlineStr">
        <is>
          <t>42a1613c-b25b-476e-a3b4-e1cac9b5add2</t>
        </is>
      </c>
      <c r="F62" s="52" t="n"/>
      <c r="G62" s="52" t="n"/>
      <c r="H62" s="52" t="inlineStr"/>
    </row>
    <row r="63" s="41">
      <c r="A63" s="52" t="n">
        <v>50</v>
      </c>
      <c r="B63" s="52" t="inlineStr">
        <is>
          <t>43794.md</t>
        </is>
      </c>
      <c r="C63" s="52" t="inlineStr">
        <is>
          <t>Bulletin article</t>
        </is>
      </c>
      <c r="D63" s="52" t="n"/>
      <c r="E63" s="52" t="inlineStr">
        <is>
          <t>a4eaf6f6-7e47-4725-80b7-6ecdd7d1725a</t>
        </is>
      </c>
      <c r="F63" s="52" t="n"/>
      <c r="G63" s="52" t="n"/>
      <c r="H63" s="52" t="inlineStr"/>
    </row>
    <row r="64" s="41">
      <c r="A64" s="52" t="n">
        <v>51</v>
      </c>
      <c r="B64" s="52" t="inlineStr">
        <is>
          <t>AT.38344-DEC_B59735BA-DE29-4610-9932-BD01F21B8EE4_-ATT5856.md</t>
        </is>
      </c>
      <c r="C64" s="52" t="inlineStr">
        <is>
          <t>Regulatory Decision</t>
        </is>
      </c>
      <c r="D64" s="52" t="inlineStr">
        <is>
          <t>EU</t>
        </is>
      </c>
      <c r="E64" s="52" t="inlineStr">
        <is>
          <t>7c81403f-40e6-418d-bcb3-6cc8cce1e6d9</t>
        </is>
      </c>
      <c r="F64" s="52" t="n"/>
      <c r="G64" s="52" t="n"/>
      <c r="H64" s="52" t="inlineStr"/>
    </row>
    <row r="65" s="41">
      <c r="A65" s="52" t="n">
        <v>52</v>
      </c>
      <c r="B65" s="52" t="inlineStr">
        <is>
          <t>105103.md</t>
        </is>
      </c>
      <c r="C65" s="52" t="inlineStr">
        <is>
          <t>Bulletin article</t>
        </is>
      </c>
      <c r="D65" s="52" t="n"/>
      <c r="E65" s="52" t="inlineStr">
        <is>
          <t>f10e4cc4-d036-4949-b9be-86b79b54fa7d</t>
        </is>
      </c>
      <c r="F65" s="52" t="n"/>
      <c r="G65" s="52" t="n"/>
      <c r="H65" s="52" t="inlineStr"/>
    </row>
    <row r="66" s="41">
      <c r="A66" s="52" t="n">
        <v>53</v>
      </c>
      <c r="B66" s="52" t="inlineStr">
        <is>
          <t>96586.md</t>
        </is>
      </c>
      <c r="C66" s="52" t="inlineStr">
        <is>
          <t>Article (Review)</t>
        </is>
      </c>
      <c r="D66" s="52" t="n"/>
      <c r="E66" s="52" t="inlineStr">
        <is>
          <t>4cb5c154-4d3a-46c3-8bca-8f09c7e6c562</t>
        </is>
      </c>
      <c r="F66" s="52" t="n"/>
      <c r="G66" s="52" t="n"/>
      <c r="H66" s="52" t="inlineStr"/>
    </row>
    <row r="67" s="41">
      <c r="A67" s="52" t="n">
        <v>54</v>
      </c>
      <c r="B67" s="52" t="inlineStr">
        <is>
          <t>112569-2500-legal-privilege-the-french-supreme-court-censures-the-use-by-trial-judges-o.md</t>
        </is>
      </c>
      <c r="C67" s="52" t="inlineStr">
        <is>
          <t>Bulletin article</t>
        </is>
      </c>
      <c r="D67" s="52" t="n"/>
      <c r="E67" s="52" t="inlineStr">
        <is>
          <t>2baf52d5-e5a8-438f-89d0-2b75cd31453f</t>
        </is>
      </c>
      <c r="F67" s="52" t="n"/>
      <c r="G67" s="52" t="n"/>
      <c r="H67" s="52" t="inlineStr"/>
    </row>
    <row r="68" s="41">
      <c r="A68" s="52" t="n">
        <v>55</v>
      </c>
      <c r="B68" s="52" t="inlineStr">
        <is>
          <t>AT.38629-DEC_B1D1DEEF-69F2-46AD-9CF0-760BDE41FF57_-ATT1056.md</t>
        </is>
      </c>
      <c r="C68" s="52" t="inlineStr">
        <is>
          <t>Regulatory Decision</t>
        </is>
      </c>
      <c r="D68" s="52" t="inlineStr">
        <is>
          <t>EU</t>
        </is>
      </c>
      <c r="E68" s="52" t="inlineStr">
        <is>
          <t>1d6217b4-c629-433a-b156-7ec855ee567d</t>
        </is>
      </c>
      <c r="F68" s="52" t="n"/>
      <c r="G68" s="52" t="n"/>
      <c r="H68" s="52" t="inlineStr"/>
    </row>
    <row r="69" s="41">
      <c r="A69" s="52" t="n">
        <v>56</v>
      </c>
      <c r="B69" s="52" t="inlineStr">
        <is>
          <t>competition-inspections-25-jurisdictions--22_spain.md</t>
        </is>
      </c>
      <c r="C69" s="52" t="inlineStr">
        <is>
          <t>Article (Review)</t>
        </is>
      </c>
      <c r="D69" s="52" t="n"/>
      <c r="E69" s="52" t="inlineStr">
        <is>
          <t>c612bb23-e93e-4e90-be30-4979d304f10e</t>
        </is>
      </c>
      <c r="F69" s="52" t="n"/>
      <c r="G69" s="52" t="n"/>
      <c r="H69" s="52" t="inlineStr"/>
    </row>
    <row r="70" s="41">
      <c r="A70" s="52" t="n">
        <v>57</v>
      </c>
      <c r="B70" s="52" t="inlineStr">
        <is>
          <t>62018CJ0606.md</t>
        </is>
      </c>
      <c r="C70" s="52" t="inlineStr">
        <is>
          <t>Court Decision</t>
        </is>
      </c>
      <c r="D70" s="52" t="inlineStr">
        <is>
          <t>EU</t>
        </is>
      </c>
      <c r="E70" s="52" t="inlineStr">
        <is>
          <t>2d074327-045b-484e-8bbc-1a0f9c7ed660</t>
        </is>
      </c>
      <c r="F70" s="52" t="n"/>
      <c r="G70" s="52" t="n"/>
      <c r="H70" s="52" t="inlineStr"/>
    </row>
    <row r="71" s="41">
      <c r="A71" s="52" t="n">
        <v>58</v>
      </c>
      <c r="B71" s="52" t="inlineStr">
        <is>
          <t>62020CJ0682.md</t>
        </is>
      </c>
      <c r="C71" s="52" t="inlineStr">
        <is>
          <t>Court Decision</t>
        </is>
      </c>
      <c r="D71" s="52" t="inlineStr">
        <is>
          <t>EU</t>
        </is>
      </c>
      <c r="E71" s="52" t="inlineStr">
        <is>
          <t>408cfe67-7fe4-45a8-9c3e-de39d86d56cb</t>
        </is>
      </c>
      <c r="F71" s="52" t="n"/>
      <c r="G71" s="52" t="n"/>
      <c r="H71" s="52" t="inlineStr"/>
    </row>
    <row r="72" s="41">
      <c r="A72" s="52" t="n">
        <v>59</v>
      </c>
      <c r="B72" s="52" t="inlineStr">
        <is>
          <t>competition-case-law-digest-5th--p09.md</t>
        </is>
      </c>
      <c r="C72" s="52" t="inlineStr">
        <is>
          <t>Book (Livre)</t>
        </is>
      </c>
      <c r="D72" s="52" t="n"/>
      <c r="E72" s="52" t="inlineStr">
        <is>
          <t>2f0afdb0-43c8-41b3-99e2-c3003ab906c1</t>
        </is>
      </c>
      <c r="F72" s="52" t="n"/>
      <c r="G72" s="52" t="n"/>
      <c r="H72" s="52" t="inlineStr"/>
    </row>
    <row r="73" s="41">
      <c r="A73" s="52" t="n">
        <v>60</v>
      </c>
      <c r="B73" s="52" t="inlineStr">
        <is>
          <t>competition-inspections-25-jurisdictions--7_european_union.md</t>
        </is>
      </c>
      <c r="C73" s="52" t="inlineStr">
        <is>
          <t>Article (Review)</t>
        </is>
      </c>
      <c r="D73" s="52" t="n"/>
      <c r="E73" s="52" t="inlineStr">
        <is>
          <t>1c2fa592-34f0-4656-96c2-024c5ea88b1e</t>
        </is>
      </c>
      <c r="F73" s="52" t="n"/>
      <c r="G73" s="52" t="n"/>
      <c r="H73" s="52" t="inlineStr"/>
    </row>
    <row r="74" s="41">
      <c r="A74" s="52" t="n">
        <v>61</v>
      </c>
      <c r="B74" s="52" t="inlineStr">
        <is>
          <t>19838.md</t>
        </is>
      </c>
      <c r="C74" s="52" t="inlineStr">
        <is>
          <t>Bulletin article</t>
        </is>
      </c>
      <c r="D74" s="52" t="n"/>
      <c r="E74" s="52" t="inlineStr">
        <is>
          <t>4fbf45d8-5766-4ba1-868c-18f49fdc837f</t>
        </is>
      </c>
      <c r="F74" s="52" t="n"/>
      <c r="G74" s="52" t="n"/>
      <c r="H74" s="52" t="inlineStr"/>
    </row>
    <row r="75" s="41">
      <c r="A75" s="52" t="n">
        <v>62</v>
      </c>
      <c r="B75" s="52" t="inlineStr">
        <is>
          <t>AT.39685-DEC_B33871A4-85CF-4460-AF10-A316F0FCD1B3_-ATT1976.md</t>
        </is>
      </c>
      <c r="C75" s="52" t="inlineStr">
        <is>
          <t>Regulatory Decision</t>
        </is>
      </c>
      <c r="D75" s="52" t="inlineStr">
        <is>
          <t>EU</t>
        </is>
      </c>
      <c r="E75" s="52" t="inlineStr">
        <is>
          <t>f4c38de6-b0b1-4d43-bba1-95b9f50b711c</t>
        </is>
      </c>
      <c r="F75" s="52" t="n"/>
      <c r="G75" s="52" t="n"/>
      <c r="H75" s="52" t="inlineStr"/>
    </row>
    <row r="76" s="41">
      <c r="A76" s="52" t="n">
        <v>63</v>
      </c>
      <c r="B76" s="52" t="inlineStr">
        <is>
          <t>57935-361-decisions-adopted-during-an-inspection-the-general-court-reminds-the-commiss.md</t>
        </is>
      </c>
      <c r="C76" s="52" t="inlineStr">
        <is>
          <t>Bulletin article</t>
        </is>
      </c>
      <c r="D76" s="52" t="n"/>
      <c r="E76" s="52" t="inlineStr">
        <is>
          <t>882aa354-e6cf-464a-b1e2-9486b1cca48f</t>
        </is>
      </c>
      <c r="F76" s="52" t="n"/>
      <c r="G76" s="52" t="n"/>
      <c r="H76" s="52" t="inlineStr"/>
    </row>
    <row r="77" s="41">
      <c r="A77" s="52" t="n">
        <v>64</v>
      </c>
      <c r="B77" s="52" t="inlineStr">
        <is>
          <t>competition-inspections-25-jurisdictions--23_sweden.md</t>
        </is>
      </c>
      <c r="C77" s="52" t="inlineStr">
        <is>
          <t>Article (Review)</t>
        </is>
      </c>
      <c r="D77" s="52" t="n"/>
      <c r="E77" s="52" t="inlineStr">
        <is>
          <t>dcf6ff3a-fc96-4095-bbc3-ecdd4afa4808</t>
        </is>
      </c>
      <c r="F77" s="52" t="n"/>
      <c r="G77" s="52" t="n"/>
      <c r="H77" s="52" t="inlineStr"/>
    </row>
    <row r="78" s="41">
      <c r="A78" s="52" t="n">
        <v>65</v>
      </c>
      <c r="B78" s="52" t="inlineStr">
        <is>
          <t>62010TJ0047.md</t>
        </is>
      </c>
      <c r="C78" s="52" t="inlineStr">
        <is>
          <t>Court Decision</t>
        </is>
      </c>
      <c r="D78" s="52" t="inlineStr">
        <is>
          <t>EU</t>
        </is>
      </c>
      <c r="E78" s="52" t="inlineStr">
        <is>
          <t>3cc76128-e075-4858-8344-bb863faf33fb</t>
        </is>
      </c>
      <c r="F78" s="52" t="n"/>
      <c r="G78" s="52" t="n"/>
      <c r="H78" s="52" t="inlineStr"/>
    </row>
    <row r="79" s="41">
      <c r="A79" s="52" t="n">
        <v>66</v>
      </c>
      <c r="B79" s="52" t="inlineStr">
        <is>
          <t>m10149.md</t>
        </is>
      </c>
      <c r="C79" s="52" t="inlineStr">
        <is>
          <t>Regulatory Decision</t>
        </is>
      </c>
      <c r="D79" s="52" t="inlineStr">
        <is>
          <t>EU</t>
        </is>
      </c>
      <c r="E79" s="52" t="inlineStr">
        <is>
          <t>440344d8-5df6-4302-a894-bc58447b2a18</t>
        </is>
      </c>
      <c r="F79" s="52" t="n"/>
      <c r="G79" s="52" t="n"/>
      <c r="H79" s="52" t="inlineStr"/>
    </row>
    <row r="80" s="41">
      <c r="A80" s="52" t="n">
        <v>67</v>
      </c>
      <c r="B80" s="52" t="inlineStr">
        <is>
          <t>127929-the-eu-general-court-upholds-the-commissions-inspection-methodology-based-on-pub.md</t>
        </is>
      </c>
      <c r="C80" s="52" t="inlineStr">
        <is>
          <t>Bulletin article</t>
        </is>
      </c>
      <c r="D80" s="52" t="n"/>
      <c r="E80" s="52" t="inlineStr">
        <is>
          <t>af2e8c94-00c3-40d4-8e35-233542ca536d</t>
        </is>
      </c>
      <c r="F80" s="52" t="n"/>
      <c r="G80" s="52" t="n"/>
      <c r="H80" s="52" t="inlineStr"/>
    </row>
    <row r="81" s="41">
      <c r="A81" s="52" t="n">
        <v>68</v>
      </c>
      <c r="B81" s="52" t="inlineStr">
        <is>
          <t>eu-antitrust-enforcement--20_table_of_cases.md</t>
        </is>
      </c>
      <c r="C81" s="52" t="inlineStr">
        <is>
          <t>Article (Review)</t>
        </is>
      </c>
      <c r="D81" s="52" t="n"/>
      <c r="E81" s="52" t="inlineStr">
        <is>
          <t>b6fab320-df7d-4a91-824a-3b8c5b27c0d9</t>
        </is>
      </c>
      <c r="F81" s="52" t="n"/>
      <c r="G81" s="52" t="n"/>
      <c r="H81" s="52" t="inlineStr"/>
    </row>
    <row r="82" s="41">
      <c r="A82" s="52" t="n">
        <v>69</v>
      </c>
      <c r="B82" s="52" t="inlineStr">
        <is>
          <t>50285.md</t>
        </is>
      </c>
      <c r="C82" s="52" t="inlineStr">
        <is>
          <t>Bulletin article</t>
        </is>
      </c>
      <c r="D82" s="52" t="n"/>
      <c r="E82" s="52" t="inlineStr">
        <is>
          <t>f17418b6-489e-4049-92f0-b9ce2b58968f</t>
        </is>
      </c>
      <c r="F82" s="52" t="n"/>
      <c r="G82" s="52" t="n"/>
      <c r="H82" s="52" t="inlineStr"/>
    </row>
    <row r="83" s="41">
      <c r="A83" s="52" t="n">
        <v>70</v>
      </c>
      <c r="B83" s="52" t="inlineStr">
        <is>
          <t>62011TJ0289.md</t>
        </is>
      </c>
      <c r="C83" s="52" t="inlineStr">
        <is>
          <t>Court Decision</t>
        </is>
      </c>
      <c r="D83" s="52" t="inlineStr">
        <is>
          <t>EU</t>
        </is>
      </c>
      <c r="E83" s="52" t="inlineStr">
        <is>
          <t>7ecb1eda-828c-4ed1-831c-9ba3cd309425</t>
        </is>
      </c>
      <c r="F83" s="52" t="n"/>
      <c r="G83" s="52" t="n"/>
      <c r="H83" s="52" t="inlineStr"/>
    </row>
    <row r="84" s="41">
      <c r="A84" s="52" t="n">
        <v>71</v>
      </c>
      <c r="B84" s="52" t="inlineStr">
        <is>
          <t>62009TJ0146(01).md</t>
        </is>
      </c>
      <c r="C84" s="52" t="inlineStr">
        <is>
          <t>Court Decision</t>
        </is>
      </c>
      <c r="D84" s="52" t="inlineStr">
        <is>
          <t>EU</t>
        </is>
      </c>
      <c r="E84" s="52" t="inlineStr">
        <is>
          <t>875d499b-3764-4398-9234-f5a88c4a5b7c</t>
        </is>
      </c>
      <c r="F84" s="52" t="n"/>
      <c r="G84" s="52" t="n"/>
      <c r="H84" s="52" t="inlineStr"/>
    </row>
    <row r="85" s="41">
      <c r="A85" s="52" t="n">
        <v>72</v>
      </c>
      <c r="B85" s="52" t="inlineStr">
        <is>
          <t>62019CJ0152.md</t>
        </is>
      </c>
      <c r="C85" s="52" t="inlineStr">
        <is>
          <t>Court Decision</t>
        </is>
      </c>
      <c r="D85" s="52" t="inlineStr">
        <is>
          <t>EU</t>
        </is>
      </c>
      <c r="E85" s="52" t="inlineStr">
        <is>
          <t>c20ed621-696c-46d8-8f57-7668f6e1913e</t>
        </is>
      </c>
      <c r="F85" s="52" t="n"/>
      <c r="G85" s="52" t="n"/>
      <c r="H85" s="52" t="inlineStr"/>
    </row>
    <row r="86" s="41">
      <c r="A86" s="52" t="n">
        <v>73</v>
      </c>
      <c r="B86" s="52" t="inlineStr">
        <is>
          <t>eu-antitrust-enforcement--17_xvi_re_adoption_by_the_european_commission_of_cartel_decisions_annulled_on_procedural_grounds_by_the_eu_courts.md</t>
        </is>
      </c>
      <c r="C86" s="52" t="inlineStr">
        <is>
          <t>Article (Review)</t>
        </is>
      </c>
      <c r="D86" s="52" t="n"/>
      <c r="E86" s="52" t="inlineStr">
        <is>
          <t>71ba5e7f-b51e-4068-b010-b7e7f422add9</t>
        </is>
      </c>
      <c r="F86" s="52" t="n"/>
      <c r="G86" s="52" t="n"/>
      <c r="H86" s="52" t="inlineStr"/>
    </row>
    <row r="87" s="41">
      <c r="A87" s="52" t="n">
        <v>74</v>
      </c>
      <c r="B87" s="52" t="inlineStr">
        <is>
          <t>87500.md</t>
        </is>
      </c>
      <c r="C87" s="52" t="inlineStr">
        <is>
          <t>Conference summary</t>
        </is>
      </c>
      <c r="D87" s="52" t="n"/>
      <c r="E87" s="52" t="inlineStr">
        <is>
          <t>01821bca-778a-42dd-a6cc-ef84f6382110</t>
        </is>
      </c>
      <c r="F87" s="52" t="n"/>
      <c r="G87" s="52" t="n"/>
      <c r="H87" s="52" t="inlineStr"/>
    </row>
    <row r="88" s="41">
      <c r="A88" s="52" t="n">
        <v>75</v>
      </c>
      <c r="B88" s="52" t="inlineStr">
        <is>
          <t>62015CJ0516.md</t>
        </is>
      </c>
      <c r="C88" s="52" t="inlineStr">
        <is>
          <t>Court Decision</t>
        </is>
      </c>
      <c r="D88" s="52" t="inlineStr">
        <is>
          <t>EU</t>
        </is>
      </c>
      <c r="E88" s="52" t="inlineStr">
        <is>
          <t>e2a4ba47-2dcd-4ee7-816c-9f32b926eba3</t>
        </is>
      </c>
      <c r="F88" s="52" t="n"/>
      <c r="G88" s="52" t="n"/>
      <c r="H88" s="52" t="inlineStr"/>
    </row>
    <row r="89" s="41">
      <c r="A89" s="52" t="n">
        <v>76</v>
      </c>
      <c r="B89" s="52" t="inlineStr">
        <is>
          <t>62015CC0516.md</t>
        </is>
      </c>
      <c r="C89" s="52" t="inlineStr">
        <is>
          <t>Bulletin article</t>
        </is>
      </c>
      <c r="D89" s="52" t="inlineStr">
        <is>
          <t>EU</t>
        </is>
      </c>
      <c r="E89" s="52" t="inlineStr">
        <is>
          <t>5f7ad9f4-0208-4c3a-890c-c1407f89787e</t>
        </is>
      </c>
      <c r="F89" s="52" t="n"/>
      <c r="G89" s="52" t="n"/>
      <c r="H89" s="52" t="inlineStr"/>
    </row>
    <row r="90" s="41">
      <c r="A90" s="52" t="n">
        <v>77</v>
      </c>
      <c r="B90" s="52" t="inlineStr">
        <is>
          <t>125471-20-dawn-raids-the-general-court-upholds-the-european-commissions-overall-assessm.md</t>
        </is>
      </c>
      <c r="C90" s="52" t="inlineStr">
        <is>
          <t>Bulletin article</t>
        </is>
      </c>
      <c r="D90" s="52" t="n"/>
      <c r="E90" s="52" t="inlineStr">
        <is>
          <t>e97ed81a-60ca-4112-9207-21a8613078bd</t>
        </is>
      </c>
      <c r="F90" s="52" t="n"/>
      <c r="G90" s="52" t="n"/>
      <c r="H90" s="52" t="inlineStr"/>
    </row>
    <row r="91" s="41">
      <c r="A91" s="52" t="n">
        <v>78</v>
      </c>
      <c r="B91" s="52" t="inlineStr">
        <is>
          <t>62018CJ0595.md</t>
        </is>
      </c>
      <c r="C91" s="52" t="inlineStr">
        <is>
          <t>Court Decision</t>
        </is>
      </c>
      <c r="D91" s="52" t="inlineStr">
        <is>
          <t>EU</t>
        </is>
      </c>
      <c r="E91" s="52" t="inlineStr">
        <is>
          <t>9cef1570-4dfe-4218-9740-d8f6d239921b</t>
        </is>
      </c>
      <c r="F91" s="52" t="n"/>
      <c r="G91" s="52" t="n"/>
      <c r="H91" s="52" t="inlineStr"/>
    </row>
    <row r="92" s="41">
      <c r="A92" s="52" t="n">
        <v>79</v>
      </c>
      <c r="B92" s="52" t="inlineStr">
        <is>
          <t>62017TJ0254.md</t>
        </is>
      </c>
      <c r="C92" s="52" t="inlineStr">
        <is>
          <t>Court Decision</t>
        </is>
      </c>
      <c r="D92" s="52" t="inlineStr">
        <is>
          <t>EU</t>
        </is>
      </c>
      <c r="E92" s="52" t="inlineStr">
        <is>
          <t>bed91df8-f034-4e81-96a1-ffff25500899</t>
        </is>
      </c>
      <c r="F92" s="52" t="n"/>
      <c r="G92" s="52" t="n"/>
      <c r="H92" s="52" t="inlineStr"/>
    </row>
    <row r="93" s="41">
      <c r="A93" s="52" t="n">
        <v>80</v>
      </c>
      <c r="B93" s="52" t="inlineStr">
        <is>
          <t>62007TJ0421(01).md</t>
        </is>
      </c>
      <c r="C93" s="52" t="inlineStr">
        <is>
          <t>Court Decision</t>
        </is>
      </c>
      <c r="D93" s="52" t="inlineStr">
        <is>
          <t>EU</t>
        </is>
      </c>
      <c r="E93" s="52" t="inlineStr">
        <is>
          <t>818076c5-da80-4b29-859b-893429f258b6</t>
        </is>
      </c>
      <c r="F93" s="52" t="n"/>
      <c r="G93" s="52" t="n"/>
      <c r="H93" s="52" t="inlineStr"/>
    </row>
    <row r="94" s="41">
      <c r="A94" s="52" t="n">
        <v>81</v>
      </c>
      <c r="B94" s="52" t="inlineStr">
        <is>
          <t>competition-inspections-25-jurisdictions--27_united_kingdom.md</t>
        </is>
      </c>
      <c r="C94" s="52" t="inlineStr">
        <is>
          <t>Article (Review)</t>
        </is>
      </c>
      <c r="D94" s="52" t="n"/>
      <c r="E94" s="52" t="inlineStr">
        <is>
          <t>5261e3c8-c961-4df0-a163-1e489d633173</t>
        </is>
      </c>
      <c r="F94" s="52" t="n"/>
      <c r="G94" s="52" t="n"/>
      <c r="H94" s="52" t="inlineStr"/>
    </row>
    <row r="95" s="41">
      <c r="A95" s="52" t="n">
        <v>82</v>
      </c>
      <c r="B95" s="52" t="inlineStr">
        <is>
          <t>127186-20-inspection-the-general-court-of-the-european-union-considers-that-the-commiss.md</t>
        </is>
      </c>
      <c r="C95" s="52" t="inlineStr">
        <is>
          <t>Bulletin article</t>
        </is>
      </c>
      <c r="D95" s="52" t="n"/>
      <c r="E95" s="52" t="inlineStr">
        <is>
          <t>329bd68b-1104-4f5c-b636-e9925175dbc6</t>
        </is>
      </c>
      <c r="F95" s="52" t="n"/>
      <c r="G95" s="52" t="n"/>
      <c r="H95" s="52" t="inlineStr"/>
    </row>
    <row r="96" s="41">
      <c r="A96" s="52" t="n">
        <v>83</v>
      </c>
      <c r="B96" s="52" t="inlineStr">
        <is>
          <t>competition-case-law-digest-5th--p11.md</t>
        </is>
      </c>
      <c r="C96" s="52" t="inlineStr">
        <is>
          <t>Book (Livre)</t>
        </is>
      </c>
      <c r="D96" s="52" t="n"/>
      <c r="E96" s="52" t="inlineStr">
        <is>
          <t>40351206-cbf5-40d8-a127-173a24162f6e</t>
        </is>
      </c>
      <c r="F96" s="52" t="n"/>
      <c r="G96" s="52" t="n"/>
      <c r="H96" s="52" t="inlineStr"/>
    </row>
    <row r="97" s="41">
      <c r="A97" s="52" t="n">
        <v>84</v>
      </c>
      <c r="B97" s="52" t="inlineStr">
        <is>
          <t>62012CJ0580.md</t>
        </is>
      </c>
      <c r="C97" s="52" t="inlineStr">
        <is>
          <t>Court Decision</t>
        </is>
      </c>
      <c r="D97" s="52" t="inlineStr">
        <is>
          <t>EU</t>
        </is>
      </c>
      <c r="E97" s="52" t="inlineStr">
        <is>
          <t>fa57de20-7bf4-4ba4-909e-a43f31e59774</t>
        </is>
      </c>
      <c r="F97" s="52" t="n"/>
      <c r="G97" s="52" t="n"/>
      <c r="H97" s="52" t="inlineStr"/>
    </row>
    <row r="98" s="41">
      <c r="A98" s="52" t="n">
        <v>85</v>
      </c>
      <c r="B98" s="52" t="inlineStr">
        <is>
          <t>62015TJ0274.md</t>
        </is>
      </c>
      <c r="C98" s="52" t="inlineStr">
        <is>
          <t>Court Decision</t>
        </is>
      </c>
      <c r="D98" s="52" t="inlineStr">
        <is>
          <t>EU</t>
        </is>
      </c>
      <c r="E98" s="52" t="inlineStr">
        <is>
          <t>d42f923b-c267-4df9-acb3-5abda361a0d6</t>
        </is>
      </c>
      <c r="F98" s="52" t="n"/>
      <c r="G98" s="52" t="n"/>
      <c r="H98" s="52" t="inlineStr"/>
    </row>
    <row r="99" s="41">
      <c r="A99" s="52" t="n">
        <v>86</v>
      </c>
      <c r="B99" s="52" t="inlineStr">
        <is>
          <t>62010TJ0027.md</t>
        </is>
      </c>
      <c r="C99" s="52" t="inlineStr">
        <is>
          <t>Court Decision</t>
        </is>
      </c>
      <c r="D99" s="52" t="inlineStr">
        <is>
          <t>EU</t>
        </is>
      </c>
      <c r="E99" s="52" t="inlineStr">
        <is>
          <t>bc02167d-8c4b-4b56-831c-f9c775215394</t>
        </is>
      </c>
      <c r="F99" s="52" t="n"/>
      <c r="G99" s="52" t="n"/>
      <c r="H99" s="52" t="inlineStr"/>
    </row>
    <row r="100" s="41">
      <c r="A100" s="52" t="n">
        <v>87</v>
      </c>
      <c r="B100" s="52" t="inlineStr">
        <is>
          <t>62018CJ0823.md</t>
        </is>
      </c>
      <c r="C100" s="52" t="inlineStr">
        <is>
          <t>Court Decision</t>
        </is>
      </c>
      <c r="D100" s="52" t="inlineStr">
        <is>
          <t>EU</t>
        </is>
      </c>
      <c r="E100" s="52" t="inlineStr">
        <is>
          <t>8a4af7ed-4940-4a94-8f4f-db32b00f6a4b</t>
        </is>
      </c>
      <c r="F100" s="52" t="n"/>
      <c r="G100" s="52" t="n"/>
      <c r="H100" s="52" t="inlineStr"/>
    </row>
    <row r="101" s="41">
      <c r="A101" s="52" t="n">
        <v>88</v>
      </c>
      <c r="B101" s="52" t="inlineStr">
        <is>
          <t>62013CJ0434.md</t>
        </is>
      </c>
      <c r="C101" s="52" t="inlineStr">
        <is>
          <t>Court Decision</t>
        </is>
      </c>
      <c r="D101" s="52" t="inlineStr">
        <is>
          <t>EU</t>
        </is>
      </c>
      <c r="E101" s="52" t="inlineStr">
        <is>
          <t>3c831f4f-721c-4de9-94c1-62dad5a0638e</t>
        </is>
      </c>
      <c r="F101" s="52" t="n"/>
      <c r="G101" s="52" t="n"/>
      <c r="H101" s="52" t="inlineStr"/>
    </row>
    <row r="102" s="41">
      <c r="A102" s="52" t="n">
        <v>89</v>
      </c>
      <c r="B102" s="52" t="inlineStr">
        <is>
          <t>62023CC0070.md</t>
        </is>
      </c>
      <c r="C102" s="52" t="inlineStr">
        <is>
          <t>Bulletin article</t>
        </is>
      </c>
      <c r="D102" s="52" t="inlineStr">
        <is>
          <t>EU</t>
        </is>
      </c>
      <c r="E102" s="52" t="inlineStr">
        <is>
          <t>2a493229-62c6-48e3-be4c-c06477e996fc</t>
        </is>
      </c>
      <c r="F102" s="52" t="n"/>
      <c r="G102" s="52" t="n"/>
      <c r="H102" s="52" t="inlineStr"/>
    </row>
    <row r="103" s="41">
      <c r="A103" s="52" t="n">
        <v>90</v>
      </c>
      <c r="B103" s="52" t="inlineStr">
        <is>
          <t>62011CJ0247.md</t>
        </is>
      </c>
      <c r="C103" s="52" t="inlineStr">
        <is>
          <t>Court Decision</t>
        </is>
      </c>
      <c r="D103" s="52" t="inlineStr">
        <is>
          <t>EU</t>
        </is>
      </c>
      <c r="E103" s="52" t="inlineStr">
        <is>
          <t>fe362102-7937-4edc-a5dd-3fa4053ce6a8</t>
        </is>
      </c>
      <c r="F103" s="52" t="n"/>
      <c r="G103" s="52" t="n"/>
      <c r="H103" s="52" t="inlineStr"/>
    </row>
    <row r="104" s="41">
      <c r="A104" s="52" t="n">
        <v>91</v>
      </c>
      <c r="B104" s="52" t="inlineStr">
        <is>
          <t>131823.md</t>
        </is>
      </c>
      <c r="C104" s="52" t="inlineStr">
        <is>
          <t>Bulletin article</t>
        </is>
      </c>
      <c r="D104" s="52" t="n"/>
      <c r="E104" s="52" t="inlineStr">
        <is>
          <t>9a53486d-c10b-4126-a9f0-2a80c4e4e2d2</t>
        </is>
      </c>
      <c r="F104" s="52" t="n"/>
      <c r="G104" s="52" t="n"/>
      <c r="H104" s="52" t="inlineStr"/>
    </row>
    <row r="105" s="41">
      <c r="A105" s="52" t="n">
        <v>92</v>
      </c>
      <c r="B105" s="52" t="inlineStr">
        <is>
          <t>62019CC0697.md</t>
        </is>
      </c>
      <c r="C105" s="52" t="inlineStr">
        <is>
          <t>Article (Review)</t>
        </is>
      </c>
      <c r="D105" s="52" t="inlineStr">
        <is>
          <t>EU</t>
        </is>
      </c>
      <c r="E105" s="52" t="inlineStr">
        <is>
          <t>5f5e0a6a-5fe2-4589-b663-2e4aecb3de9f</t>
        </is>
      </c>
      <c r="F105" s="52" t="n"/>
      <c r="G105" s="52" t="n"/>
      <c r="H105" s="52" t="inlineStr"/>
    </row>
    <row r="106" s="41">
      <c r="A106" s="52" t="n">
        <v>93</v>
      </c>
      <c r="B106" s="52" t="inlineStr">
        <is>
          <t>62013CJ0093.md</t>
        </is>
      </c>
      <c r="C106" s="52" t="inlineStr">
        <is>
          <t>Court Decision</t>
        </is>
      </c>
      <c r="D106" s="52" t="inlineStr">
        <is>
          <t>EU</t>
        </is>
      </c>
      <c r="E106" s="52" t="inlineStr">
        <is>
          <t>c5743b22-59b0-4e9b-81eb-65a38ee24ded</t>
        </is>
      </c>
      <c r="F106" s="52" t="n"/>
      <c r="G106" s="52" t="n"/>
      <c r="H106" s="52" t="inlineStr"/>
    </row>
    <row r="107" s="41">
      <c r="A107" s="52" t="n">
        <v>94</v>
      </c>
      <c r="B107" s="52" t="inlineStr">
        <is>
          <t>106537-2850-professional-confidentiality-the-french-supreme-court-confirms-the-order-of.md</t>
        </is>
      </c>
      <c r="C107" s="52" t="inlineStr">
        <is>
          <t>Bulletin article</t>
        </is>
      </c>
      <c r="D107" s="52" t="n"/>
      <c r="E107" s="52" t="inlineStr">
        <is>
          <t>eeed4aa3-6cf8-4bbd-b7d3-8ce72ea7f7ab</t>
        </is>
      </c>
      <c r="F107" s="52" t="n"/>
      <c r="G107" s="52" t="n"/>
      <c r="H107" s="52" t="inlineStr"/>
    </row>
    <row r="108" s="41">
      <c r="A108" s="52" t="n">
        <v>95</v>
      </c>
      <c r="B108" s="52" t="inlineStr">
        <is>
          <t>62022CJ0401.md</t>
        </is>
      </c>
      <c r="C108" s="52" t="inlineStr">
        <is>
          <t>Court Decision</t>
        </is>
      </c>
      <c r="D108" s="52" t="inlineStr">
        <is>
          <t>EU</t>
        </is>
      </c>
      <c r="E108" s="52" t="inlineStr">
        <is>
          <t>2fcdff38-4232-4b97-bde5-08adcace7e5f</t>
        </is>
      </c>
      <c r="F108" s="52" t="n"/>
      <c r="G108" s="52" t="n"/>
      <c r="H108" s="52" t="inlineStr"/>
    </row>
    <row r="109" s="41">
      <c r="A109" s="52" t="n">
        <v>96</v>
      </c>
      <c r="B109" s="52" t="inlineStr">
        <is>
          <t>62021CJ0442.md</t>
        </is>
      </c>
      <c r="C109" s="52" t="inlineStr">
        <is>
          <t>Court Decision</t>
        </is>
      </c>
      <c r="D109" s="52" t="inlineStr">
        <is>
          <t>EU</t>
        </is>
      </c>
      <c r="E109" s="52" t="inlineStr">
        <is>
          <t>744b35f8-44cd-48ff-82ad-b82e7c487992</t>
        </is>
      </c>
      <c r="F109" s="52" t="n"/>
      <c r="G109" s="52" t="n"/>
      <c r="H109" s="52" t="inlineStr"/>
    </row>
    <row r="110" s="41">
      <c r="A110" s="52" t="n">
        <v>97</v>
      </c>
      <c r="B110" s="52" t="inlineStr">
        <is>
          <t>62017TJ0255.md</t>
        </is>
      </c>
      <c r="C110" s="52" t="inlineStr">
        <is>
          <t>Court Decision</t>
        </is>
      </c>
      <c r="D110" s="52" t="inlineStr">
        <is>
          <t>EU</t>
        </is>
      </c>
      <c r="E110" s="52" t="inlineStr">
        <is>
          <t>23c88310-f2d4-4b6b-8829-eaeec8aab044</t>
        </is>
      </c>
      <c r="F110" s="52" t="n"/>
      <c r="G110" s="52" t="n"/>
      <c r="H110" s="52" t="inlineStr"/>
    </row>
    <row r="111" s="41">
      <c r="A111" s="52" t="n">
        <v>98</v>
      </c>
      <c r="B111" s="52" t="inlineStr">
        <is>
          <t>65468.md</t>
        </is>
      </c>
      <c r="C111" s="52" t="inlineStr">
        <is>
          <t>Bulletin article</t>
        </is>
      </c>
      <c r="D111" s="52" t="n"/>
      <c r="E111" s="52" t="inlineStr">
        <is>
          <t>dc8ec8f0-5770-4627-b054-ed1d4188857c</t>
        </is>
      </c>
      <c r="F111" s="52" t="n"/>
      <c r="G111" s="52" t="n"/>
      <c r="H111" s="52" t="inlineStr"/>
    </row>
    <row r="112" s="41">
      <c r="A112" s="52" t="n">
        <v>99</v>
      </c>
      <c r="B112" s="52" t="inlineStr">
        <is>
          <t>competition-inspections-25-jurisdictions--10_germany.md</t>
        </is>
      </c>
      <c r="C112" s="52" t="inlineStr">
        <is>
          <t>Article (Review)</t>
        </is>
      </c>
      <c r="D112" s="52" t="n"/>
      <c r="E112" s="52" t="inlineStr">
        <is>
          <t>6e56030e-0de4-4565-963d-135aab5bd6f9</t>
        </is>
      </c>
      <c r="F112" s="52" t="n"/>
      <c r="G112" s="52" t="n"/>
      <c r="H112" s="52" t="inlineStr"/>
    </row>
    <row r="113" s="41">
      <c r="A113" s="52" t="n">
        <v>100</v>
      </c>
      <c r="B113" s="52" t="inlineStr">
        <is>
          <t>62016CC0135.md</t>
        </is>
      </c>
      <c r="C113" s="52" t="inlineStr">
        <is>
          <t>Article (Review)</t>
        </is>
      </c>
      <c r="D113" s="52" t="inlineStr">
        <is>
          <t>EU</t>
        </is>
      </c>
      <c r="E113" s="52" t="inlineStr">
        <is>
          <t>c4e9042b-e229-4529-b18f-020fb7be1bf9</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Legal professional privilege in EU competition law is a court-made doctrine dating to the Court of Justice's 1982 judgment in AM &amp; S Europe v Commission, which constitutes a limitation on the Commission's investigative powers under Regulation 1/2003 rather than a right conferred by that Regulation or its predecessor Regulation 17, and which applies only where the communication is connected to the client's rights of defence.</t>
        </is>
      </c>
      <c r="C117" s="23" t="inlineStr">
        <is>
          <t>[24] 112075.md
[1] eu-antitrust-enforcement--14_xiii_legal_professional_privilege_in_eu_antitrust_enforcement_law_policy_and_procedure.md</t>
        </is>
      </c>
      <c r="D117" s="23" t="n"/>
      <c r="E117" s="23" t="inlineStr">
        <is>
          <t>[112075.md l.28-28] It is well-known that EU legislation, in particular Regulation 1/2003[[Council Regulation (EC) No 1/2003 of 16 December 2002 on the implementation of the rules on competition laid down in Articles 81 and 82 of the Treaty.]], does not provide for LPP. The same applied to its predecessor, Regulation 17/62. Legal privilege under EU law was recognized by the CJEU in 1982, in the seminal case AM&amp;S Europe Ltd.[[Case C-155/79, AM&amp;S Europe Ltd v Commission, EU:C:1982:157.]]  The CJEU ruled that exchanges between external EEA-qualified lawyers and their clients were protected, provided that such communications were made for the purpose, and in the interests of, the client's **rights of defense**
[eu-antitrust-enforcement--14_xiii_legal_professional_privilege_in_eu_antitrust_enforcement_law_policy_and_procedure.md l.149-153] The first of the two cumulative conditions for communications between lawyers and
clients to be protected under the AM &amp; S Europe v Commission case law is that
the exchange with the lawyer must be connected to the client’s rights of defence,
in that they are ‘made for the purposes and in the interests of the client’s rights of
defence’.1067
[eu-antitrust-enforcement--14_xiii_legal_professional_privilege_in_eu_antitrust_enforcement_law_policy_and_procedure.md l.62-68] It follows from legal professional privilege, as recognised by the EU Court of Justice since
its 1982 judgment in AM &amp; S Europe v Commission, that the European Commission cannot use its powers of investigation to compel the disclosure of communications between
lawyers and clients, provided that, on the one hand, such communications are made for
the purpose and in the interests of the client’s rights of defence and, on the other hand,
the lawyers are independent lawyers, who are not bound to the client by a relationship of
employment, and who are entitled to practise their profession in one of the EU (or EEA)
Member States.1062</t>
        </is>
      </c>
      <c r="F117" s="23" t="n"/>
      <c r="G117" s="40" t="n"/>
      <c r="H117" s="40" t="n"/>
    </row>
    <row r="118" ht="15.75" customHeight="1" s="41">
      <c r="A118" s="23" t="n">
        <v>2</v>
      </c>
      <c r="B118" s="23" t="inlineStr">
        <is>
          <t>Under AM &amp; S, EU LPP protects communications between a client and a lawyer only where two cumulative conditions are met: the communication must be made for the purpose and in the interests of the client's rights of defence, and it must emanate from an independent lawyer not bound to the client by a relationship of employment and entitled to practise in an EU or EEA Member State.</t>
        </is>
      </c>
      <c r="C118" s="23" t="inlineStr">
        <is>
          <t>[20] 129913.md
[1] eu-antitrust-enforcement--14_xiii_legal_professional_privilege_in_eu_antitrust_enforcement_law_policy_and_procedure.md</t>
        </is>
      </c>
      <c r="D118" s="23" t="n"/>
      <c r="E118" s="23" t="inlineStr">
        <is>
          <t>[129913.md l.22-22] EU LPP provides protection against disclosure in the context of litigation or compulsory powers of investigation by the EU Commission. It is narrowly defined and only applies to communications with or legal advice that is provided by independent EEA qualified lawyers.
[eu-antitrust-enforcement--14_xiii_legal_professional_privilege_in_eu_antitrust_enforcement_law_policy_and_procedure.md l.149-158] The first of the two cumulative conditions for communications between lawyers and
clients to be protected under the AM &amp; S Europe v Commission case law is that
the exchange with the lawyer must be connected to the client’s rights of defence,
in that they are ‘made for the purposes and in the interests of the client’s rights of
defence’.1067
In the context of the enforcement of Articles 101 and 102 TFEU by the European
Commission, this means that the protection covers ‘all written communications exchanged
after the initiation of the administrative procedure under [Regulation 1/2003] which may
lead to a decision on the application of [Articles 101 and 102 TFEU] or to a decision
imposing a pecuniary sanction on the undertaking’.1068</t>
        </is>
      </c>
      <c r="F118" s="23" t="n"/>
      <c r="G118" s="40" t="n"/>
      <c r="H118" s="40" t="n"/>
    </row>
    <row r="119" ht="15.75" customHeight="1" s="41">
      <c r="A119" s="23" t="n">
        <v>3</v>
      </c>
      <c r="B119" s="23" t="inlineStr">
        <is>
          <t>On the "independence" condition, the Court of First Instance held in Akzo Nobel Chemicals and Akcros Chemicals v Commission (Joined Cases T-125/03 and T-253/03) that communications between an undertaking and its in-house lawyer, including a member of the applicants' legal department enrolled at the Netherlands Bar, are not covered by LPP, because an in-house lawyer occupies the position of an employee and does not have the same independence as an external lawyer.</t>
        </is>
      </c>
      <c r="C119" s="23" t="inlineStr">
        <is>
          <t>[20] 129913.md
[3] 62007CJ0550.md
[1] eu-antitrust-enforcement--14_xiii_legal_professional_privilege_in_eu_antitrust_enforcement_law_policy_and_procedure.md</t>
        </is>
      </c>
      <c r="D119" s="23" t="n"/>
      <c r="E119" s="23" t="inlineStr">
        <is>
          <t xml:space="preserve">[129913.md l.26-26] The Court of Justice held that "*an in-house lawyer cannot, whatever guarantees he has in the exercise of his profession, be treated in the same was as an external lawyer, because he occupies the position of an employee which, by its very nature, does not allow him to ignore the commercial strategies pursued by his employer, and thereby affects his ability to exercise professional independence*" (paragraph 47).
[62007CJ0550.md l.794-797] hat connection, it must be observed that, when an undertaking seeks advice from 
its in-house lawyer, it is not dealing with an independent third party, but with one 
of its employees, notwithstanding any professional obligations resulting from enrol -
ment at a Bar or Law Society.
[eu-antitrust-enforcement--14_xiii_legal_professional_privilege_in_eu_antitrust_enforcement_law_policy_and_procedure.md l.311-345] In EU law, the requirement of independence of the lawyer is thus determined not only
positively – by reference to professional ethical obligations – but also negatively – by
reference to the absence of an employment relationship.1082
What is required for legal professional privilege to apply is that the lawyer is ‘structurally,
hierarchically and functionally, [. . .] a third party in relation to the undertaking receiving
[the] advice’.1083
Several attempts have been made to argue that the exclusion of in-house lawyers would
somehow be contrary to the European Convention on Human Rights (ECHR).1084 These
arguments were cogently rejected by Advocate General Kokott in Akzo Nobel Chemicals
and Akcros Chemicals v Commission.1085 The European Court of Human Rights has
not expressed any support </t>
        </is>
      </c>
      <c r="F119" s="23" t="n"/>
      <c r="G119" s="40" t="n"/>
      <c r="H119" s="40" t="n"/>
    </row>
    <row r="120" ht="15.75" customHeight="1" s="41">
      <c r="A120" s="23" t="n">
        <v>4</v>
      </c>
      <c r="B120" s="23" t="inlineStr">
        <is>
          <t>On appeal in Akzo Nobel Chemicals and Akcros Chemicals v Commission (Case C-550/07 P), the Grand Chamber of the Court of Justice confirmed the General Court's exclusion of in-house lawyers, rejecting arguments that developments in Member States' national laws since 1982 or the entry into force of Regulation 1/2003 justified extending LPP to communications with in-house counsel, since the Court found no uniform or clear majority trend among the Member States towards recognising such protection.</t>
        </is>
      </c>
      <c r="C120" s="23" t="inlineStr">
        <is>
          <t>[3] 62007CJ0550.md</t>
        </is>
      </c>
      <c r="D120" s="23" t="n"/>
      <c r="E120" s="23" t="inlineStr">
        <is>
          <t>[62007CJ0550.md l.746-755] 86 Th
us, Regulation No 1/2003, contrary to the appellants’ assertions, does not aim to 
require in-house and external lawyers to be treated in the same way as far as concerns  
legal professional privilege, but aims to reinforce the extent of the Commission’s  
powers of inspection, in particular as regards documents which may be the subject 
of such measures.
87 Ther
efore, the amendment of the rules of procedure for competition law, resulting in 
particular from Regulation No 1/2003, is also unable to justify a change in the case-
law established by the judgment in AM &amp; S Europe v Commission.
[62007CJ0550.md l.676-692] hat connection, Akzo and Akcros themselves accept that no uniform tendency 
can be established in the legal systems of the Member States towards the assimilation 
of in-house lawyers and lawyers in private practice.
74 Therefore no predominant trend towards protection under legal professional priv -
ilege of communications within a company or group with in-house lawyers may be 
discerned in the legal systems of the 27 Member States of the European Union.
I - 8389
AKZO NOBEL CHEMICALS AND AKCROS CHEMICALS v COMMISSION
75 In those circumstances, and contrary to the appellants’ assertions, the legal regime in 
the Netherlands cannot be regarded as signalling a developing trend in the Member 
States, or as a relevant factor for determining the scope of legal professional privilege.
76 The Cour</t>
        </is>
      </c>
      <c r="F120" s="23" t="n"/>
      <c r="G120" s="40" t="n"/>
      <c r="H120" s="40" t="n"/>
    </row>
    <row r="121" ht="15.75" customHeight="1" s="41">
      <c r="A121" s="23" t="n">
        <v>5</v>
      </c>
      <c r="B121" s="23" t="inlineStr">
        <is>
          <t>The Court of Justice in Case C-550/07 P also rejected the argument that excluding in-house lawyers from LPP undermines the rights of the defence, reasoning that when an undertaking seeks advice from its in-house lawyer it is dealing with one of its own employees rather than an independent third party, and that anyone who seeks legal advice must accept the restrictions applicable to the exercise of that profession, which include the rules on legal professional privilege.</t>
        </is>
      </c>
      <c r="C121" s="23" t="inlineStr">
        <is>
          <t>[3] 62007CJ0550.md</t>
        </is>
      </c>
      <c r="D121" s="23" t="n"/>
      <c r="E121" s="23" t="inlineStr">
        <is>
          <t>[62007CJ0550.md l.793-813] 94 In t
hat connection, it must be observed that, when an undertaking seeks advice from 
its in-house lawyer, it is not dealing with an independent third party, but with one 
of its employees, notwithstanding any professional obligations resulting from enrol -
ment at a Bar or Law Society.
95 I
t should be added that, even assuming that the consultation of in-house lawyers em-
ployed by the undertaking or group were to be covered by the right to obtain legal 
advice and representation, that would not exclude the application, where in-house 
lawyers are involved, of certain restrictions and rules relating to the exercise of the 
profession without that being regarded as adversely affecting the rights of the de -
fence. Thus, in-house lawyers are not always able to represent their employer b</t>
        </is>
      </c>
      <c r="F121" s="23" t="n"/>
      <c r="G121" s="40" t="n"/>
      <c r="H121" s="40" t="n"/>
    </row>
    <row r="122" ht="15.75" customHeight="1" s="41">
      <c r="A122" s="23" t="n">
        <v>6</v>
      </c>
      <c r="B122" s="23" t="inlineStr">
        <is>
          <t>The book chapter on LPP in EU antitrust enforcement explains that in EU law the independence requirement is defined both positively, by reference to the lawyer's professional ethical obligations, and negatively, by the absence of an employment relationship, and that Advocate General Kokott identified a structural danger that an enrolled in-house lawyer, however well-intentioned, may face a conflict between professional obligations and the aims of the employer, which makes it harder for the in-house lawyer to resist abuses of the privilege.</t>
        </is>
      </c>
      <c r="C122" s="23" t="inlineStr">
        <is>
          <t>[1] eu-antitrust-enforcement--14_xiii_legal_professional_privilege_in_eu_antitrust_enforcement_law_policy_and_procedure.md</t>
        </is>
      </c>
      <c r="D122" s="23" t="n"/>
      <c r="E122" s="23" t="inlineStr">
        <is>
          <t>[eu-antitrust-enforcement--14_xiii_legal_professional_privilege_in_eu_antitrust_enforcement_law_policy_and_procedure.md l.298-313] As explained by Advocate General Kokott:
‘There is a structural danger that an enrolled in-house lawyer – even if, as is usually
the case, he is himself of good character and has the best intentions – will encounter
a conflict of interests between his professional obligations and the aims and wishes of
his company.
The susceptibility of an enrolled in-house lawyer to conflicts of interest also makes
it difficult for him to raise an effective opposition to any abuses of legal professional
p­ rivilege. Such abuse may, for example, consist in handing over evidence and information to an undertaking’s legal department, under cover of a request for legal advice,
for the sole or primary purpose, ultimately, of preventing the competition authorities
of gaining access to that evidence and informati</t>
        </is>
      </c>
      <c r="F122" s="23" t="n"/>
      <c r="G122" s="40" t="n"/>
      <c r="H122" s="40" t="n"/>
    </row>
    <row r="123" ht="15.75" customHeight="1" s="41">
      <c r="A123" s="23" t="n">
        <v>7</v>
      </c>
      <c r="B123" s="23" t="inlineStr">
        <is>
          <t>The Court of Justice in Case C-550/07 P further held that the principle of legal certainty does not require identical LPP criteria to apply to Commission investigations and to national competition authority enquiries, because the two types of procedure are based on a distinct division of powers between the competition authorities and undertakings can determine their position accordingly.</t>
        </is>
      </c>
      <c r="C123" s="23" t="inlineStr">
        <is>
          <t>[3] 62007CJ0550.md</t>
        </is>
      </c>
      <c r="D123" s="23" t="n"/>
      <c r="E123" s="23" t="inlineStr">
        <is>
          <t>[62007CJ0550.md l.845-876] 102 The Commi
ssion’s powers under Regulation No 17 and Regulation No 1/2003 may be 
distinguished from those in enquiries which may be carried out at national level. Both 
JUDGMENT OF 14. 9. 2010 — CASE C-550/07 P
I - 8396
types of procedure are based on a division of powers between the various competition 
authorities. The rules on legal professional privilege may, therefore, vary according to 
that division of powers and the rules relevant to it.103 The Cour
t has held in that connection that restrictive practices are viewed differently 
by European Union law and national law. Whilst Articles 101 TFEU and 102 TFEU 
view them in the light of the obstacles which may result for trade between the Mem-
ber States, each body of national legislation proceeds on the basis of considerations 
pec</t>
        </is>
      </c>
      <c r="F123" s="23" t="n"/>
      <c r="G123" s="40" t="n"/>
      <c r="H123" s="40" t="n"/>
    </row>
    <row r="124" ht="15.75" customHeight="1" s="41">
      <c r="A124" s="23" t="n">
        <v>8</v>
      </c>
      <c r="B124" s="23" t="inlineStr">
        <is>
          <t>In Orde van Vlaamse Balies (Case C-694/20, December 2022), decided in a tax-reporting context rather than a competition case, the Grand Chamber of the Court of Justice held that Article 7 of the Charter of Fundamental Rights guarantees the secrecy of legal consultation as to both its content and its existence, and that this protection covers legal advice in general and not merely advice connected to the exercise of rights of defence in legal proceedings.</t>
        </is>
      </c>
      <c r="C124" s="23" t="inlineStr">
        <is>
          <t>[24] 112075.md
[9] 120985.md</t>
        </is>
      </c>
      <c r="D124" s="23" t="n"/>
      <c r="E124" s="23" t="inlineStr">
        <is>
          <t>[112075.md l.42-42] The Grand Chamber of the CJEU observed that the protection applying under Article 8(1) of the ECHR to exchanges between lawyers and their clients "covers not only the activity of defense but also legal advice".[[Orde van Vlaamse Balies, para. 27.]] The CJEU found that, likewise, Article 7 of the Charter (the equivalent of Article 8(1)) "**guarantees the secrecy of that legal consultation**, both with regard to its content and to its existence."[[Ibid.]] Referring again to the case law of the ECtHR, the CJEU indicated that "individuals who consult a lawyer can reasonably expect that their communication is private and confidential" and that "those persons must have a legitimate expectation that their lawyer will not disclose to anyone, without their consent, that they are consulting him or h
[120985.md l.54-54] As regards the right to private life (set out in Article 7 of the Charter), based on the case law of the ECtHR (*Michaud v France*), the CJEU recognises that this protects the confidentiality of all correspondence between individuals, with strengthened protection for exchanges between lawyers and their clients. That protection covers not only the activity of defence, but also legal advice, both with regard to its content and its existence. Individuals who consult a lawyer can reasonably expect that their communication is private and confidential (*Altay v Turkey No 2*) and have a legitimate expectation that their lawyer will not disclose to anyone, without their consent, that they are being consulted by them.</t>
        </is>
      </c>
      <c r="F124" s="23" t="n"/>
      <c r="G124" s="40" t="n"/>
      <c r="H124" s="40" t="n"/>
    </row>
    <row r="125" ht="15.75" customHeight="1" s="41">
      <c r="A125" s="23" t="n">
        <v>9</v>
      </c>
      <c r="B125" s="23" t="inlineStr">
        <is>
          <t>Commentary on Orde van Vlaamse Balies observes that the ruling widens the subject-matter scope of EU LPP relevant to competition investigations, extending it to legal advice in general rather than only advice connected to the exercise of rights of defence, a development described as welcome for companies' rights of defence in dawn raids and responses to information requests.</t>
        </is>
      </c>
      <c r="C125" s="23" t="inlineStr">
        <is>
          <t>[9] 120985.md</t>
        </is>
      </c>
      <c r="D125" s="23" t="n"/>
      <c r="E125" s="23" t="inlineStr">
        <is>
          <t>[120985.md l.68-70] Based on *Akzo v Commission* the Commission also requires companies to demonstrate that claims for legal privilege meet the conditions for legal protection. During a dawn raid the Commission considers that a mere cursory look by Commission officials at the general layout, heading or other superficial features of a document will normally enable them to confirm or not the accuracy of the reasons provided by the company concerned. A company can refuse such a cursory look if it is impossible without revealing the contents of the documents in question, but the Commission may impose a penalty where companies refuse the investigators a mere cursory look without objective justification.
Clarification by the CJEU in *Orde van Vlaamse Balies* that EU LPP applies to any legal advice as opposed to on</t>
        </is>
      </c>
      <c r="F125" s="23" t="n"/>
      <c r="G125" s="40" t="n"/>
      <c r="H125" s="40" t="n"/>
    </row>
    <row r="126" ht="15.75" customHeight="1" s="41">
      <c r="A126" s="40" t="n">
        <v>10</v>
      </c>
      <c r="B126" s="40" t="inlineStr">
        <is>
          <t>In a Competition Policy Brief published on 10 November 2025, DG Competition officials confirmed that there is no compelling legal or policy basis for extending EU LPP to in-house lawyers, finding that only five EU Member States recognise some form of in-house LPP in competition investigations and that the position at Member State level is not in any event relevant to determining the scope of EU LPP, which rests instead on the Akzo principle that an employment relationship precludes the requisite full independence.</t>
        </is>
      </c>
      <c r="C126" s="40" t="inlineStr">
        <is>
          <t>[20] 129913.md</t>
        </is>
      </c>
      <c r="D126" s="40" t="n"/>
      <c r="E126" s="40" t="inlineStr">
        <is>
          <t>[129913.md l.38-38] First of all, they find that there is no clear trend at Member State level towards LPP protection for in-house lawyers. Only five of the EU Member States recognise some form of LPP for in-house lawyers in competition law investigations and the majority of Member States do not recognise LPP for in-house lawyers under their national legislation, with their approach often based on the principles set out in the Akzo case. They also clarify that in any case the position at Member State level is not relevant for determining the scope of EU LPP. Instead, it is based on the principle established by the Court of Justice in Akzo that a relationship of employment precludes the requirement for full independence.</t>
        </is>
      </c>
      <c r="F126" s="40" t="n"/>
      <c r="G126" s="40" t="n"/>
      <c r="H126" s="40" t="n"/>
    </row>
    <row r="127" ht="15.75" customHeight="1" s="41">
      <c r="A127" s="52" t="n">
        <v>11</v>
      </c>
      <c r="B127" s="52" t="inlineStr">
        <is>
          <t>Commentary reviewing the case law also observes that the Akzo exclusion of in-house counsel remains contested: a growing number of Member States now recognise LPP for in-house lawyers, the Court of Justice has since relaxed its independence test for legal representation before the EU Courts by asking only whether a connection has a "manifestly detrimental effect" on independence, and a reference is pending before the CJEU on whether in-house lawyers' communications should be protected from disclosure under the Whistleblowing Directive.</t>
        </is>
      </c>
      <c r="C127" s="52" t="inlineStr">
        <is>
          <t>[2] 129921.md</t>
        </is>
      </c>
      <c r="D127" s="52" t="n"/>
      <c r="E127" s="52" t="inlineStr">
        <is>
          <t>[129921.md l.100-111] The central question today is whether there have been developments both at EU and member State level that justify revisiting the *AM&amp;S* and *Akzo* case law. The reply is positive: The below legislative reforms and judicial decisions at national level further support the extension of LPP to in-house counsel at EU level.  
On the judicial developments after *Akzo*: 
- A noteworthy development is the explicit recognition of LPP for in-house counsel in competition proceedings in the Netherlands (2013). This recognition is particularly significant, given that the factual background of the *Akzo* case originated in the Netherlands. For LPP to apply, the only requirement is that the lawyer is admitted in the bar and complies with the requirement of independence (i.e. therefore, in practice, a l
[129921.md l.82-82] The shift in approach emerged through two Grand Chamber judgments involving university teachers: one bound to their institution by a contract for lecturing services (judgment of 4 February 2020, Cases C‑515/17 P and C‑561/17 P, *Uniwersytet Wrocławski*, para. 64), and another by a statutory public law relationship (judgment of 14 July 2022, *Universität Bremen*, Case C‑110/21 P, para. 62). Both cases involved relationships of subordination materially similar to employment relationships – and which, under the previously broad test, would have automatically disqualified the representatives on grounds of insufficient independence. However, in these cases, the CJEU reformulated the test, acknowledging that the concept of a lawyer’s ‘independence’ – in the context of representation before the E
[129921.md l.88-90] At the time of publishing this Foreword, a preliminary ruling has been referred to the CJEU (C-796/24) by the Belgian Constitutional Court, in the framework of a claim raised by the Institute of In-house Lawyers (*Instituut voor bedrijfsjuristen*) against the transposition by Belgium of Article 3.3 of Directive (EU) 2019/1937 of the</t>
        </is>
      </c>
      <c r="F127" s="52" t="n"/>
      <c r="G127" s="52" t="n"/>
      <c r="H127" s="52" t="n"/>
    </row>
    <row r="128" ht="15.75" customHeight="1" s="41">
      <c r="A128" s="52" t="n">
        <v>12</v>
      </c>
      <c r="B128" s="52" t="inlineStr">
        <is>
          <t>In practice, because in-house counsel's advice falls outside LPP, a company claiming privilege over a document during a Commission inspection must give the inspectors relevant material demonstrating that the document was made for the purpose of the client's rights of defence and emanates from an independent external lawyer, without being required to reveal the document's contents; if the Commission is not satisfied, it may take a cursory look at the document's layout and superficial features, and if doubt remains it must place a copy in a sealed envelope pending resolution of the dispute, only opening it after adopting a formal decision rejecting the privilege claim and allowing the company to challenge that decision before the General Court, if necessary together with an application for interim measures.</t>
        </is>
      </c>
      <c r="C128" s="52" t="inlineStr">
        <is>
          <t>[1] eu-antitrust-enforcement--14_xiii_legal_professional_privilege_in_eu_antitrust_enforcement_law_policy_and_procedure.md</t>
        </is>
      </c>
      <c r="D128" s="52" t="n"/>
      <c r="E128" s="52" t="inlineStr">
        <is>
          <t>[eu-antitrust-enforcement--14_xiii_legal_professional_privilege_in_eu_antitrust_enforcement_law_policy_and_procedure.md l.655-688] between itself and its lawyer, it must provide the Commission’s authorised agents with relevant material of such a nature as to demonstrate that the communications fulfil the ­conditions
for being granted legal protection, although it is not bound to reveal the contents of the
communications in question.1108 The company may, in particular, inform the Commission of
the author of the document and for whom it was intended, explain the respective duties and
responsibilities of each, and refer to the objective and the context in which the document
was drawn up. Similarly, it may also mention the context in which the document was found,
the way in which it was filed and any related documents.1109
The mere fact that a company claims that a document is protected by legal professional privilege is 
[eu-antitrust-enforcement--14_xiii_legal_professional_privilege_in_eu_antitrust_enforcement_law_policy_and_procedure.md l.714-722] If the European Commission wants to open the sealed envelope and read the contents of
the document, it must first adopt a decision rejecting the company’s legal professional
privilege claim, thus allowing the company concerned to refer the matter to the EU
General Court, and to make an application for interim measures seeking suspension of
operation of the decision rejecting the legal professional privilege claim.1115
Only if the company either does not bring such an application before the EU General
Court or after its application has been rejected by the EU Courts (General Court as well
as, on a possible further appeal on points of law, Court of Justice) can the European
Commission open the sealed envelope and read the contents of the document.1116</t>
        </is>
      </c>
      <c r="F128" s="52" t="n"/>
      <c r="G128" s="52" t="n"/>
      <c r="H128" s="52" t="n"/>
    </row>
    <row r="129" ht="15.75" customHeight="1" s="41">
      <c r="A129" s="52" t="n">
        <v>13</v>
      </c>
      <c r="B129" s="52" t="inlineStr">
        <is>
          <t>A practical consequence of the in-house exclusion is that internal preparatory documents and compliance-programme records are not shielded from an inspection merely because a lawyer discussed them; the General Court in Akzo Nobel Chemicals and Akcros Chemicals v Commission (Joined Cases T-125/03 and T-253/03) held that such documents attract LPP only if drawn up exclusively for the purpose of seeking legal advice from an external lawyer, and that the mere fact a document has been discussed with a lawyer is not sufficient to give it protection.</t>
        </is>
      </c>
      <c r="C129" s="52" t="inlineStr">
        <is>
          <t>[1] eu-antitrust-enforcement--14_xiii_legal_professional_privilege_in_eu_antitrust_enforcement_law_policy_and_procedure.md</t>
        </is>
      </c>
      <c r="D129" s="52" t="n"/>
      <c r="E129" s="52" t="inlineStr">
        <is>
          <t>[eu-antitrust-enforcement--14_xiii_legal_professional_privilege_in_eu_antitrust_enforcement_law_policy_and_procedure.md l.604-626] In Hilti v Commission, the EU General Court has recognised that internal documents
of a company summarising advice received in the exercise of the company’s rights of
defence from external lawyers are also protected under legal professional privilege.1104
In Akzo Nobel Chemicals and Akcros Chemicals v Commission, the EU General Court
similarly recognised that internal preparatory documents, even if they were not exchanged
with a lawyer or were not created for the purpose of being sent physically to a lawyer,
are protected if drawn up exclusively for the purpose of seeking legal advice from an
external lawyer in the exercise of the rights of defence.1105
On the other hand, the mere fact that a document has been discussed with an external
lawyer is not sufficient to give it protection.1106
F</t>
        </is>
      </c>
      <c r="F129" s="52" t="n"/>
      <c r="G129" s="52" t="n"/>
      <c r="H129" s="52" t="n"/>
    </row>
    <row r="130" ht="15.75" customHeight="1" s="41">
      <c r="A130" s="52" t="n">
        <v>14</v>
      </c>
      <c r="B130" s="52" t="inlineStr">
        <is>
          <t>These strands of authority are not in conflict: Orde van Vlaamse Balies and the growing national recognition of in-house LPP go to a different question from the one resolved in Akzo. Commentary on Orde van Vlaamse Balies confirms that the ruling "does not affect the requirement for the advice to be provided by an external and EEA qualified lawyer as this point did not arise in this case," meaning it widens what subject matter can be privileged without touching who qualifies as a privileged lawyer. Likewise, the Commission's 2025 Competition Policy Brief confirms that developments in Member States' national laws are "not relevant for determining the scope of EU LPP," which instead continues to rest on the Akzo principle that an employment relationship precludes the requisite full independence; so the scope of EU LPP for in-house counsel in competition investigations remains governed by Akzo notwithstanding the widening of subject-matter coverage and the national trend.</t>
        </is>
      </c>
      <c r="C130" s="52" t="inlineStr">
        <is>
          <t>[9] 120985.md
[20] 129913.md</t>
        </is>
      </c>
      <c r="D130" s="52" t="n"/>
      <c r="E130" s="52" t="inlineStr">
        <is>
          <t>[120985.md l.28-28] It should be noted that the CJEU’s latest ruling does not affect the requirement for the advice to be provided by an external and EEA qualified lawyer as this point did not arise in this case.
[129913.md l.38-38] First of all, they find that there is no clear trend at Member State level towards LPP protection for in-house lawyers. Only five of the EU Member States recognise some form of LPP for in-house lawyers in competition law investigations and the majority of Member States do not recognise LPP for in-house lawyers under their national legislation, with their approach often based on the principles set out in the Akzo case. They also clarify that in any case the position at Member State level is not relevant for determining the scope of EU LPP. Instead, it is based on the principle established by the Court of Justice in Akzo that a relationship of employment precludes the requirement for full independence.</t>
        </is>
      </c>
      <c r="F130" s="52" t="n"/>
      <c r="G130" s="52" t="n"/>
      <c r="H130" s="52" t="n"/>
    </row>
    <row r="131" ht="15.75" customHeight="1" s="41">
      <c r="A131" s="52" t="n"/>
      <c r="B131" s="52" t="n"/>
      <c r="C131" s="52" t="n"/>
      <c r="D131" s="52" t="n"/>
      <c r="E131" s="52" t="n"/>
      <c r="F131" s="52" t="n"/>
      <c r="G131" s="52" t="n"/>
      <c r="H131" s="52" t="n"/>
    </row>
    <row r="132" ht="15.75" customHeight="1" s="41">
      <c r="A132" s="44" t="inlineStr">
        <is>
          <t>Final expert verdict</t>
        </is>
      </c>
    </row>
    <row r="133" ht="15.75" customHeight="1" s="41">
      <c r="A133" s="28" t="inlineStr">
        <is>
          <t>Reviewer</t>
        </is>
      </c>
      <c r="B133" s="23" t="n"/>
      <c r="C133" s="28" t="n"/>
      <c r="D133" s="29" t="n"/>
      <c r="E133" s="23" t="n"/>
      <c r="F133" s="23" t="n"/>
      <c r="G133" s="23" t="n"/>
      <c r="H133" s="23" t="n"/>
    </row>
    <row r="134" ht="15.75" customHeight="1" s="41">
      <c r="A134" s="28" t="inlineStr">
        <is>
          <t>Is the answer acceptable?</t>
        </is>
      </c>
      <c r="B134" s="30" t="n"/>
      <c r="C134" s="28" t="n"/>
      <c r="D134" s="29" t="n"/>
      <c r="E134" s="23" t="n"/>
      <c r="F134" s="23" t="n"/>
      <c r="G134" s="23" t="n"/>
      <c r="H134" s="23" t="n"/>
    </row>
    <row r="135" ht="15.75" customHeight="1" s="41">
      <c r="A135" s="28" t="inlineStr">
        <is>
          <t>Overall comment / required fixes</t>
        </is>
      </c>
      <c r="B135" s="23" t="n"/>
      <c r="C135" s="45" t="n"/>
      <c r="D135" s="45" t="n"/>
      <c r="E135" s="45" t="n"/>
      <c r="F135" s="45" t="n"/>
      <c r="G135" s="45" t="n"/>
      <c r="H135" s="46" t="n"/>
    </row>
    <row r="136" ht="15.75" customHeight="1" s="41">
      <c r="A136" s="28" t="inlineStr">
        <is>
          <t>Review completed?</t>
        </is>
      </c>
      <c r="B136" s="30" t="n"/>
      <c r="C136" s="28" t="n"/>
      <c r="D136" s="29" t="n"/>
      <c r="E136" s="23" t="n"/>
      <c r="F136" s="23" t="n"/>
      <c r="G136" s="23" t="n"/>
      <c r="H136" s="23" t="n"/>
    </row>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c r="A165" s="44" t="inlineStr">
        <is>
          <t>Original source notes</t>
        </is>
      </c>
      <c r="I165" s="40" t="n"/>
      <c r="J165" s="40" t="n"/>
    </row>
    <row r="166" ht="15.75" customHeight="1" s="41">
      <c r="A166" s="28" t="inlineStr">
        <is>
          <t>WAB notes</t>
        </is>
      </c>
      <c r="B166" s="23" t="n"/>
      <c r="C166" s="45" t="n"/>
      <c r="D166" s="45" t="n"/>
      <c r="E166" s="45" t="n"/>
      <c r="F166" s="45" t="n"/>
      <c r="G166" s="45" t="n"/>
      <c r="H166" s="46" t="n"/>
      <c r="I166" s="40" t="n"/>
      <c r="J166" s="40" t="n"/>
    </row>
    <row r="167" ht="15.75" customHeight="1" s="41">
      <c r="A167" s="28" t="inlineStr">
        <is>
          <t>Reviewer notes from question approval</t>
        </is>
      </c>
      <c r="B167" s="23" t="inlineStr">
        <is>
          <t>agreed, let's keep it.</t>
        </is>
      </c>
      <c r="C167" s="47" t="n"/>
      <c r="D167" s="47" t="n"/>
      <c r="E167" s="47" t="n"/>
      <c r="F167" s="47" t="n"/>
      <c r="G167" s="47" t="n"/>
      <c r="H167" s="48" t="n"/>
      <c r="I167" s="40" t="n"/>
      <c r="J167" s="40" t="n"/>
    </row>
    <row r="168" ht="15.75" customHeight="1" s="41">
      <c r="A168" s="23" t="n"/>
      <c r="B168" s="49" t="n"/>
      <c r="C168" s="50" t="n"/>
      <c r="D168" s="50" t="n"/>
      <c r="E168" s="50" t="n"/>
      <c r="F168" s="50" t="n"/>
      <c r="G168" s="50" t="n"/>
      <c r="H168" s="51" t="n"/>
      <c r="I168" s="40" t="n"/>
      <c r="J168" s="40" t="n"/>
    </row>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Q25 — Expert Review</t>
        </is>
      </c>
    </row>
    <row r="2" hidden="1" s="41">
      <c r="A2" s="44" t="inlineStr">
        <is>
          <t>Question metadata</t>
        </is>
      </c>
    </row>
    <row r="3" hidden="1" s="41">
      <c r="A3" s="13" t="inlineStr">
        <is>
          <t>Question ID</t>
        </is>
      </c>
      <c r="B3" s="39" t="n">
        <v>25</v>
      </c>
    </row>
    <row r="4" hidden="1" s="41">
      <c r="A4" s="13" t="inlineStr">
        <is>
          <t>Topic</t>
        </is>
      </c>
      <c r="B4" s="40" t="inlineStr">
        <is>
          <t>Dawn raids — legal professional privilege</t>
        </is>
      </c>
    </row>
    <row r="5" hidden="1" s="41">
      <c r="A5" s="13" t="inlineStr">
        <is>
          <t>Scope</t>
        </is>
      </c>
      <c r="B5" s="40" t="inlineStr">
        <is>
          <t>France</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Where a French dawn raid seizes a mailbox or a set of files in bulk and privileged correspondence is found inside afterwards, what is the procedure for having it returned or destroyed, and who decides?</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Possible overlap with question 14.</t>
        </is>
      </c>
      <c r="C70" s="45" t="n"/>
      <c r="D70" s="45" t="n"/>
      <c r="E70" s="45" t="n"/>
      <c r="F70" s="45" t="n"/>
      <c r="G70" s="45" t="n"/>
      <c r="H70" s="46" t="n"/>
      <c r="I70" s="40" t="n"/>
      <c r="J70" s="40" t="n"/>
    </row>
    <row r="71" ht="54" customHeight="1" s="41">
      <c r="A71" s="28" t="inlineStr">
        <is>
          <t>Reviewer notes from question approval</t>
        </is>
      </c>
      <c r="B71" s="23" t="inlineStr">
        <is>
          <t>no overlap with question 14, we can keep the question.</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Q26 — Expert Review</t>
        </is>
      </c>
    </row>
    <row r="2" hidden="1" s="41">
      <c r="A2" s="44" t="inlineStr">
        <is>
          <t>Question metadata</t>
        </is>
      </c>
    </row>
    <row r="3" hidden="1" s="41">
      <c r="A3" s="13" t="inlineStr">
        <is>
          <t>Question ID</t>
        </is>
      </c>
      <c r="B3" s="39" t="n">
        <v>26</v>
      </c>
    </row>
    <row r="4" hidden="1" s="41">
      <c r="A4" s="13" t="inlineStr">
        <is>
          <t>Topic</t>
        </is>
      </c>
      <c r="B4" s="40" t="inlineStr">
        <is>
          <t>Dawn raids — challenging a seizure</t>
        </is>
      </c>
    </row>
    <row r="5" hidden="1" s="41">
      <c r="A5" s="13" t="inlineStr">
        <is>
          <t>Scope</t>
        </is>
      </c>
      <c r="B5" s="40" t="inlineStr">
        <is>
          <t>France</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French law separates a challenge to the order authorising a dawn raid from a challenge to how the raid was carried out. What are the two routes, who hears each, what are the time limits, and what can each achieve?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Possible overlap with question 14.</t>
        </is>
      </c>
      <c r="C70" s="45" t="n"/>
      <c r="D70" s="45" t="n"/>
      <c r="E70" s="45" t="n"/>
      <c r="F70" s="45" t="n"/>
      <c r="G70" s="45" t="n"/>
      <c r="H70" s="46" t="n"/>
      <c r="I70" s="40" t="n"/>
      <c r="J70" s="40" t="n"/>
    </row>
    <row r="71" ht="54" customHeight="1" s="41">
      <c r="A71" s="28" t="inlineStr">
        <is>
          <t>Reviewer notes from question approval</t>
        </is>
      </c>
      <c r="B71" s="23" t="inlineStr">
        <is>
          <t xml:space="preserve">no overlap with question 14, we can keep the question. </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Q27 — Expert Review</t>
        </is>
      </c>
    </row>
    <row r="2" hidden="1" s="41">
      <c r="A2" s="44" t="inlineStr">
        <is>
          <t>Question metadata</t>
        </is>
      </c>
    </row>
    <row r="3" hidden="1" s="41">
      <c r="A3" s="13" t="inlineStr">
        <is>
          <t>Question ID</t>
        </is>
      </c>
      <c r="B3" s="39" t="n">
        <v>27</v>
      </c>
    </row>
    <row r="4" hidden="1" s="41">
      <c r="A4" s="13" t="inlineStr">
        <is>
          <t>Topic</t>
        </is>
      </c>
      <c r="B4" s="40" t="inlineStr">
        <is>
          <t>Dawn raids — the inspection decision</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I like the question but let's frame it like this "What is the extent of the Commission's duty to state reasons under Article 20(4) of Regulation 1/2003 as regards the subject matter and purpose of an inspection decision and the identification of its addressees — and what are the consequences, in light of Nexans, Deutsche Bahn and Les Laboratoires Servier, where the scope of the inspection exceeds the reasonable grounds (indicia) actually in the Commission's possession?"</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J163"/>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Q28 — Expert Review</t>
        </is>
      </c>
    </row>
    <row r="2" hidden="1" s="41">
      <c r="A2" s="44" t="inlineStr">
        <is>
          <t>Question metadata</t>
        </is>
      </c>
    </row>
    <row r="3" hidden="1" s="41">
      <c r="A3" s="13" t="inlineStr">
        <is>
          <t>Question ID</t>
        </is>
      </c>
      <c r="B3" s="39" t="n">
        <v>28</v>
      </c>
    </row>
    <row r="4" hidden="1" s="41">
      <c r="A4" s="13" t="inlineStr">
        <is>
          <t>Topic</t>
        </is>
      </c>
      <c r="B4" s="40" t="inlineStr">
        <is>
          <t>Dawn raids — the inspection decision</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Can an inspection decision be annulled in part where the Commission's evidence supports only some of the suspected infringement period it covers, and what then happens to material already gathered?</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62014TJ0475.md</t>
        </is>
      </c>
      <c r="C14" s="23" t="inlineStr">
        <is>
          <t>Court Decision</t>
        </is>
      </c>
      <c r="D14" s="23" t="inlineStr">
        <is>
          <t>EU</t>
        </is>
      </c>
      <c r="E14" s="23" t="inlineStr">
        <is>
          <t>cba40d0a-c143-4bc9-af97-af13ef20db3a</t>
        </is>
      </c>
      <c r="F14" s="23" t="n"/>
      <c r="G14" s="23" t="n"/>
      <c r="H14" s="23" t="inlineStr"/>
    </row>
    <row r="15">
      <c r="A15" s="23" t="n">
        <v>2</v>
      </c>
      <c r="B15" s="23" t="inlineStr">
        <is>
          <t>62014TJ0449.md</t>
        </is>
      </c>
      <c r="C15" s="23" t="inlineStr">
        <is>
          <t>Court Decision</t>
        </is>
      </c>
      <c r="D15" s="23" t="inlineStr">
        <is>
          <t>EU</t>
        </is>
      </c>
      <c r="E15" s="23" t="inlineStr">
        <is>
          <t>2f594756-bc0a-4332-829f-e65319b3211c</t>
        </is>
      </c>
      <c r="F15" s="23" t="n"/>
      <c r="G15" s="23" t="n"/>
      <c r="H15" s="23" t="inlineStr"/>
    </row>
    <row r="16">
      <c r="A16" s="23" t="n">
        <v>3</v>
      </c>
      <c r="B16" s="23" t="inlineStr">
        <is>
          <t>inspections-eu-law-2nd--3_chapter_1_-_inspections_upon_decision_regulation_1_2003_article_20_4.md</t>
        </is>
      </c>
      <c r="C16" s="23" t="inlineStr">
        <is>
          <t>Book (Livre)</t>
        </is>
      </c>
      <c r="D16" s="23" t="n"/>
      <c r="E16" s="23" t="inlineStr">
        <is>
          <t>d28b1d20-a2c6-425f-a401-498eab28d744</t>
        </is>
      </c>
      <c r="F16" s="23" t="n"/>
      <c r="G16" s="23" t="n"/>
      <c r="H16" s="23" t="inlineStr"/>
    </row>
    <row r="17">
      <c r="A17" s="23" t="n">
        <v>4</v>
      </c>
      <c r="B17" s="23" t="inlineStr">
        <is>
          <t>62018CC0606.md</t>
        </is>
      </c>
      <c r="C17" s="23" t="inlineStr">
        <is>
          <t>Article (Review)</t>
        </is>
      </c>
      <c r="D17" s="23" t="inlineStr">
        <is>
          <t>EU</t>
        </is>
      </c>
      <c r="E17" s="23" t="inlineStr">
        <is>
          <t>0655b4ec-4821-4b46-91b6-b6ddaebd8d5d</t>
        </is>
      </c>
      <c r="F17" s="23" t="n"/>
      <c r="G17" s="23" t="n"/>
      <c r="H17" s="23" t="inlineStr"/>
    </row>
    <row r="18">
      <c r="A18" s="23" t="n">
        <v>5</v>
      </c>
      <c r="B18" s="23" t="inlineStr">
        <is>
          <t>62020CC0682.md</t>
        </is>
      </c>
      <c r="C18" s="23" t="inlineStr">
        <is>
          <t>Article (Review)</t>
        </is>
      </c>
      <c r="D18" s="23" t="inlineStr">
        <is>
          <t>EU</t>
        </is>
      </c>
      <c r="E18" s="23" t="inlineStr">
        <is>
          <t>f6fc977b-8c8d-467b-a5f7-04beb77f1b93</t>
        </is>
      </c>
      <c r="F18" s="23" t="n"/>
      <c r="G18" s="23" t="n"/>
      <c r="H18" s="23" t="inlineStr">
        <is>
          <t>Cited in answer: YES</t>
        </is>
      </c>
    </row>
    <row r="19">
      <c r="A19" s="23" t="n">
        <v>6</v>
      </c>
      <c r="B19" s="23" t="inlineStr">
        <is>
          <t>62011TJ0289.md</t>
        </is>
      </c>
      <c r="C19" s="23" t="inlineStr">
        <is>
          <t>Court Decision</t>
        </is>
      </c>
      <c r="D19" s="23" t="inlineStr">
        <is>
          <t>EU</t>
        </is>
      </c>
      <c r="E19" s="23" t="inlineStr">
        <is>
          <t>7ecb1eda-828c-4ed1-831c-9ba3cd309425</t>
        </is>
      </c>
      <c r="F19" s="23" t="n"/>
      <c r="G19" s="23" t="n"/>
      <c r="H19" s="23" t="inlineStr"/>
    </row>
    <row r="20">
      <c r="A20" s="23" t="n">
        <v>7</v>
      </c>
      <c r="B20" s="23" t="inlineStr">
        <is>
          <t>62013CC0583.md</t>
        </is>
      </c>
      <c r="C20" s="23" t="inlineStr">
        <is>
          <t>Bulletin article</t>
        </is>
      </c>
      <c r="D20" s="23" t="inlineStr">
        <is>
          <t>EU</t>
        </is>
      </c>
      <c r="E20" s="23" t="inlineStr">
        <is>
          <t>778d749c-48cb-405c-a58f-962dd3ceef0c</t>
        </is>
      </c>
      <c r="F20" s="23" t="n"/>
      <c r="G20" s="23" t="n"/>
      <c r="H20" s="23" t="inlineStr"/>
    </row>
    <row r="21">
      <c r="A21" s="23" t="n">
        <v>8</v>
      </c>
      <c r="B21" s="23" t="inlineStr">
        <is>
          <t>62020CJ0693.md</t>
        </is>
      </c>
      <c r="C21" s="23" t="inlineStr">
        <is>
          <t>Court Decision</t>
        </is>
      </c>
      <c r="D21" s="23" t="inlineStr">
        <is>
          <t>EU</t>
        </is>
      </c>
      <c r="E21" s="23" t="inlineStr">
        <is>
          <t>74ccf3f4-5d27-4c74-9208-62829cc5bcf1</t>
        </is>
      </c>
      <c r="F21" s="23" t="n"/>
      <c r="G21" s="23" t="n"/>
      <c r="H21" s="23" t="inlineStr"/>
    </row>
    <row r="22">
      <c r="A22" s="23" t="n">
        <v>9</v>
      </c>
      <c r="B22" s="23" t="inlineStr">
        <is>
          <t>62020CJ0690.md</t>
        </is>
      </c>
      <c r="C22" s="23" t="inlineStr">
        <is>
          <t>Court Decision</t>
        </is>
      </c>
      <c r="D22" s="23" t="inlineStr">
        <is>
          <t>EU</t>
        </is>
      </c>
      <c r="E22" s="23" t="inlineStr">
        <is>
          <t>75c2da13-00ee-43b2-baa4-a6f2e5a71e73</t>
        </is>
      </c>
      <c r="F22" s="23" t="n"/>
      <c r="G22" s="23" t="n"/>
      <c r="H22" s="23" t="inlineStr"/>
    </row>
    <row r="23" s="41">
      <c r="A23" s="40" t="n">
        <v>10</v>
      </c>
      <c r="B23" s="40" t="inlineStr">
        <is>
          <t>62017TJ0249.md</t>
        </is>
      </c>
      <c r="C23" s="40" t="inlineStr">
        <is>
          <t>Court Decision</t>
        </is>
      </c>
      <c r="D23" s="40" t="inlineStr">
        <is>
          <t>EU</t>
        </is>
      </c>
      <c r="E23" s="40" t="inlineStr">
        <is>
          <t>dbf7bda8-39fa-4eb5-a6e2-f02b0787cb54</t>
        </is>
      </c>
      <c r="F23" s="40" t="n"/>
      <c r="G23" s="40" t="n"/>
      <c r="H23" s="40" t="inlineStr">
        <is>
          <t>Cited in answer: YES</t>
        </is>
      </c>
    </row>
    <row r="24" s="41">
      <c r="A24" s="52" t="n">
        <v>11</v>
      </c>
      <c r="B24" s="52" t="inlineStr">
        <is>
          <t>62018CJ0606.md</t>
        </is>
      </c>
      <c r="C24" s="52" t="inlineStr">
        <is>
          <t>Court Decision</t>
        </is>
      </c>
      <c r="D24" s="52" t="inlineStr">
        <is>
          <t>EU</t>
        </is>
      </c>
      <c r="E24" s="52" t="inlineStr">
        <is>
          <t>2d074327-045b-484e-8bbc-1a0f9c7ed660</t>
        </is>
      </c>
      <c r="F24" s="52" t="n"/>
      <c r="G24" s="52" t="n"/>
      <c r="H24" s="52" t="inlineStr"/>
    </row>
    <row r="25" s="41">
      <c r="A25" s="52" t="n">
        <v>12</v>
      </c>
      <c r="B25" s="52" t="inlineStr">
        <is>
          <t>competition-case-law-digest-5th--p10.md</t>
        </is>
      </c>
      <c r="C25" s="52" t="inlineStr">
        <is>
          <t>Book (Livre)</t>
        </is>
      </c>
      <c r="D25" s="52" t="n"/>
      <c r="E25" s="52" t="inlineStr">
        <is>
          <t>65e060cb-bdeb-413d-b4e8-b9ffe0ed3995</t>
        </is>
      </c>
      <c r="F25" s="52" t="n"/>
      <c r="G25" s="52" t="n"/>
      <c r="H25" s="52" t="inlineStr"/>
    </row>
    <row r="26" s="41">
      <c r="A26" s="52" t="n">
        <v>13</v>
      </c>
      <c r="B26" s="52" t="inlineStr">
        <is>
          <t>62018CJ0601.md</t>
        </is>
      </c>
      <c r="C26" s="52" t="inlineStr">
        <is>
          <t>Court Decision</t>
        </is>
      </c>
      <c r="D26" s="52" t="inlineStr">
        <is>
          <t>EU</t>
        </is>
      </c>
      <c r="E26" s="52" t="inlineStr">
        <is>
          <t>d94571df-d56d-45c1-a02e-834714984963</t>
        </is>
      </c>
      <c r="F26" s="52" t="n"/>
      <c r="G26" s="52" t="n"/>
      <c r="H26" s="52" t="inlineStr"/>
    </row>
    <row r="27" s="41">
      <c r="A27" s="52" t="n">
        <v>14</v>
      </c>
      <c r="B27" s="52" t="inlineStr">
        <is>
          <t>81215.md</t>
        </is>
      </c>
      <c r="C27" s="52" t="inlineStr">
        <is>
          <t>Article (Review)</t>
        </is>
      </c>
      <c r="D27" s="52" t="n"/>
      <c r="E27" s="52" t="inlineStr">
        <is>
          <t>1326c749-4c6d-42ec-974e-b228dd1bf722</t>
        </is>
      </c>
      <c r="F27" s="52" t="n"/>
      <c r="G27" s="52" t="n"/>
      <c r="H27" s="52" t="inlineStr"/>
    </row>
    <row r="28" s="41">
      <c r="A28" s="52" t="n">
        <v>15</v>
      </c>
      <c r="B28" s="52" t="inlineStr">
        <is>
          <t>93706-0060-dawn-raids-advocate-general-kokott-calls-on-the-court-of-justice-to-uphold.md</t>
        </is>
      </c>
      <c r="C28" s="52" t="inlineStr">
        <is>
          <t>Bulletin article</t>
        </is>
      </c>
      <c r="D28" s="52" t="n"/>
      <c r="E28" s="52" t="inlineStr">
        <is>
          <t>42a1613c-b25b-476e-a3b4-e1cac9b5add2</t>
        </is>
      </c>
      <c r="F28" s="52" t="n"/>
      <c r="G28" s="52" t="n"/>
      <c r="H28" s="52" t="inlineStr"/>
    </row>
    <row r="29" s="41">
      <c r="A29" s="52" t="n">
        <v>16</v>
      </c>
      <c r="B29" s="52" t="inlineStr">
        <is>
          <t>62016TJ0325.md</t>
        </is>
      </c>
      <c r="C29" s="52" t="inlineStr">
        <is>
          <t>Court Decision</t>
        </is>
      </c>
      <c r="D29" s="52" t="inlineStr">
        <is>
          <t>EU</t>
        </is>
      </c>
      <c r="E29" s="52" t="inlineStr">
        <is>
          <t>b7c29457-b49b-44b3-a09c-8c0dfd4574fa</t>
        </is>
      </c>
      <c r="F29" s="52" t="n"/>
      <c r="G29" s="52" t="n"/>
      <c r="H29" s="52" t="inlineStr"/>
    </row>
    <row r="30" s="41">
      <c r="A30" s="52" t="n">
        <v>17</v>
      </c>
      <c r="B30" s="52" t="inlineStr">
        <is>
          <t>62014TJ0447.md</t>
        </is>
      </c>
      <c r="C30" s="52" t="inlineStr">
        <is>
          <t>Court Decision</t>
        </is>
      </c>
      <c r="D30" s="52" t="inlineStr">
        <is>
          <t>EU</t>
        </is>
      </c>
      <c r="E30" s="52" t="inlineStr">
        <is>
          <t>aef64236-c9f7-4cf3-b707-108a4788237a</t>
        </is>
      </c>
      <c r="F30" s="52" t="n"/>
      <c r="G30" s="52" t="n"/>
      <c r="H30" s="52" t="inlineStr"/>
    </row>
    <row r="31" s="41">
      <c r="A31" s="52" t="n">
        <v>18</v>
      </c>
      <c r="B31" s="52" t="inlineStr">
        <is>
          <t>62020CJ0682.md</t>
        </is>
      </c>
      <c r="C31" s="52" t="inlineStr">
        <is>
          <t>Court Decision</t>
        </is>
      </c>
      <c r="D31" s="52" t="inlineStr">
        <is>
          <t>EU</t>
        </is>
      </c>
      <c r="E31" s="52" t="inlineStr">
        <is>
          <t>408cfe67-7fe4-45a8-9c3e-de39d86d56cb</t>
        </is>
      </c>
      <c r="F31" s="52" t="n"/>
      <c r="G31" s="52" t="n"/>
      <c r="H31" s="52" t="inlineStr"/>
    </row>
    <row r="32" s="41">
      <c r="A32" s="52" t="n">
        <v>19</v>
      </c>
      <c r="B32" s="52" t="inlineStr">
        <is>
          <t>62009TJ0135.md</t>
        </is>
      </c>
      <c r="C32" s="52" t="inlineStr">
        <is>
          <t>Court Decision</t>
        </is>
      </c>
      <c r="D32" s="52" t="inlineStr">
        <is>
          <t>EU</t>
        </is>
      </c>
      <c r="E32" s="52" t="inlineStr">
        <is>
          <t>10418f10-8b6f-4bcc-adf6-39e168b49440</t>
        </is>
      </c>
      <c r="F32" s="52" t="n"/>
      <c r="G32" s="52" t="n"/>
      <c r="H32" s="52" t="inlineStr">
        <is>
          <t>Cited in answer: YES</t>
        </is>
      </c>
    </row>
    <row r="33" s="41">
      <c r="A33" s="52" t="n">
        <v>20</v>
      </c>
      <c r="B33" s="52" t="inlineStr">
        <is>
          <t>62013CJ0037.md</t>
        </is>
      </c>
      <c r="C33" s="52" t="inlineStr">
        <is>
          <t>Court Decision</t>
        </is>
      </c>
      <c r="D33" s="52" t="inlineStr">
        <is>
          <t>EU</t>
        </is>
      </c>
      <c r="E33" s="52" t="inlineStr">
        <is>
          <t>2426e61d-f1e3-4fe6-a1e7-1b0d6d4deb24</t>
        </is>
      </c>
      <c r="F33" s="52" t="n"/>
      <c r="G33" s="52" t="n"/>
      <c r="H33" s="52" t="inlineStr">
        <is>
          <t>Cited in answer: YES</t>
        </is>
      </c>
    </row>
    <row r="34" s="41">
      <c r="A34" s="52" t="n">
        <v>21</v>
      </c>
      <c r="B34" s="52" t="inlineStr">
        <is>
          <t>62013CJ0583.md</t>
        </is>
      </c>
      <c r="C34" s="52" t="inlineStr">
        <is>
          <t>Court Decision</t>
        </is>
      </c>
      <c r="D34" s="52" t="inlineStr">
        <is>
          <t>EU</t>
        </is>
      </c>
      <c r="E34" s="52" t="inlineStr">
        <is>
          <t>7b8f60ed-1acc-484e-b298-5a745b6b18f3</t>
        </is>
      </c>
      <c r="F34" s="52" t="n"/>
      <c r="G34" s="52" t="n"/>
      <c r="H34" s="52" t="inlineStr"/>
    </row>
    <row r="35" s="41">
      <c r="A35" s="52" t="n">
        <v>22</v>
      </c>
      <c r="B35" s="52" t="inlineStr">
        <is>
          <t>62013CC0037.md</t>
        </is>
      </c>
      <c r="C35" s="52" t="inlineStr">
        <is>
          <t>Bulletin article</t>
        </is>
      </c>
      <c r="D35" s="52" t="inlineStr">
        <is>
          <t>EU</t>
        </is>
      </c>
      <c r="E35" s="52" t="inlineStr">
        <is>
          <t>632273f6-990f-4cc6-85ff-77f86f45c537</t>
        </is>
      </c>
      <c r="F35" s="52" t="n"/>
      <c r="G35" s="52" t="n"/>
      <c r="H35" s="52" t="inlineStr">
        <is>
          <t>Cited in answer: YES</t>
        </is>
      </c>
    </row>
    <row r="36" s="41">
      <c r="A36" s="52" t="n">
        <v>23</v>
      </c>
      <c r="B36" s="52" t="inlineStr">
        <is>
          <t>79963.md</t>
        </is>
      </c>
      <c r="C36" s="52" t="inlineStr">
        <is>
          <t>Article (Review)</t>
        </is>
      </c>
      <c r="D36" s="52" t="n"/>
      <c r="E36" s="52" t="inlineStr">
        <is>
          <t>b0c5f913-948d-4dcc-9ea4-98f6136ca5a7</t>
        </is>
      </c>
      <c r="F36" s="52" t="n"/>
      <c r="G36" s="52" t="n"/>
      <c r="H36" s="52" t="inlineStr"/>
    </row>
    <row r="37" s="41">
      <c r="A37" s="52" t="n">
        <v>24</v>
      </c>
      <c r="B37" s="52" t="inlineStr">
        <is>
          <t>62020CC0690.md</t>
        </is>
      </c>
      <c r="C37" s="52" t="inlineStr">
        <is>
          <t>Bulletin article</t>
        </is>
      </c>
      <c r="D37" s="52" t="inlineStr">
        <is>
          <t>EU</t>
        </is>
      </c>
      <c r="E37" s="52" t="inlineStr">
        <is>
          <t>349cac6b-c1bd-4e7c-a092-8bef2db77ad2</t>
        </is>
      </c>
      <c r="F37" s="52" t="n"/>
      <c r="G37" s="52" t="n"/>
      <c r="H37" s="52" t="inlineStr"/>
    </row>
    <row r="38" s="41">
      <c r="A38" s="52" t="n">
        <v>25</v>
      </c>
      <c r="B38" s="52" t="inlineStr">
        <is>
          <t>57935-361-decisions-adopted-during-an-inspection-the-general-court-reminds-the-commiss.md</t>
        </is>
      </c>
      <c r="C38" s="52" t="inlineStr">
        <is>
          <t>Bulletin article</t>
        </is>
      </c>
      <c r="D38" s="52" t="n"/>
      <c r="E38" s="52" t="inlineStr">
        <is>
          <t>882aa354-e6cf-464a-b1e2-9486b1cca48f</t>
        </is>
      </c>
      <c r="F38" s="52" t="n"/>
      <c r="G38" s="52" t="n"/>
      <c r="H38" s="52" t="inlineStr"/>
    </row>
    <row r="39" s="41">
      <c r="A39" s="52" t="n">
        <v>26</v>
      </c>
      <c r="B39" s="52" t="inlineStr">
        <is>
          <t>105103.md</t>
        </is>
      </c>
      <c r="C39" s="52" t="inlineStr">
        <is>
          <t>Bulletin article</t>
        </is>
      </c>
      <c r="D39" s="52" t="n"/>
      <c r="E39" s="52" t="inlineStr">
        <is>
          <t>f10e4cc4-d036-4949-b9be-86b79b54fa7d</t>
        </is>
      </c>
      <c r="F39" s="52" t="n"/>
      <c r="G39" s="52" t="n"/>
      <c r="H39" s="52" t="inlineStr"/>
    </row>
    <row r="40" s="41">
      <c r="A40" s="52" t="n">
        <v>27</v>
      </c>
      <c r="B40" s="52" t="inlineStr">
        <is>
          <t>62014TJ0438.md</t>
        </is>
      </c>
      <c r="C40" s="52" t="inlineStr">
        <is>
          <t>Court Decision</t>
        </is>
      </c>
      <c r="D40" s="52" t="inlineStr">
        <is>
          <t>EU</t>
        </is>
      </c>
      <c r="E40" s="52" t="inlineStr">
        <is>
          <t>6a32efef-ff93-4a71-a7ee-b89b0ce42186</t>
        </is>
      </c>
      <c r="F40" s="52" t="n"/>
      <c r="G40" s="52" t="n"/>
      <c r="H40" s="52" t="inlineStr"/>
    </row>
    <row r="41" s="41">
      <c r="A41" s="52" t="n">
        <v>28</v>
      </c>
      <c r="B41" s="52" t="inlineStr">
        <is>
          <t>62014TJ0444.md</t>
        </is>
      </c>
      <c r="C41" s="52" t="inlineStr">
        <is>
          <t>Court Decision</t>
        </is>
      </c>
      <c r="D41" s="52" t="inlineStr">
        <is>
          <t>EU</t>
        </is>
      </c>
      <c r="E41" s="52" t="inlineStr">
        <is>
          <t>ad848645-bb6b-44c9-97d8-1d02f8e2faea</t>
        </is>
      </c>
      <c r="F41" s="52" t="n"/>
      <c r="G41" s="52" t="n"/>
      <c r="H41" s="52" t="inlineStr"/>
    </row>
    <row r="42" s="41">
      <c r="A42" s="52" t="n">
        <v>29</v>
      </c>
      <c r="B42" s="52" t="inlineStr">
        <is>
          <t>62014TJ0450.md</t>
        </is>
      </c>
      <c r="C42" s="52" t="inlineStr">
        <is>
          <t>Court Decision</t>
        </is>
      </c>
      <c r="D42" s="52" t="inlineStr">
        <is>
          <t>EU</t>
        </is>
      </c>
      <c r="E42" s="52" t="inlineStr">
        <is>
          <t>41438462-5717-4e1a-90f5-29e9bd19df4e</t>
        </is>
      </c>
      <c r="F42" s="52" t="n"/>
      <c r="G42" s="52" t="n"/>
      <c r="H42" s="52" t="inlineStr"/>
    </row>
    <row r="43" s="41">
      <c r="A43" s="52" t="n">
        <v>30</v>
      </c>
      <c r="B43" s="52" t="inlineStr">
        <is>
          <t>62014TJ0448.md</t>
        </is>
      </c>
      <c r="C43" s="52" t="inlineStr">
        <is>
          <t>Court Decision</t>
        </is>
      </c>
      <c r="D43" s="52" t="inlineStr">
        <is>
          <t>EU</t>
        </is>
      </c>
      <c r="E43" s="52" t="inlineStr">
        <is>
          <t>a1cedab5-8bac-4b53-b449-d548df1478bd</t>
        </is>
      </c>
      <c r="F43" s="52" t="n"/>
      <c r="G43" s="52" t="n"/>
      <c r="H43" s="52" t="inlineStr"/>
    </row>
    <row r="44" s="41">
      <c r="A44" s="52" t="n">
        <v>31</v>
      </c>
      <c r="B44" s="52" t="inlineStr">
        <is>
          <t>91835.md</t>
        </is>
      </c>
      <c r="C44" s="52" t="inlineStr">
        <is>
          <t>Article (Review)</t>
        </is>
      </c>
      <c r="D44" s="52" t="n"/>
      <c r="E44" s="52" t="inlineStr">
        <is>
          <t>f6ec0179-d152-4059-9a3f-81d669d422b0</t>
        </is>
      </c>
      <c r="F44" s="52" t="n"/>
      <c r="G44" s="52" t="n"/>
      <c r="H44" s="52" t="inlineStr"/>
    </row>
    <row r="45" s="41">
      <c r="A45" s="52" t="n">
        <v>32</v>
      </c>
      <c r="B45" s="52" t="inlineStr">
        <is>
          <t>62014TJ0446.md</t>
        </is>
      </c>
      <c r="C45" s="52" t="inlineStr">
        <is>
          <t>Court Decision</t>
        </is>
      </c>
      <c r="D45" s="52" t="inlineStr">
        <is>
          <t>EU</t>
        </is>
      </c>
      <c r="E45" s="52" t="inlineStr">
        <is>
          <t>0544383c-55cc-41be-80a9-8bbf021f4238</t>
        </is>
      </c>
      <c r="F45" s="52" t="n"/>
      <c r="G45" s="52" t="n"/>
      <c r="H45" s="52" t="inlineStr"/>
    </row>
    <row r="46" s="41">
      <c r="A46" s="52" t="n">
        <v>33</v>
      </c>
      <c r="B46" s="52" t="inlineStr">
        <is>
          <t>62014TJ0439.md</t>
        </is>
      </c>
      <c r="C46" s="52" t="inlineStr">
        <is>
          <t>Court Decision</t>
        </is>
      </c>
      <c r="D46" s="52" t="inlineStr">
        <is>
          <t>EU</t>
        </is>
      </c>
      <c r="E46" s="52" t="inlineStr">
        <is>
          <t>f6678f66-34ee-437e-a7ec-e20f61c0a6a8</t>
        </is>
      </c>
      <c r="F46" s="52" t="n"/>
      <c r="G46" s="52" t="n"/>
      <c r="H46" s="52" t="inlineStr"/>
    </row>
    <row r="47" s="41">
      <c r="A47" s="52" t="n">
        <v>34</v>
      </c>
      <c r="B47" s="52" t="inlineStr">
        <is>
          <t>62004TJ0340.md</t>
        </is>
      </c>
      <c r="C47" s="52" t="inlineStr">
        <is>
          <t>Court Decision</t>
        </is>
      </c>
      <c r="D47" s="52" t="inlineStr">
        <is>
          <t>EU</t>
        </is>
      </c>
      <c r="E47" s="52" t="inlineStr">
        <is>
          <t>d9fb7f73-952b-4b71-a502-6f63b7f95073</t>
        </is>
      </c>
      <c r="F47" s="52" t="n"/>
      <c r="G47" s="52" t="n"/>
      <c r="H47" s="52" t="inlineStr"/>
    </row>
    <row r="48" s="41">
      <c r="A48" s="52" t="n">
        <v>35</v>
      </c>
      <c r="B48" s="52" t="inlineStr">
        <is>
          <t>competition-case-law-digest-5th--p09.md</t>
        </is>
      </c>
      <c r="C48" s="52" t="inlineStr">
        <is>
          <t>Book (Livre)</t>
        </is>
      </c>
      <c r="D48" s="52" t="n"/>
      <c r="E48" s="52" t="inlineStr">
        <is>
          <t>2f0afdb0-43c8-41b3-99e2-c3003ab906c1</t>
        </is>
      </c>
      <c r="F48" s="52" t="n"/>
      <c r="G48" s="52" t="n"/>
      <c r="H48" s="52" t="inlineStr"/>
    </row>
    <row r="49" s="41">
      <c r="A49" s="52" t="n">
        <v>36</v>
      </c>
      <c r="B49" s="52" t="inlineStr">
        <is>
          <t>62014TJ0419.md</t>
        </is>
      </c>
      <c r="C49" s="52" t="inlineStr">
        <is>
          <t>Court Decision</t>
        </is>
      </c>
      <c r="D49" s="52" t="inlineStr">
        <is>
          <t>EU</t>
        </is>
      </c>
      <c r="E49" s="52" t="inlineStr">
        <is>
          <t>9a680967-760d-4fb3-a9cc-e2fd31c2ce70</t>
        </is>
      </c>
      <c r="F49" s="52" t="n"/>
      <c r="G49" s="52" t="n"/>
      <c r="H49" s="52" t="inlineStr"/>
    </row>
    <row r="50" s="41">
      <c r="A50" s="52" t="n">
        <v>37</v>
      </c>
      <c r="B50" s="52" t="inlineStr">
        <is>
          <t>judicial-review-competition-cases--6_european_union_-_judicial_review_of_inspection_decisions.md</t>
        </is>
      </c>
      <c r="C50" s="52" t="inlineStr">
        <is>
          <t>Article (Review)</t>
        </is>
      </c>
      <c r="D50" s="52" t="n"/>
      <c r="E50" s="52" t="inlineStr">
        <is>
          <t>21a3ec2e-1c42-4307-ab97-e45011d6660a</t>
        </is>
      </c>
      <c r="F50" s="52" t="n"/>
      <c r="G50" s="52" t="n"/>
      <c r="H50" s="52" t="inlineStr"/>
    </row>
    <row r="51" s="41">
      <c r="A51" s="52" t="n">
        <v>38</v>
      </c>
      <c r="B51" s="52" t="inlineStr">
        <is>
          <t>62014TJ0445.md</t>
        </is>
      </c>
      <c r="C51" s="52" t="inlineStr">
        <is>
          <t>Court Decision</t>
        </is>
      </c>
      <c r="D51" s="52" t="inlineStr">
        <is>
          <t>EU</t>
        </is>
      </c>
      <c r="E51" s="52" t="inlineStr">
        <is>
          <t>f87fc08e-9d0b-4701-9a4c-d68f6d2155c7</t>
        </is>
      </c>
      <c r="F51" s="52" t="n"/>
      <c r="G51" s="52" t="n"/>
      <c r="H51" s="52" t="inlineStr"/>
    </row>
    <row r="52" s="41">
      <c r="A52" s="52" t="n">
        <v>39</v>
      </c>
      <c r="B52" s="52" t="inlineStr">
        <is>
          <t>62014TJ0422.md</t>
        </is>
      </c>
      <c r="C52" s="52" t="inlineStr">
        <is>
          <t>Court Decision</t>
        </is>
      </c>
      <c r="D52" s="52" t="inlineStr">
        <is>
          <t>EU</t>
        </is>
      </c>
      <c r="E52" s="52" t="inlineStr">
        <is>
          <t>6c23abb3-f168-4c55-89cb-8b100b4c23a5</t>
        </is>
      </c>
      <c r="F52" s="52" t="n"/>
      <c r="G52" s="52" t="n"/>
      <c r="H52" s="52" t="inlineStr"/>
    </row>
    <row r="53" s="41">
      <c r="A53" s="52" t="n">
        <v>40</v>
      </c>
      <c r="B53" s="52" t="inlineStr">
        <is>
          <t>62023TJ0263.md</t>
        </is>
      </c>
      <c r="C53" s="52" t="inlineStr">
        <is>
          <t>Court Decision</t>
        </is>
      </c>
      <c r="D53" s="52" t="inlineStr">
        <is>
          <t>EU</t>
        </is>
      </c>
      <c r="E53" s="52" t="inlineStr">
        <is>
          <t>16791fea-a958-4950-92a6-5a1b65fb3a04</t>
        </is>
      </c>
      <c r="F53" s="52" t="n"/>
      <c r="G53" s="52" t="n"/>
      <c r="H53" s="52" t="inlineStr"/>
    </row>
    <row r="54" s="41">
      <c r="A54" s="52" t="n">
        <v>41</v>
      </c>
      <c r="B54" s="52" t="inlineStr">
        <is>
          <t>96586.md</t>
        </is>
      </c>
      <c r="C54" s="52" t="inlineStr">
        <is>
          <t>Article (Review)</t>
        </is>
      </c>
      <c r="D54" s="52" t="n"/>
      <c r="E54" s="52" t="inlineStr">
        <is>
          <t>4cb5c154-4d3a-46c3-8bca-8f09c7e6c562</t>
        </is>
      </c>
      <c r="F54" s="52" t="n"/>
      <c r="G54" s="52" t="n"/>
      <c r="H54" s="52" t="inlineStr"/>
    </row>
    <row r="55" s="41">
      <c r="A55" s="52" t="n">
        <v>42</v>
      </c>
      <c r="B55" s="52" t="inlineStr">
        <is>
          <t>62018CJ0403.md</t>
        </is>
      </c>
      <c r="C55" s="52" t="inlineStr">
        <is>
          <t>Court Decision</t>
        </is>
      </c>
      <c r="D55" s="52" t="inlineStr">
        <is>
          <t>EU</t>
        </is>
      </c>
      <c r="E55" s="52" t="inlineStr">
        <is>
          <t>5b155c4b-0345-4afa-8dee-d56351895c8f</t>
        </is>
      </c>
      <c r="F55" s="52" t="n"/>
      <c r="G55" s="52" t="n"/>
      <c r="H55" s="52" t="inlineStr"/>
    </row>
    <row r="56" s="41">
      <c r="A56" s="52" t="n">
        <v>43</v>
      </c>
      <c r="B56" s="52" t="inlineStr">
        <is>
          <t>97110-2850-inspection-the-general-court-of-the-european-union-partially-annuls-decisio.md</t>
        </is>
      </c>
      <c r="C56" s="52" t="inlineStr">
        <is>
          <t>Bulletin article</t>
        </is>
      </c>
      <c r="D56" s="52" t="n"/>
      <c r="E56" s="52" t="inlineStr">
        <is>
          <t>0ff86075-a215-4bce-ac53-21a9aa21cd71</t>
        </is>
      </c>
      <c r="F56" s="52" t="n"/>
      <c r="G56" s="52" t="n"/>
      <c r="H56" s="52" t="inlineStr">
        <is>
          <t>Cited in answer: YES</t>
        </is>
      </c>
    </row>
    <row r="57" s="41">
      <c r="A57" s="52" t="n">
        <v>44</v>
      </c>
      <c r="B57" s="52" t="inlineStr">
        <is>
          <t>62020CC0682.md</t>
        </is>
      </c>
      <c r="C57" s="52" t="inlineStr">
        <is>
          <t>Bulletin article</t>
        </is>
      </c>
      <c r="D57" s="52" t="inlineStr">
        <is>
          <t>EU</t>
        </is>
      </c>
      <c r="E57" s="52" t="inlineStr">
        <is>
          <t>4228e89d-bc15-4a00-9ed7-bd703f8ec05a</t>
        </is>
      </c>
      <c r="F57" s="52" t="n"/>
      <c r="G57" s="52" t="n"/>
      <c r="H57" s="52" t="inlineStr">
        <is>
          <t>Cited in answer: YES</t>
        </is>
      </c>
    </row>
    <row r="58" s="41">
      <c r="A58" s="52" t="n">
        <v>45</v>
      </c>
      <c r="B58" s="52" t="inlineStr">
        <is>
          <t>62014TJ0441.md</t>
        </is>
      </c>
      <c r="C58" s="52" t="inlineStr">
        <is>
          <t>Court Decision</t>
        </is>
      </c>
      <c r="D58" s="52" t="inlineStr">
        <is>
          <t>EU</t>
        </is>
      </c>
      <c r="E58" s="52" t="inlineStr">
        <is>
          <t>29f8781d-6d42-4188-b0d7-1ff604cf8a33</t>
        </is>
      </c>
      <c r="F58" s="52" t="n"/>
      <c r="G58" s="52" t="n"/>
      <c r="H58" s="52" t="inlineStr"/>
    </row>
    <row r="59" s="41">
      <c r="A59" s="52" t="n">
        <v>46</v>
      </c>
      <c r="B59" s="52" t="inlineStr">
        <is>
          <t>82445.md</t>
        </is>
      </c>
      <c r="C59" s="52" t="inlineStr">
        <is>
          <t>Article (Review)</t>
        </is>
      </c>
      <c r="D59" s="52" t="n"/>
      <c r="E59" s="52" t="inlineStr">
        <is>
          <t>1be45df1-87e1-4ba2-bdd9-76e5fe184f97</t>
        </is>
      </c>
      <c r="F59" s="52" t="n"/>
      <c r="G59" s="52" t="n"/>
      <c r="H59" s="52" t="inlineStr"/>
    </row>
    <row r="60" s="41">
      <c r="A60" s="52" t="n">
        <v>47</v>
      </c>
      <c r="B60" s="52" t="inlineStr">
        <is>
          <t>103260-35-necessary-limits-to-the-commission-s-inspection-powers.md</t>
        </is>
      </c>
      <c r="C60" s="52" t="inlineStr">
        <is>
          <t>Article (Review)</t>
        </is>
      </c>
      <c r="D60" s="52" t="n"/>
      <c r="E60" s="52" t="inlineStr">
        <is>
          <t>bef18b4b-bb03-49c0-a7aa-afed485ec5d2</t>
        </is>
      </c>
      <c r="F60" s="52" t="n"/>
      <c r="G60" s="52" t="n"/>
      <c r="H60" s="52" t="inlineStr"/>
    </row>
    <row r="61" s="41">
      <c r="A61" s="52" t="n">
        <v>48</v>
      </c>
      <c r="B61" s="52" t="inlineStr">
        <is>
          <t>97568-3340-investigation-the-court-of-justice-of-the-european-union-recognizes-the-eur.md</t>
        </is>
      </c>
      <c r="C61" s="52" t="inlineStr">
        <is>
          <t>Bulletin article</t>
        </is>
      </c>
      <c r="D61" s="52" t="n"/>
      <c r="E61" s="52" t="inlineStr">
        <is>
          <t>0a9a6620-916c-4d26-8e97-e91a08871183</t>
        </is>
      </c>
      <c r="F61" s="52" t="n"/>
      <c r="G61" s="52" t="n"/>
      <c r="H61" s="52" t="inlineStr"/>
    </row>
    <row r="62" s="41">
      <c r="A62" s="52" t="n">
        <v>49</v>
      </c>
      <c r="B62" s="52" t="inlineStr">
        <is>
          <t>62014CC0247.md</t>
        </is>
      </c>
      <c r="C62" s="52" t="inlineStr">
        <is>
          <t>Article (Review)</t>
        </is>
      </c>
      <c r="D62" s="52" t="inlineStr">
        <is>
          <t>EU</t>
        </is>
      </c>
      <c r="E62" s="52" t="inlineStr">
        <is>
          <t>9fefd6d8-a7ab-424b-a847-9a604ddaaf0f</t>
        </is>
      </c>
      <c r="F62" s="52" t="n"/>
      <c r="G62" s="52" t="n"/>
      <c r="H62" s="52" t="inlineStr"/>
    </row>
    <row r="63" s="41">
      <c r="A63" s="52" t="n">
        <v>50</v>
      </c>
      <c r="B63" s="52" t="inlineStr">
        <is>
          <t>62012TJ0272.md</t>
        </is>
      </c>
      <c r="C63" s="52" t="inlineStr">
        <is>
          <t>Court Decision</t>
        </is>
      </c>
      <c r="D63" s="52" t="inlineStr">
        <is>
          <t>EU</t>
        </is>
      </c>
      <c r="E63" s="52" t="inlineStr">
        <is>
          <t>5955aed3-ab0f-4414-a06a-9abbbc834dab</t>
        </is>
      </c>
      <c r="F63" s="52" t="n"/>
      <c r="G63" s="52" t="n"/>
      <c r="H63" s="52" t="inlineStr"/>
    </row>
    <row r="64" s="41">
      <c r="A64" s="52" t="n">
        <v>51</v>
      </c>
      <c r="B64" s="52" t="inlineStr">
        <is>
          <t>131688-30-inspections-the-general-court-of-the-european-union-upholds-the-european-comm.md</t>
        </is>
      </c>
      <c r="C64" s="52" t="inlineStr">
        <is>
          <t>Bulletin article</t>
        </is>
      </c>
      <c r="D64" s="52" t="n"/>
      <c r="E64" s="52" t="inlineStr">
        <is>
          <t>7de191c9-0221-423b-b670-ef1e047a0196</t>
        </is>
      </c>
      <c r="F64" s="52" t="n"/>
      <c r="G64" s="52" t="n"/>
      <c r="H64" s="52" t="inlineStr"/>
    </row>
    <row r="65" s="41">
      <c r="A65" s="52" t="n">
        <v>52</v>
      </c>
      <c r="B65" s="52" t="inlineStr">
        <is>
          <t>62013TJ0402.md</t>
        </is>
      </c>
      <c r="C65" s="52" t="inlineStr">
        <is>
          <t>Court Decision</t>
        </is>
      </c>
      <c r="D65" s="52" t="inlineStr">
        <is>
          <t>EU</t>
        </is>
      </c>
      <c r="E65" s="52" t="inlineStr">
        <is>
          <t>d193f5d4-ad74-4d17-8105-30b02e493c35</t>
        </is>
      </c>
      <c r="F65" s="52" t="n"/>
      <c r="G65" s="52" t="n"/>
      <c r="H65" s="52" t="inlineStr"/>
    </row>
    <row r="66" s="41">
      <c r="A66" s="52" t="n">
        <v>53</v>
      </c>
      <c r="B66" s="52" t="inlineStr">
        <is>
          <t>128250-35-dawn-raids-the-general-court-of-the-european-union-partially-upholds-the-lega.md</t>
        </is>
      </c>
      <c r="C66" s="52" t="inlineStr">
        <is>
          <t>Bulletin article</t>
        </is>
      </c>
      <c r="D66" s="52" t="n"/>
      <c r="E66" s="52" t="inlineStr">
        <is>
          <t>e34c0e6d-2771-4073-8165-4a73eff42d4c</t>
        </is>
      </c>
      <c r="F66" s="52" t="n"/>
      <c r="G66" s="52" t="n"/>
      <c r="H66" s="52" t="inlineStr"/>
    </row>
    <row r="67" s="41">
      <c r="A67" s="52" t="n">
        <v>54</v>
      </c>
      <c r="B67" s="52" t="inlineStr">
        <is>
          <t>62009TJ0521.md</t>
        </is>
      </c>
      <c r="C67" s="52" t="inlineStr">
        <is>
          <t>Court Decision</t>
        </is>
      </c>
      <c r="D67" s="52" t="inlineStr">
        <is>
          <t>EU</t>
        </is>
      </c>
      <c r="E67" s="52" t="inlineStr">
        <is>
          <t>a9632e6f-3217-4f96-abc5-8577a99e80fb</t>
        </is>
      </c>
      <c r="F67" s="52" t="n"/>
      <c r="G67" s="52" t="n"/>
      <c r="H67" s="52" t="inlineStr"/>
    </row>
    <row r="68" s="41">
      <c r="A68" s="52" t="n">
        <v>55</v>
      </c>
      <c r="B68" s="52" t="inlineStr">
        <is>
          <t>93368-2520-investigations-the-court-of-justice-of-the-european-union-rules-that-an-act.md</t>
        </is>
      </c>
      <c r="C68" s="52" t="inlineStr">
        <is>
          <t>Bulletin article</t>
        </is>
      </c>
      <c r="D68" s="52" t="n"/>
      <c r="E68" s="52" t="inlineStr">
        <is>
          <t>eb4af447-a8d7-4102-8c9b-20f8865d5fea</t>
        </is>
      </c>
      <c r="F68" s="52" t="n"/>
      <c r="G68" s="52" t="n"/>
      <c r="H68" s="52" t="inlineStr"/>
    </row>
    <row r="69" s="41">
      <c r="A69" s="52" t="n">
        <v>56</v>
      </c>
      <c r="B69" s="52" t="inlineStr">
        <is>
          <t>95849-3360-inspections-the-court-of-justice-of-the-european-union-gives-the-commission.md</t>
        </is>
      </c>
      <c r="C69" s="52" t="inlineStr">
        <is>
          <t>Bulletin article</t>
        </is>
      </c>
      <c r="D69" s="52" t="n"/>
      <c r="E69" s="52" t="inlineStr">
        <is>
          <t>afe07022-9e8e-4270-a8d4-2c0aaa70652f</t>
        </is>
      </c>
      <c r="F69" s="52" t="n"/>
      <c r="G69" s="52" t="n"/>
      <c r="H69" s="52" t="inlineStr"/>
    </row>
    <row r="70" s="41">
      <c r="A70" s="52" t="n">
        <v>57</v>
      </c>
      <c r="B70" s="52" t="inlineStr">
        <is>
          <t>competition-case-law-digest-5th--p11.md</t>
        </is>
      </c>
      <c r="C70" s="52" t="inlineStr">
        <is>
          <t>Book (Livre)</t>
        </is>
      </c>
      <c r="D70" s="52" t="n"/>
      <c r="E70" s="52" t="inlineStr">
        <is>
          <t>40351206-cbf5-40d8-a127-173a24162f6e</t>
        </is>
      </c>
      <c r="F70" s="52" t="n"/>
      <c r="G70" s="52" t="n"/>
      <c r="H70" s="52" t="inlineStr"/>
    </row>
    <row r="71" s="41">
      <c r="A71" s="52" t="n">
        <v>58</v>
      </c>
      <c r="B71" s="52" t="inlineStr">
        <is>
          <t>96910-3420-dawn-raids-the-court-of-justice-of-the-european-union-confirms-the-power-of.md</t>
        </is>
      </c>
      <c r="C71" s="52" t="inlineStr">
        <is>
          <t>Bulletin article</t>
        </is>
      </c>
      <c r="D71" s="52" t="n"/>
      <c r="E71" s="52" t="inlineStr">
        <is>
          <t>a95ca40b-ceae-4436-8de6-a7a126b177e3</t>
        </is>
      </c>
      <c r="F71" s="52" t="n"/>
      <c r="G71" s="52" t="n"/>
      <c r="H71" s="52" t="inlineStr"/>
    </row>
    <row r="72" s="41">
      <c r="A72" s="52" t="n">
        <v>59</v>
      </c>
      <c r="B72" s="52" t="inlineStr">
        <is>
          <t>62009TJ0023.md</t>
        </is>
      </c>
      <c r="C72" s="52" t="inlineStr">
        <is>
          <t>Court Decision</t>
        </is>
      </c>
      <c r="D72" s="52" t="inlineStr">
        <is>
          <t>EU</t>
        </is>
      </c>
      <c r="E72" s="52" t="inlineStr">
        <is>
          <t>094ea41b-a505-436b-a0dd-4ba40b31dfdd</t>
        </is>
      </c>
      <c r="F72" s="52" t="n"/>
      <c r="G72" s="52" t="n"/>
      <c r="H72" s="52" t="inlineStr"/>
    </row>
    <row r="73" s="41">
      <c r="A73" s="52" t="n">
        <v>60</v>
      </c>
      <c r="B73" s="52" t="inlineStr">
        <is>
          <t>62017TJ0799.md</t>
        </is>
      </c>
      <c r="C73" s="52" t="inlineStr">
        <is>
          <t>Court Decision</t>
        </is>
      </c>
      <c r="D73" s="52" t="inlineStr">
        <is>
          <t>EU</t>
        </is>
      </c>
      <c r="E73" s="52" t="inlineStr">
        <is>
          <t>0e2b9d12-e2ef-4e5a-a4ff-3e040d05d2e9</t>
        </is>
      </c>
      <c r="F73" s="52" t="n"/>
      <c r="G73" s="52" t="n"/>
      <c r="H73" s="52" t="inlineStr"/>
    </row>
    <row r="74" s="41">
      <c r="A74" s="52" t="n">
        <v>61</v>
      </c>
      <c r="B74" s="52" t="inlineStr">
        <is>
          <t>62023TJ1119.md</t>
        </is>
      </c>
      <c r="C74" s="52" t="inlineStr">
        <is>
          <t>Court Decision</t>
        </is>
      </c>
      <c r="D74" s="52" t="inlineStr">
        <is>
          <t>EU</t>
        </is>
      </c>
      <c r="E74" s="52" t="inlineStr">
        <is>
          <t>ce0e3df2-f4ea-4345-a297-e54a4f805a9f</t>
        </is>
      </c>
      <c r="F74" s="52" t="n"/>
      <c r="G74" s="52" t="n"/>
      <c r="H74" s="52" t="inlineStr"/>
    </row>
    <row r="75" s="41">
      <c r="A75" s="52" t="n">
        <v>62</v>
      </c>
      <c r="B75" s="52" t="inlineStr">
        <is>
          <t>62023TJ1097.md</t>
        </is>
      </c>
      <c r="C75" s="52" t="inlineStr">
        <is>
          <t>Court Decision</t>
        </is>
      </c>
      <c r="D75" s="52" t="inlineStr">
        <is>
          <t>EU</t>
        </is>
      </c>
      <c r="E75" s="52" t="inlineStr">
        <is>
          <t>17ecc724-b05f-4f42-9a28-b1282ba34327</t>
        </is>
      </c>
      <c r="F75" s="52" t="n"/>
      <c r="G75" s="52" t="n"/>
      <c r="H75" s="52" t="inlineStr"/>
    </row>
    <row r="76" s="41">
      <c r="A76" s="52" t="n">
        <v>63</v>
      </c>
      <c r="B76" s="52" t="inlineStr">
        <is>
          <t>62014TJ0451.md</t>
        </is>
      </c>
      <c r="C76" s="52" t="inlineStr">
        <is>
          <t>Court Decision</t>
        </is>
      </c>
      <c r="D76" s="52" t="inlineStr">
        <is>
          <t>EU</t>
        </is>
      </c>
      <c r="E76" s="52" t="inlineStr">
        <is>
          <t>7fadce2f-3077-4603-8776-ea37b6694dd9</t>
        </is>
      </c>
      <c r="F76" s="52" t="n"/>
      <c r="G76" s="52" t="n"/>
      <c r="H76" s="52" t="inlineStr"/>
    </row>
    <row r="77" s="41">
      <c r="A77" s="52" t="n">
        <v>64</v>
      </c>
      <c r="B77" s="52" t="inlineStr">
        <is>
          <t>62010TJ0027.md</t>
        </is>
      </c>
      <c r="C77" s="52" t="inlineStr">
        <is>
          <t>Court Decision</t>
        </is>
      </c>
      <c r="D77" s="52" t="inlineStr">
        <is>
          <t>EU</t>
        </is>
      </c>
      <c r="E77" s="52" t="inlineStr">
        <is>
          <t>bc02167d-8c4b-4b56-831c-f9c775215394</t>
        </is>
      </c>
      <c r="F77" s="52" t="n"/>
      <c r="G77" s="52" t="n"/>
      <c r="H77" s="52" t="inlineStr"/>
    </row>
    <row r="78" s="41">
      <c r="A78" s="52" t="n">
        <v>65</v>
      </c>
      <c r="B78" s="52" t="inlineStr">
        <is>
          <t>62020TO0451(01).md</t>
        </is>
      </c>
      <c r="C78" s="52" t="inlineStr">
        <is>
          <t>Court Decision</t>
        </is>
      </c>
      <c r="D78" s="52" t="inlineStr">
        <is>
          <t>EU</t>
        </is>
      </c>
      <c r="E78" s="52" t="inlineStr">
        <is>
          <t>b261ed51-2a85-4d85-a20a-92143a7cd6a5</t>
        </is>
      </c>
      <c r="F78" s="52" t="n"/>
      <c r="G78" s="52" t="n"/>
      <c r="H78" s="52" t="inlineStr"/>
    </row>
    <row r="79" s="41">
      <c r="A79" s="52" t="n">
        <v>66</v>
      </c>
      <c r="B79" s="52" t="inlineStr">
        <is>
          <t>62018CO0065(01).md</t>
        </is>
      </c>
      <c r="C79" s="52" t="inlineStr">
        <is>
          <t>Court Decision</t>
        </is>
      </c>
      <c r="D79" s="52" t="inlineStr">
        <is>
          <t>EU</t>
        </is>
      </c>
      <c r="E79" s="52" t="inlineStr">
        <is>
          <t>b916c103-d758-48d4-b1f9-3ada35e78ed9</t>
        </is>
      </c>
      <c r="F79" s="52" t="n"/>
      <c r="G79" s="52" t="n"/>
      <c r="H79" s="52" t="inlineStr"/>
    </row>
    <row r="80" s="41">
      <c r="A80" s="52" t="n">
        <v>67</v>
      </c>
      <c r="B80" s="52" t="inlineStr">
        <is>
          <t>125471-20-dawn-raids-the-general-court-upholds-the-european-commissions-overall-assessm.md</t>
        </is>
      </c>
      <c r="C80" s="52" t="inlineStr">
        <is>
          <t>Bulletin article</t>
        </is>
      </c>
      <c r="D80" s="52" t="n"/>
      <c r="E80" s="52" t="inlineStr">
        <is>
          <t>e97ed81a-60ca-4112-9207-21a8613078bd</t>
        </is>
      </c>
      <c r="F80" s="52" t="n"/>
      <c r="G80" s="52" t="n"/>
      <c r="H80" s="52" t="inlineStr"/>
    </row>
    <row r="81" s="41">
      <c r="A81" s="52" t="n">
        <v>68</v>
      </c>
      <c r="B81" s="52" t="inlineStr">
        <is>
          <t>50285.md</t>
        </is>
      </c>
      <c r="C81" s="52" t="inlineStr">
        <is>
          <t>Bulletin article</t>
        </is>
      </c>
      <c r="D81" s="52" t="n"/>
      <c r="E81" s="52" t="inlineStr">
        <is>
          <t>f17418b6-489e-4049-92f0-b9ce2b58968f</t>
        </is>
      </c>
      <c r="F81" s="52" t="n"/>
      <c r="G81" s="52" t="n"/>
      <c r="H81" s="52" t="inlineStr"/>
    </row>
    <row r="82" s="41">
      <c r="A82" s="52" t="n">
        <v>69</v>
      </c>
      <c r="B82" s="52" t="inlineStr">
        <is>
          <t>94920-2150-inquiries-the-court-of-justice-of-the-european-union-dismisses-appeals-brou.md</t>
        </is>
      </c>
      <c r="C82" s="52" t="inlineStr">
        <is>
          <t>Bulletin article</t>
        </is>
      </c>
      <c r="D82" s="52" t="n"/>
      <c r="E82" s="52" t="inlineStr">
        <is>
          <t>e7e462f6-8d3e-4f46-92a9-57edcae44fd8</t>
        </is>
      </c>
      <c r="F82" s="52" t="n"/>
      <c r="G82" s="52" t="n"/>
      <c r="H82" s="52" t="inlineStr"/>
    </row>
    <row r="83" s="41">
      <c r="A83" s="52" t="n">
        <v>70</v>
      </c>
      <c r="B83" s="52" t="inlineStr">
        <is>
          <t>121144.md</t>
        </is>
      </c>
      <c r="C83" s="52" t="inlineStr">
        <is>
          <t>Bulletin article</t>
        </is>
      </c>
      <c r="D83" s="52" t="n"/>
      <c r="E83" s="52" t="inlineStr">
        <is>
          <t>9f96a5ff-2537-45cd-a34f-b0f82767f132</t>
        </is>
      </c>
      <c r="F83" s="52" t="n"/>
      <c r="G83" s="52" t="n"/>
      <c r="H83" s="52" t="inlineStr"/>
    </row>
    <row r="84" s="41">
      <c r="A84" s="52" t="n">
        <v>71</v>
      </c>
      <c r="B84" s="52" t="inlineStr">
        <is>
          <t>62011TJ0655.md</t>
        </is>
      </c>
      <c r="C84" s="52" t="inlineStr">
        <is>
          <t>Court Decision</t>
        </is>
      </c>
      <c r="D84" s="52" t="inlineStr">
        <is>
          <t>EU</t>
        </is>
      </c>
      <c r="E84" s="52" t="inlineStr">
        <is>
          <t>9bbae35a-5d48-465b-8d08-793e521ab06a</t>
        </is>
      </c>
      <c r="F84" s="52" t="n"/>
      <c r="G84" s="52" t="n"/>
      <c r="H84" s="52" t="inlineStr"/>
    </row>
    <row r="85" s="41">
      <c r="A85" s="52" t="n">
        <v>72</v>
      </c>
      <c r="B85" s="52" t="inlineStr">
        <is>
          <t>62020TO0452(01).md</t>
        </is>
      </c>
      <c r="C85" s="52" t="inlineStr">
        <is>
          <t>Court Decision</t>
        </is>
      </c>
      <c r="D85" s="52" t="inlineStr">
        <is>
          <t>EU</t>
        </is>
      </c>
      <c r="E85" s="52" t="inlineStr">
        <is>
          <t>2768689e-df78-453e-8a77-732820fda1c8</t>
        </is>
      </c>
      <c r="F85" s="52" t="n"/>
      <c r="G85" s="52" t="n"/>
      <c r="H85" s="52" t="inlineStr"/>
    </row>
    <row r="86" s="41">
      <c r="A86" s="52" t="n">
        <v>73</v>
      </c>
      <c r="B86" s="52" t="inlineStr">
        <is>
          <t>eu-antitrust-enforcement--15_xiv_procedural_rights_and_obligations_of_third_parties_in_antitrust_investigations_and_proceedings_by_the_european_commission.md</t>
        </is>
      </c>
      <c r="C86" s="52" t="inlineStr">
        <is>
          <t>Book (Livre)</t>
        </is>
      </c>
      <c r="D86" s="52" t="n"/>
      <c r="E86" s="52" t="inlineStr">
        <is>
          <t>b2429dd2-ef75-4f34-8bf2-95b08c3a4de5</t>
        </is>
      </c>
      <c r="F86" s="52" t="n"/>
      <c r="G86" s="52" t="n"/>
      <c r="H86" s="52" t="inlineStr"/>
    </row>
    <row r="87" s="41">
      <c r="A87" s="52" t="n">
        <v>74</v>
      </c>
      <c r="B87" s="52" t="inlineStr">
        <is>
          <t>eu-antitrust-enforcement--11_x_fundamental_procedural_rights_and_effective_enforcement_of_articles_101_and_102_tfeu_in_the_european_competition_network.md</t>
        </is>
      </c>
      <c r="C87" s="52" t="inlineStr">
        <is>
          <t>Book (Livre)</t>
        </is>
      </c>
      <c r="D87" s="52" t="n"/>
      <c r="E87" s="52" t="inlineStr">
        <is>
          <t>44d971b2-9615-45f5-94c3-342633964481</t>
        </is>
      </c>
      <c r="F87" s="52" t="n"/>
      <c r="G87" s="52" t="n"/>
      <c r="H87" s="52" t="inlineStr"/>
    </row>
    <row r="88" s="41">
      <c r="A88" s="52" t="n">
        <v>75</v>
      </c>
      <c r="B88" s="52" t="inlineStr">
        <is>
          <t>62020TJ0451.md</t>
        </is>
      </c>
      <c r="C88" s="52" t="inlineStr">
        <is>
          <t>Court Decision</t>
        </is>
      </c>
      <c r="D88" s="52" t="inlineStr">
        <is>
          <t>EU</t>
        </is>
      </c>
      <c r="E88" s="52" t="inlineStr">
        <is>
          <t>48c42881-8462-4197-885e-35fd7e697950</t>
        </is>
      </c>
      <c r="F88" s="52" t="n"/>
      <c r="G88" s="52" t="n"/>
      <c r="H88" s="52" t="inlineStr"/>
    </row>
    <row r="89" s="41">
      <c r="A89" s="52" t="n">
        <v>76</v>
      </c>
      <c r="B89" s="52" t="inlineStr">
        <is>
          <t>62011TJ0297.md</t>
        </is>
      </c>
      <c r="C89" s="52" t="inlineStr">
        <is>
          <t>Court Decision</t>
        </is>
      </c>
      <c r="D89" s="52" t="inlineStr">
        <is>
          <t>EU</t>
        </is>
      </c>
      <c r="E89" s="52" t="inlineStr">
        <is>
          <t>b5e94e7b-4cfc-4447-a323-0eaa92692c11</t>
        </is>
      </c>
      <c r="F89" s="52" t="n"/>
      <c r="G89" s="52" t="n"/>
      <c r="H89" s="52" t="inlineStr"/>
    </row>
    <row r="90" s="41">
      <c r="A90" s="52" t="n">
        <v>77</v>
      </c>
      <c r="B90" s="52" t="inlineStr">
        <is>
          <t>62014TJ0455.md</t>
        </is>
      </c>
      <c r="C90" s="52" t="inlineStr">
        <is>
          <t>Court Decision</t>
        </is>
      </c>
      <c r="D90" s="52" t="inlineStr">
        <is>
          <t>EU</t>
        </is>
      </c>
      <c r="E90" s="52" t="inlineStr">
        <is>
          <t>aebaf118-9ca2-4ace-b9cf-c95d8b94a361</t>
        </is>
      </c>
      <c r="F90" s="52" t="n"/>
      <c r="G90" s="52" t="n"/>
      <c r="H90" s="52" t="inlineStr"/>
    </row>
    <row r="91" s="41">
      <c r="A91" s="52" t="n">
        <v>78</v>
      </c>
      <c r="B91" s="52" t="inlineStr">
        <is>
          <t>62017TJ0341.md</t>
        </is>
      </c>
      <c r="C91" s="52" t="inlineStr">
        <is>
          <t>Court Decision</t>
        </is>
      </c>
      <c r="D91" s="52" t="inlineStr">
        <is>
          <t>EU</t>
        </is>
      </c>
      <c r="E91" s="52" t="inlineStr">
        <is>
          <t>4880dcf3-a2d5-46ce-b920-b87ae618c34b</t>
        </is>
      </c>
      <c r="F91" s="52" t="n"/>
      <c r="G91" s="52" t="n"/>
      <c r="H91" s="52" t="inlineStr"/>
    </row>
    <row r="92" s="41">
      <c r="A92" s="52" t="n">
        <v>79</v>
      </c>
      <c r="B92" s="52" t="inlineStr">
        <is>
          <t>62018CJ0538.md</t>
        </is>
      </c>
      <c r="C92" s="52" t="inlineStr">
        <is>
          <t>Court Decision</t>
        </is>
      </c>
      <c r="D92" s="52" t="inlineStr">
        <is>
          <t>EU</t>
        </is>
      </c>
      <c r="E92" s="52" t="inlineStr">
        <is>
          <t>aeddddae-2bb4-43b2-812c-37431b53023f</t>
        </is>
      </c>
      <c r="F92" s="52" t="n"/>
      <c r="G92" s="52" t="n"/>
      <c r="H92" s="52" t="inlineStr"/>
    </row>
    <row r="93" s="41">
      <c r="A93" s="52" t="n">
        <v>80</v>
      </c>
      <c r="B93" s="52" t="inlineStr">
        <is>
          <t>92103.md</t>
        </is>
      </c>
      <c r="C93" s="52" t="inlineStr">
        <is>
          <t>Article (Review)</t>
        </is>
      </c>
      <c r="D93" s="52" t="n"/>
      <c r="E93" s="52" t="inlineStr">
        <is>
          <t>f12761a7-4a04-47fb-aa09-a2155912c60c</t>
        </is>
      </c>
      <c r="F93" s="52" t="n"/>
      <c r="G93" s="52" t="n"/>
      <c r="H93" s="52" t="inlineStr"/>
    </row>
    <row r="94" s="41">
      <c r="A94" s="52" t="n">
        <v>81</v>
      </c>
      <c r="B94" s="52" t="inlineStr">
        <is>
          <t>62014CC0248.md</t>
        </is>
      </c>
      <c r="C94" s="52" t="inlineStr">
        <is>
          <t>Bulletin article</t>
        </is>
      </c>
      <c r="D94" s="52" t="inlineStr">
        <is>
          <t>EU</t>
        </is>
      </c>
      <c r="E94" s="52" t="inlineStr">
        <is>
          <t>339a87b5-3e47-45f8-9184-ec4d2919899c</t>
        </is>
      </c>
      <c r="F94" s="52" t="n"/>
      <c r="G94" s="52" t="n"/>
      <c r="H94" s="52" t="inlineStr"/>
    </row>
    <row r="95" s="41">
      <c r="A95" s="52" t="n">
        <v>82</v>
      </c>
      <c r="B95" s="52" t="inlineStr">
        <is>
          <t>62017TJ0240.md</t>
        </is>
      </c>
      <c r="C95" s="52" t="inlineStr">
        <is>
          <t>Court Decision</t>
        </is>
      </c>
      <c r="D95" s="52" t="inlineStr">
        <is>
          <t>EU</t>
        </is>
      </c>
      <c r="E95" s="52" t="inlineStr">
        <is>
          <t>13277655-c149-434f-8ecc-63d7d1017b10</t>
        </is>
      </c>
      <c r="F95" s="52" t="n"/>
      <c r="G95" s="52" t="n"/>
      <c r="H95" s="52" t="inlineStr"/>
    </row>
    <row r="96" s="41">
      <c r="A96" s="52" t="n">
        <v>83</v>
      </c>
      <c r="B96" s="52" t="inlineStr">
        <is>
          <t>62018CJ0607.md</t>
        </is>
      </c>
      <c r="C96" s="52" t="inlineStr">
        <is>
          <t>Court Decision</t>
        </is>
      </c>
      <c r="D96" s="52" t="inlineStr">
        <is>
          <t>EU</t>
        </is>
      </c>
      <c r="E96" s="52" t="inlineStr">
        <is>
          <t>fcc024df-7fa5-407e-9fb8-ca0374628e37</t>
        </is>
      </c>
      <c r="F96" s="52" t="n"/>
      <c r="G96" s="52" t="n"/>
      <c r="H96" s="52" t="inlineStr"/>
    </row>
    <row r="97" s="41">
      <c r="A97" s="52" t="n">
        <v>84</v>
      </c>
      <c r="B97" s="52" t="inlineStr">
        <is>
          <t>62016CJ0123.md</t>
        </is>
      </c>
      <c r="C97" s="52" t="inlineStr">
        <is>
          <t>Court Decision</t>
        </is>
      </c>
      <c r="D97" s="52" t="inlineStr">
        <is>
          <t>EU</t>
        </is>
      </c>
      <c r="E97" s="52" t="inlineStr">
        <is>
          <t>22252c77-2086-4d9e-94b7-b7219394e299</t>
        </is>
      </c>
      <c r="F97" s="52" t="n"/>
      <c r="G97" s="52" t="n"/>
      <c r="H97" s="52" t="inlineStr"/>
    </row>
    <row r="98" s="41">
      <c r="A98" s="52" t="n">
        <v>85</v>
      </c>
      <c r="B98" s="52" t="inlineStr">
        <is>
          <t>62014TJ0103.md</t>
        </is>
      </c>
      <c r="C98" s="52" t="inlineStr">
        <is>
          <t>Bulletin article</t>
        </is>
      </c>
      <c r="D98" s="52" t="inlineStr">
        <is>
          <t>EU</t>
        </is>
      </c>
      <c r="E98" s="52" t="inlineStr">
        <is>
          <t>71644769-41f5-4da2-82b3-225292de42cb</t>
        </is>
      </c>
      <c r="F98" s="52" t="n"/>
      <c r="G98" s="52" t="n"/>
      <c r="H98" s="52" t="inlineStr"/>
    </row>
    <row r="99" s="41">
      <c r="A99" s="52" t="n">
        <v>86</v>
      </c>
      <c r="B99" s="52" t="inlineStr">
        <is>
          <t>62011TJ0090.md</t>
        </is>
      </c>
      <c r="C99" s="52" t="inlineStr">
        <is>
          <t>Court Decision</t>
        </is>
      </c>
      <c r="D99" s="52" t="inlineStr">
        <is>
          <t>EU</t>
        </is>
      </c>
      <c r="E99" s="52" t="inlineStr">
        <is>
          <t>197c7e77-a1de-4f47-ac70-5bda9b6053b2</t>
        </is>
      </c>
      <c r="F99" s="52" t="n"/>
      <c r="G99" s="52" t="n"/>
      <c r="H99" s="52" t="inlineStr"/>
    </row>
    <row r="100" s="41">
      <c r="A100" s="52" t="n">
        <v>87</v>
      </c>
      <c r="B100" s="52" t="inlineStr">
        <is>
          <t>96291-the-eu-court-of-justice-upholds-the-commissions-right-to-continue-inspection-at.md</t>
        </is>
      </c>
      <c r="C100" s="52" t="inlineStr">
        <is>
          <t>Bulletin article</t>
        </is>
      </c>
      <c r="D100" s="52" t="n"/>
      <c r="E100" s="52" t="inlineStr">
        <is>
          <t>b5945681-864a-4470-b1bb-33978a2016ed</t>
        </is>
      </c>
      <c r="F100" s="52" t="n"/>
      <c r="G100" s="52" t="n"/>
      <c r="H100" s="52" t="inlineStr"/>
    </row>
    <row r="101" s="41">
      <c r="A101" s="52" t="n">
        <v>88</v>
      </c>
      <c r="B101" s="52" t="inlineStr">
        <is>
          <t>90706.md</t>
        </is>
      </c>
      <c r="C101" s="52" t="inlineStr">
        <is>
          <t>Article (Review)</t>
        </is>
      </c>
      <c r="D101" s="52" t="n"/>
      <c r="E101" s="52" t="inlineStr">
        <is>
          <t>53fd7b9e-f939-427f-a193-dde8d89572a2</t>
        </is>
      </c>
      <c r="F101" s="52" t="n"/>
      <c r="G101" s="52" t="n"/>
      <c r="H101" s="52" t="inlineStr"/>
    </row>
    <row r="102" s="41">
      <c r="A102" s="52" t="n">
        <v>89</v>
      </c>
      <c r="B102" s="52" t="inlineStr">
        <is>
          <t>competition-inspections-25-jurisdictions--7_european_union.md</t>
        </is>
      </c>
      <c r="C102" s="52" t="inlineStr">
        <is>
          <t>Article (Review)</t>
        </is>
      </c>
      <c r="D102" s="52" t="n"/>
      <c r="E102" s="52" t="inlineStr">
        <is>
          <t>1c2fa592-34f0-4656-96c2-024c5ea88b1e</t>
        </is>
      </c>
      <c r="F102" s="52" t="n"/>
      <c r="G102" s="52" t="n"/>
      <c r="H102" s="52" t="inlineStr"/>
    </row>
    <row r="103" s="41">
      <c r="A103" s="52" t="n">
        <v>90</v>
      </c>
      <c r="B103" s="52" t="inlineStr">
        <is>
          <t>62014TJ0054.md</t>
        </is>
      </c>
      <c r="C103" s="52" t="inlineStr">
        <is>
          <t>Court Decision</t>
        </is>
      </c>
      <c r="D103" s="52" t="inlineStr">
        <is>
          <t>EU</t>
        </is>
      </c>
      <c r="E103" s="52" t="inlineStr">
        <is>
          <t>ce76e386-562b-463b-9da4-94dba75a3f66</t>
        </is>
      </c>
      <c r="F103" s="52" t="n"/>
      <c r="G103" s="52" t="n"/>
      <c r="H103" s="52" t="inlineStr"/>
    </row>
    <row r="104" s="41">
      <c r="A104" s="52" t="n">
        <v>91</v>
      </c>
      <c r="B104" s="52" t="inlineStr">
        <is>
          <t>127186-20-inspection-the-general-court-of-the-european-union-considers-that-the-commiss.md</t>
        </is>
      </c>
      <c r="C104" s="52" t="inlineStr">
        <is>
          <t>Bulletin article</t>
        </is>
      </c>
      <c r="D104" s="52" t="n"/>
      <c r="E104" s="52" t="inlineStr">
        <is>
          <t>329bd68b-1104-4f5c-b636-e9925175dbc6</t>
        </is>
      </c>
      <c r="F104" s="52" t="n"/>
      <c r="G104" s="52" t="n"/>
      <c r="H104" s="52" t="inlineStr"/>
    </row>
    <row r="105" s="41">
      <c r="A105" s="52" t="n">
        <v>92</v>
      </c>
      <c r="B105" s="52" t="inlineStr">
        <is>
          <t>62014CJ0247.md</t>
        </is>
      </c>
      <c r="C105" s="52" t="inlineStr">
        <is>
          <t>Court Decision</t>
        </is>
      </c>
      <c r="D105" s="52" t="inlineStr">
        <is>
          <t>EU</t>
        </is>
      </c>
      <c r="E105" s="52" t="inlineStr">
        <is>
          <t>df8c7156-3176-4c1f-8b15-ec687b386142</t>
        </is>
      </c>
      <c r="F105" s="52" t="n"/>
      <c r="G105" s="52" t="n"/>
      <c r="H105" s="52" t="inlineStr"/>
    </row>
    <row r="106" s="41">
      <c r="A106" s="52" t="n">
        <v>93</v>
      </c>
      <c r="B106" s="52" t="inlineStr">
        <is>
          <t>62012CJ0365.md</t>
        </is>
      </c>
      <c r="C106" s="52" t="inlineStr">
        <is>
          <t>Court Decision</t>
        </is>
      </c>
      <c r="D106" s="52" t="inlineStr">
        <is>
          <t>EU</t>
        </is>
      </c>
      <c r="E106" s="52" t="inlineStr">
        <is>
          <t>26887c6b-0bac-4894-86e5-157231b4f370</t>
        </is>
      </c>
      <c r="F106" s="52" t="n"/>
      <c r="G106" s="52" t="n"/>
      <c r="H106" s="52" t="inlineStr"/>
    </row>
    <row r="107" s="41">
      <c r="A107" s="52" t="n">
        <v>94</v>
      </c>
      <c r="B107" s="52" t="inlineStr">
        <is>
          <t>75894-80-eu-commissions-e-commerce-sector-inquiry-some-thoughts-as-to-how-technology-c.md</t>
        </is>
      </c>
      <c r="C107" s="52" t="inlineStr">
        <is>
          <t>Article (Review)</t>
        </is>
      </c>
      <c r="D107" s="52" t="n"/>
      <c r="E107" s="52" t="inlineStr">
        <is>
          <t>595069b3-1d15-40f7-a336-131ca7ba2bb8</t>
        </is>
      </c>
      <c r="F107" s="52" t="n"/>
      <c r="G107" s="52" t="n"/>
      <c r="H107" s="52" t="inlineStr"/>
    </row>
    <row r="108" s="41">
      <c r="A108" s="52" t="n">
        <v>95</v>
      </c>
      <c r="B108" s="52" t="inlineStr">
        <is>
          <t>62020TJ0452.md</t>
        </is>
      </c>
      <c r="C108" s="52" t="inlineStr">
        <is>
          <t>Court Decision</t>
        </is>
      </c>
      <c r="D108" s="52" t="inlineStr">
        <is>
          <t>EU</t>
        </is>
      </c>
      <c r="E108" s="52" t="inlineStr">
        <is>
          <t>b2ad17a9-5061-42da-938b-6bc18c4c1e54</t>
        </is>
      </c>
      <c r="F108" s="52" t="n"/>
      <c r="G108" s="52" t="n"/>
      <c r="H108" s="52" t="inlineStr"/>
    </row>
    <row r="109" s="41">
      <c r="A109" s="52" t="n">
        <v>96</v>
      </c>
      <c r="B109" s="52" t="inlineStr">
        <is>
          <t>eu-antitrust-enforcement--12_xi_the_role_of_the_hearing_officer_in_antitrust_proceedings_before_the_european_commission.md</t>
        </is>
      </c>
      <c r="C109" s="52" t="inlineStr">
        <is>
          <t>Book (Livre)</t>
        </is>
      </c>
      <c r="D109" s="52" t="n"/>
      <c r="E109" s="52" t="inlineStr">
        <is>
          <t>27d55d8c-5b59-43c1-8576-7a718bd009d4</t>
        </is>
      </c>
      <c r="F109" s="52" t="n"/>
      <c r="G109" s="52" t="n"/>
      <c r="H109" s="52" t="inlineStr"/>
    </row>
    <row r="110" s="41">
      <c r="A110" s="52" t="n">
        <v>97</v>
      </c>
      <c r="B110" s="52" t="inlineStr">
        <is>
          <t>62013CC0037.md</t>
        </is>
      </c>
      <c r="C110" s="52" t="inlineStr">
        <is>
          <t>Bulletin article</t>
        </is>
      </c>
      <c r="D110" s="52" t="inlineStr">
        <is>
          <t>EU</t>
        </is>
      </c>
      <c r="E110" s="52" t="inlineStr">
        <is>
          <t>9d414372-2e27-469f-840e-aafabecf3cc1</t>
        </is>
      </c>
      <c r="F110" s="52" t="n"/>
      <c r="G110" s="52" t="n"/>
      <c r="H110" s="52" t="inlineStr">
        <is>
          <t>Cited in answer: YES</t>
        </is>
      </c>
    </row>
    <row r="111" s="41">
      <c r="A111" s="52" t="n">
        <v>98</v>
      </c>
      <c r="B111" s="52" t="inlineStr">
        <is>
          <t>32023D2103.md</t>
        </is>
      </c>
      <c r="C111" s="52" t="inlineStr">
        <is>
          <t>Regulatory Decision</t>
        </is>
      </c>
      <c r="D111" s="52" t="inlineStr">
        <is>
          <t>EU</t>
        </is>
      </c>
      <c r="E111" s="52" t="inlineStr">
        <is>
          <t>d069be7f-6a9a-4f18-b069-b9553213c222</t>
        </is>
      </c>
      <c r="F111" s="52" t="n"/>
      <c r="G111" s="52" t="n"/>
      <c r="H111" s="52" t="inlineStr"/>
    </row>
    <row r="112" s="41">
      <c r="A112" s="52" t="n">
        <v>99</v>
      </c>
      <c r="B112" s="52" t="inlineStr">
        <is>
          <t>62023CC0672.md</t>
        </is>
      </c>
      <c r="C112" s="52" t="inlineStr">
        <is>
          <t>Article (Review)</t>
        </is>
      </c>
      <c r="D112" s="52" t="inlineStr">
        <is>
          <t>EU</t>
        </is>
      </c>
      <c r="E112" s="52" t="inlineStr">
        <is>
          <t>67810452-8e0d-4741-a534-bfdbadceabae</t>
        </is>
      </c>
      <c r="F112" s="52" t="n"/>
      <c r="G112" s="52" t="n"/>
      <c r="H112" s="52" t="inlineStr"/>
    </row>
    <row r="113" s="41">
      <c r="A113" s="52" t="n">
        <v>100</v>
      </c>
      <c r="B113" s="52" t="inlineStr">
        <is>
          <t>competition-inspections-25-jurisdictions--22_spain.md</t>
        </is>
      </c>
      <c r="C113" s="52" t="inlineStr">
        <is>
          <t>Article (Review)</t>
        </is>
      </c>
      <c r="D113" s="52" t="n"/>
      <c r="E113" s="52" t="inlineStr">
        <is>
          <t>c612bb23-e93e-4e90-be30-4979d304f10e</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A Commission decision ordering an inspection under Article 20(4) of Regulation 1/2003 must state, as precisely as possible, the presumed facts it intends to investigate - the features of the suspected infringement, the market thought to be affected, the nature of the suspected restrictions and the sectors covered - although it need not precisely delimit the relevant market or indicate the exact period of the alleged infringement.</t>
        </is>
      </c>
      <c r="C117" s="23" t="inlineStr">
        <is>
          <t>[10] 62017TJ0249.md
[19] 62009TJ0135.md</t>
        </is>
      </c>
      <c r="D117" s="23" t="n"/>
      <c r="E117" s="23" t="inlineStr">
        <is>
          <t>[62017TJ0249.md l.8-8] 62017TJ0249 JUDGMENT OF THE GENERAL COURT (Ninth Chamber, Extended Composition) 5 October 2020 ( *1 ) (Competition – Agreements, decisions and concerted practices – Administrative procedure – Decision ordering an inspection – Plea of illegality of Article 20 of Regulation (EC) No 1/2003 – Right to an effective remedy – Equality of arms – Obligation to state reasons – Right to the inviolability of the home – Sufficiently serious indicia – Proportionality) In Case T‑249/17, Casino, Guichard-Perrachon , established in Saint-Étienne (France), Achats Marchandises Casino SAS (AMC) , formerly EMC Distribution, established in Vitry-sur-Seine (France), Represented by D. Théophile, I Simic, O. de Juvigny, T. Reymond, A. Sunderland and G. Aubron, lawyers, applicants, v European Commission , represent
[62009TJ0135.md l.8-8] 62009TJ0135 JUDGMENT OF THE GENERAL COURT (Eighth Chamber) 14 November 2012 ( *1 ) ‛Competition — Administrative procedure — Action for annulment — Acts adopted during an inspection — Intermediate measures — Inadmissibility — Decision ordering an inspection — Obligation to state the reasons on which the decision is based — Protection of privacy — Reasonable grounds — Review by the Courts’ In Case T-135/09, Nexans France SAS, established in Paris (France), Nexans SA, established in Paris, represented by M. Powell, Solicitor, J.-P. Tran Thiet, avocat, and G. Forwood, Barrister, applicants, v European Commission, represented initially by X. Lewis and N. von Lingen, and subsequently by N. von Lingen and V. Di Bucci, acting as Agents, defendant, APPLICATION for (i) annulment of Commission decis</t>
        </is>
      </c>
      <c r="F117" s="23" t="n"/>
      <c r="G117" s="40" t="n"/>
      <c r="H117" s="40" t="n"/>
    </row>
    <row r="118" ht="15.75" customHeight="1" s="41">
      <c r="A118" s="23" t="n">
        <v>3</v>
      </c>
      <c r="B118" s="23" t="inlineStr">
        <is>
          <t>That partial annulment was confirmed on further appeal: the Court of Justice upheld the General Court's approach of annulling the inspection decision solely as regards cable types for which reasonable grounds were lacking, while leaving undisturbed the operative part covering the cable types for which the Commission did hold reasonable grounds.</t>
        </is>
      </c>
      <c r="C118" s="23" t="inlineStr">
        <is>
          <t>[20] 62013CJ0037.md</t>
        </is>
      </c>
      <c r="D118" s="23" t="n"/>
      <c r="E118" s="23" t="inlineStr">
        <is>
          <t xml:space="preserve">[62013CJ0037.md l.8-8] 62013CJ0037 JUDGMENT OF THE COURT (Fifth Chamber) 25 June 2014 ( *1 ) ‛Appeal — Competition — Regulation (EC) No 1/2003 — Administrative procedure — Inspection — Decision ordering an inspection — Obligation to state reasons — Reasonable grounds — Geographic market’ In Case C‑37/13 P, APPEAL under Article 56 of the Statute of the Court of Justice of the European Union, brought on 24 January 2013, Nexans SA , established in Paris (France), Nexans France SAS , established in Paris, represented by M. Powell, Solicitor, J.-P. Tran-Thiet, avocat, G. Forwood, Barrister, and A. Rogers, Solicitor, appellants, the other party to the proceedings being: European Commission , represented by R. Sauer, J. Bourke and N. von Lingen, acting as Agents, with an address for service in Luxembourg, defendant at </t>
        </is>
      </c>
      <c r="F118" s="23" t="n"/>
      <c r="G118" s="40" t="n"/>
      <c r="H118" s="40" t="n"/>
    </row>
    <row r="119" ht="15.75" customHeight="1" s="41">
      <c r="A119" s="23" t="n">
        <v>4</v>
      </c>
      <c r="B119" s="23" t="inlineStr">
        <is>
          <t>The same limb-by-limb logic extends beyond product or geographic scope to the substance of the suspected infringement itself: in the "Tute 1" inspections of Casino and its purchasing subsidiary, the General Court annulled the Commission's decision only in so far as it ordered submission to inspection concerning the suspected second infringement - information exchanges on future commercial strategies with Intermarché - because the sole indicium relied on, the presence of a jointly-appointed manager at an Intermarché meeting, could not ground a reasonable suspicion of reciprocity, while it upheld the decision as regards the first suspected infringement, concerning exchanges on supplier discounts, for which sufficiently serious evidence existed.</t>
        </is>
      </c>
      <c r="C119" s="23" t="inlineStr">
        <is>
          <t>[10] 62017TJ0249.md
[43] 97110-2850-inspection-the-general-court-of-the-european-union-partially-annuls-decisio.md</t>
        </is>
      </c>
      <c r="D119" s="23" t="n"/>
      <c r="E119" s="23" t="inlineStr">
        <is>
          <t>[62017TJ0249.md l.8-8] 62017TJ0249 JUDGMENT OF THE GENERAL COURT (Ninth Chamber, Extended Composition) 5 October 2020 ( *1 ) (Competition – Agreements, decisions and concerted practices – Administrative procedure – Decision ordering an inspection – Plea of illegality of Article 20 of Regulation (EC) No 1/2003 – Right to an effective remedy – Equality of arms – Obligation to state reasons – Right to the inviolability of the home – Sufficiently serious indicia – Proportionality) In Case T‑249/17, Casino, Guichard-Perrachon , established in Saint-Étienne (France), Achats Marchandises Casino SAS (AMC) , formerly EMC Distribution, established in Vitry-sur-Seine (France), Represented by D. Théophile, I Simic, O. de Juvigny, T. Reymond, A. Sunderland and G. Aubron, lawyers, applicants, v European Commission , represent
[97110-2850-inspection-the-general-court-of-the-european-union-partially-annuls-decisio.md l.77-79] While the Court of First Instance rules out disproportionate interference with their private sphere of activity, having regard to the duration of the inspection at issue and the date chosen for the inspection, it upholds, on the other hand, the complaint alleging a lack of sufficiently serious evidence of the suspicion of a second infringement. In the present case, the Commission had justified the inspections in part by the suspicion of exchanges of information between Casino and Intermarché concerning their future commercial strategies, in particular in terms of assortment, store development, e-commerce and promotional policy on the markets for the supply of daily consumer goods and on the markets for the sale of daily consumer goods to consumers, in France (Case T-255/17, pt. 277). Accor</t>
        </is>
      </c>
      <c r="F119" s="23" t="n"/>
      <c r="G119" s="40" t="n"/>
      <c r="H119" s="40" t="n"/>
    </row>
    <row r="120" ht="15.75" customHeight="1" s="41">
      <c r="A120" s="23" t="n">
        <v>5</v>
      </c>
      <c r="B120" s="23" t="inlineStr">
        <is>
          <t>In reaching that result the General Court distinguished the standard needed to establish an infringement from the necessarily lower threshold needed merely to justify an inspection, while making clear that even that lower threshold of "sufficiently serious indicia" must be satisfied separately for each suspected infringement the decision purports to cover.</t>
        </is>
      </c>
      <c r="C120" s="23" t="inlineStr">
        <is>
          <t>[43] 97110-2850-inspection-the-general-court-of-the-european-union-partially-annuls-decisio.md</t>
        </is>
      </c>
      <c r="D120" s="23" t="n"/>
      <c r="E120" s="23" t="inlineStr">
        <is>
          <t xml:space="preserve">[97110-2850-inspection-the-general-court-of-the-european-union-partially-annuls-decisio.md l.103-105] As regards the form of the evidence which justified the inspection decisions, the Court of First Instance distinguishes between evidence of an infringement and evidence on which an inspection decision is based and infers that the latter cannot be subject to the same degree of formalism as that relating in particular to compliance with the rules imposed by Regulation No 1/2003 and by the case-law delivered on its basis as regards the Commission's powers of investigation (Case T-255/17, pt. 193). It infers from this that the rules on the obligation to record interviews are not applicable prior to the opening of an investigation by the Commission (Case T-255/17, pt. 200). Thus, interviews with suppliers, conducted before the opening of an investigation, are likely to constitute evidence even </t>
        </is>
      </c>
      <c r="F120" s="23" t="n"/>
      <c r="G120" s="40" t="n"/>
      <c r="H120" s="40" t="n"/>
    </row>
    <row r="121" ht="15.75" customHeight="1" s="41">
      <c r="A121" s="23" t="n">
        <v>10</v>
      </c>
      <c r="B121" s="23" t="inlineStr">
        <is>
          <t>On appeal in that same case, Advocate General Kokott underscored that judicial review of an inspection decision is inherently an ex post exercise in which the Commission need not disclose, in the decision itself, the indicia grounding a given limb of suspicion, but must be prepared to demonstrate to the reviewing court, limb by limb, that it held reasonable grounds at the time of adoption - the mechanism that makes annulment confined to a discrete, evidentially unsupported limb possible.</t>
        </is>
      </c>
      <c r="C121" s="23" t="inlineStr">
        <is>
          <t>[97] 62013CC0037.md</t>
        </is>
      </c>
      <c r="D121" s="23" t="n"/>
      <c r="E121" s="23" t="inlineStr">
        <is>
          <t>[62013CC0037.md l.193-200] 84. That argument must be rejected.
85. Undoubtedly, every inspection decision is subject to ex post judicial review to determine whether the Commission had sufficient grounds to support the initial suspicion of a serious infringement of competition law and thus to justify the investigative measures ordered in its inspection decision.
( 41 )
Such an ex post judicial review is in principle sufficient to ensure appropriate protection for the fundamental rights of the undertakings concerned.
( 42 ) 86. It is in the nature of such ex post review that it is only in the proceedings before the competent courts, and not, for example, before then in the statement of reasons for its inspection decision, ( 43 ) that the Commission must specifically disclose the information on the basis of which it co</t>
        </is>
      </c>
      <c r="F121" s="23" t="n"/>
      <c r="G121" s="40" t="n"/>
      <c r="H121" s="40" t="n"/>
    </row>
    <row r="122" ht="15.75" customHeight="1" s="41">
      <c r="A122" s="23" t="n">
        <v>11</v>
      </c>
      <c r="B122" s="23" t="inlineStr">
        <is>
          <t>The evidentiary-taint principle also operates at the level of individual investigative acts feeding the inspection file: in her Opinion on the appeal in the related Les Mousquetaires "Tute 1" proceeding, Advocate General Pitruzzella took the view that, where the Commission's interviews with suppliers were conducted in breach of the recording requirements of Article 19 of Regulation 1/2003 and Article 3 of Regulation 773/2004, the information obtained through those interviews cannot be used for the purpose of adopting an inspection decision, and on that basis she proposed that the Court allow the appeal and annul the corresponding paragraph of the operative part of the judgment under appeal.</t>
        </is>
      </c>
      <c r="C122" s="23" t="inlineStr">
        <is>
          <t>[44] 62020CC0682.md</t>
        </is>
      </c>
      <c r="D122" s="23" t="n"/>
      <c r="E122" s="23" t="inlineStr">
        <is>
          <t>[62020CC0682.md l.521-523] Lastly, it is my view, in line with the comments I have already made in point 143 of this Opinion, that, where the provisions related to recordings are infringed, the information obtained by the Commission in the course of interviews that are not duly recorded cannot be used for the purpose of adopting an inspection decision.
G. Conclusion on the appeal 206.
On the basis of all the foregoing considerations, I propose that the Court allow the appeal and annul paragraph 2 of the operative part of the judgment under appeal.</t>
        </is>
      </c>
      <c r="F122" s="23" t="n"/>
      <c r="G122" s="40" t="n"/>
      <c r="H122" s="40" t="n"/>
    </row>
    <row r="123" ht="15.75" customHeight="1" s="41">
      <c r="A123" s="23" t="n">
        <v>12</v>
      </c>
      <c r="B123" s="23" t="inlineStr">
        <is>
          <t>Taken together, this line of authority confirms that EU courts sever an inspection decision limb by limb rather than treating it as an indivisible whole: for each suspected infringement or category of conduct the decision covers, the court asks whether the Commission held sufficiently serious indicia at the time of adoption, annuls only the unsupported limb, bars the Commission from using material gathered under that limb (and from founding further inspection decisions on it) in subsequent infringement proceedings, while leaving the Commission free to rely on whatever material was properly gathered under the surviving, evidentially-supported limb or limbs of the decision.</t>
        </is>
      </c>
      <c r="C123" s="23" t="inlineStr">
        <is>
          <t>[43] 97110-2850-inspection-the-general-court-of-the-european-union-partially-annuls-decisio.md
[10] 62017TJ0249.md
[19] 62009TJ0135.md</t>
        </is>
      </c>
      <c r="D123" s="23" t="n"/>
      <c r="E123" s="23" t="inlineStr">
        <is>
          <t>[97110-2850-inspection-the-general-court-of-the-european-union-partially-annuls-decisio.md l.81-81] Consequently, the Court of First Instance annuls the first contested decision in so far as it orders the applicants, in Article 1(b) thereof, to submit to an inspection concerning their possible participation in the second infringement. As usual, the Court of First Instance confines itself to that point. It is therefore incumbent on the Commission to take the necessary measures to implement the judgment of the Court of First Instance. It is conceivable in this respect that the Commission will refrain during the investigation of the case from using the documents which it seized during the inspections at the premises of the respondents in connection with the second infringement. It remains to be seen what will be the fate of the inspections carried out at the premises of Casino and Intermarc
[62017TJ0249.md l.8-8] 62017TJ0249 JUDGMENT OF THE GENERAL COURT (Ninth Chamber, Extended Composition) 5 October 2020 ( *1 ) (Competition – Agreements, decisions and concerted practices – Administrative procedure – Decision ordering an inspection – Plea of illegality of Article 20 of Regulation (EC) No 1/2003 – Right to an effective remedy – Equality of arms – Obligation to state reasons – Right to the inviolability of the home – Sufficiently serious indicia – Proportionality) In Case T‑249/17, Casino, Guichard-Perrachon , established in Saint-Étienne (France), Achats Marchandises Casino SAS (AMC) , formerly EMC Distribution, established in Vitry-sur-Seine (France), Represented by D. Théophile, I Simic, O. de Juvigny, T. Reymond, A. Sunderland and G. Aubron, lawyers, applicants, v European Commission , represent
[62009TJ0135.md l.8-8] 62009TJ0135 JUDGMENT OF THE GENERAL COURT (Eighth Chamber) 14 November 2012 ( *1 ) ‛Competition — Administrative procedure — Action for annulment — Acts adopted during an inspection — Intermediate measures — Inadmissibility — Decision ordering an ins</t>
        </is>
      </c>
      <c r="F123" s="23" t="n"/>
      <c r="G123" s="40" t="n"/>
      <c r="H123" s="40" t="n"/>
    </row>
    <row r="124" ht="15.75" customHeight="1" s="41">
      <c r="A124" s="23" t="n"/>
      <c r="B124" s="23" t="n"/>
      <c r="C124" s="23" t="n"/>
      <c r="D124" s="23" t="n"/>
      <c r="E124" s="23" t="n"/>
      <c r="F124" s="23" t="n"/>
      <c r="G124" s="40" t="n"/>
      <c r="H124" s="40" t="n"/>
    </row>
    <row r="125" ht="15.75" customHeight="1" s="41">
      <c r="A125" s="23" t="n"/>
      <c r="B125" s="23" t="n"/>
      <c r="C125" s="23" t="n"/>
      <c r="D125" s="23" t="n"/>
      <c r="E125" s="23" t="n"/>
      <c r="F125" s="23" t="n"/>
      <c r="G125" s="40" t="n"/>
      <c r="H125" s="40" t="n"/>
    </row>
    <row r="126" ht="15.75" customHeight="1" s="41">
      <c r="A126" s="40" t="n"/>
      <c r="B126" s="40" t="n"/>
      <c r="C126" s="40" t="n"/>
      <c r="D126" s="40" t="n"/>
      <c r="E126" s="40" t="n"/>
      <c r="F126" s="40" t="n"/>
      <c r="G126" s="40" t="n"/>
      <c r="H126" s="40" t="n"/>
    </row>
    <row r="127" ht="15.75" customHeight="1" s="41">
      <c r="A127" s="44" t="inlineStr">
        <is>
          <t>Final expert verdict</t>
        </is>
      </c>
    </row>
    <row r="128" ht="15.75" customHeight="1" s="41">
      <c r="A128" s="28" t="inlineStr">
        <is>
          <t>Reviewer</t>
        </is>
      </c>
      <c r="B128" s="23" t="n"/>
      <c r="C128" s="28" t="n"/>
      <c r="D128" s="29" t="n"/>
      <c r="E128" s="23" t="n"/>
      <c r="F128" s="23" t="n"/>
      <c r="G128" s="23" t="n"/>
      <c r="H128" s="23" t="n"/>
    </row>
    <row r="129" ht="15.75" customHeight="1" s="41">
      <c r="A129" s="28" t="inlineStr">
        <is>
          <t>Is the answer acceptable?</t>
        </is>
      </c>
      <c r="B129" s="30" t="n"/>
      <c r="C129" s="28" t="n"/>
      <c r="D129" s="29" t="n"/>
      <c r="E129" s="23" t="n"/>
      <c r="F129" s="23" t="n"/>
      <c r="G129" s="23" t="n"/>
      <c r="H129" s="23" t="n"/>
    </row>
    <row r="130" ht="15.75" customHeight="1" s="41">
      <c r="A130" s="28" t="inlineStr">
        <is>
          <t>Overall comment / required fixes</t>
        </is>
      </c>
      <c r="B130" s="23" t="n"/>
      <c r="C130" s="45" t="n"/>
      <c r="D130" s="45" t="n"/>
      <c r="E130" s="45" t="n"/>
      <c r="F130" s="45" t="n"/>
      <c r="G130" s="45" t="n"/>
      <c r="H130" s="46" t="n"/>
    </row>
    <row r="131" ht="15.75" customHeight="1" s="41">
      <c r="A131" s="28" t="inlineStr">
        <is>
          <t>Review completed?</t>
        </is>
      </c>
      <c r="B131" s="30" t="n"/>
      <c r="C131" s="28" t="n"/>
      <c r="D131" s="29" t="n"/>
      <c r="E131" s="23" t="n"/>
      <c r="F131" s="23" t="n"/>
      <c r="G131" s="23" t="n"/>
      <c r="H131" s="23" t="n"/>
    </row>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c r="A160" s="44" t="inlineStr">
        <is>
          <t>Original source notes</t>
        </is>
      </c>
      <c r="I160" s="40" t="n"/>
      <c r="J160" s="40" t="n"/>
    </row>
    <row r="161" ht="15.75" customHeight="1" s="41">
      <c r="A161" s="28" t="inlineStr">
        <is>
          <t>WAB notes</t>
        </is>
      </c>
      <c r="B161" s="23" t="n"/>
      <c r="C161" s="45" t="n"/>
      <c r="D161" s="45" t="n"/>
      <c r="E161" s="45" t="n"/>
      <c r="F161" s="45" t="n"/>
      <c r="G161" s="45" t="n"/>
      <c r="H161" s="46" t="n"/>
      <c r="I161" s="40" t="n"/>
      <c r="J161" s="40" t="n"/>
    </row>
    <row r="162" ht="15.75" customHeight="1" s="41">
      <c r="A162" s="28" t="inlineStr">
        <is>
          <t>Reviewer notes from question approval</t>
        </is>
      </c>
      <c r="B162" s="23" t="inlineStr">
        <is>
          <t>agreed, let's keep it.</t>
        </is>
      </c>
      <c r="C162" s="47" t="n"/>
      <c r="D162" s="47" t="n"/>
      <c r="E162" s="47" t="n"/>
      <c r="F162" s="47" t="n"/>
      <c r="G162" s="47" t="n"/>
      <c r="H162" s="48" t="n"/>
      <c r="I162" s="40" t="n"/>
      <c r="J162" s="40" t="n"/>
    </row>
    <row r="163" ht="15.75" customHeight="1" s="41">
      <c r="A163" s="23" t="n"/>
      <c r="B163" s="49" t="n"/>
      <c r="C163" s="50" t="n"/>
      <c r="D163" s="50" t="n"/>
      <c r="E163" s="50" t="n"/>
      <c r="F163" s="50" t="n"/>
      <c r="G163" s="50" t="n"/>
      <c r="H163" s="51" t="n"/>
      <c r="I163" s="40" t="n"/>
      <c r="J163" s="40" t="n"/>
    </row>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Q29 — Expert Review</t>
        </is>
      </c>
    </row>
    <row r="2" hidden="1" s="41">
      <c r="A2" s="44" t="inlineStr">
        <is>
          <t>Question metadata</t>
        </is>
      </c>
    </row>
    <row r="3" hidden="1" s="41">
      <c r="A3" s="13" t="inlineStr">
        <is>
          <t>Question ID</t>
        </is>
      </c>
      <c r="B3" s="39" t="n">
        <v>29</v>
      </c>
    </row>
    <row r="4" hidden="1" s="41">
      <c r="A4" s="13" t="inlineStr">
        <is>
          <t>Topic</t>
        </is>
      </c>
      <c r="B4" s="40" t="inlineStr">
        <is>
          <t>Dawn raids — the inspection decision</t>
        </is>
      </c>
    </row>
    <row r="5" hidden="1" s="41">
      <c r="A5" s="13" t="inlineStr">
        <is>
          <t>Scope</t>
        </is>
      </c>
      <c r="B5" s="40" t="inlineStr">
        <is>
          <t>France</t>
        </is>
      </c>
    </row>
    <row r="6" hidden="1" s="41">
      <c r="A6" s="13" t="inlineStr">
        <is>
          <t>Original reviewer</t>
        </is>
      </c>
      <c r="B6" s="40" t="inlineStr">
        <is>
          <t>Jeanne</t>
        </is>
      </c>
    </row>
    <row r="7" hidden="1" s="41">
      <c r="A7" s="13" t="inlineStr">
        <is>
          <t>Original status</t>
        </is>
      </c>
      <c r="B7" s="40" t="inlineStr">
        <is>
          <t>Approved</t>
        </is>
      </c>
    </row>
    <row r="8">
      <c r="A8" s="13" t="inlineStr">
        <is>
          <t>Question</t>
        </is>
      </c>
      <c r="B8" s="40" t="inlineStr">
        <is>
          <t>How specific must a French dawn-raid authorisation be about the premises to be visited, the practices suspected, and the period covered? What has been held insufficient?</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Possible overlap with question 33.</t>
        </is>
      </c>
      <c r="C70" s="45" t="n"/>
      <c r="D70" s="45" t="n"/>
      <c r="E70" s="45" t="n"/>
      <c r="F70" s="45" t="n"/>
      <c r="G70" s="45" t="n"/>
      <c r="H70" s="46" t="n"/>
      <c r="I70" s="40" t="n"/>
      <c r="J70" s="40" t="n"/>
    </row>
    <row r="71" ht="54" customHeight="1" s="41">
      <c r="A71" s="28" t="inlineStr">
        <is>
          <t>Reviewer notes from question approval</t>
        </is>
      </c>
      <c r="B71" s="23" t="inlineStr">
        <is>
          <t xml:space="preserve">no overlap with question 33, we can keep the question. </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Q30 — Expert Review</t>
        </is>
      </c>
    </row>
    <row r="2" hidden="1" s="41">
      <c r="A2" s="44" t="inlineStr">
        <is>
          <t>Question metadata</t>
        </is>
      </c>
    </row>
    <row r="3" hidden="1" s="41">
      <c r="A3" s="13" t="inlineStr">
        <is>
          <t>Question ID</t>
        </is>
      </c>
      <c r="B3" s="39" t="n">
        <v>30</v>
      </c>
    </row>
    <row r="4" hidden="1" s="41">
      <c r="A4" s="13" t="inlineStr">
        <is>
          <t>Topic</t>
        </is>
      </c>
      <c r="B4" s="40" t="inlineStr">
        <is>
          <t>Dawn raids — obstruction and seals</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Carolina's note: let's use this question instead "Does the obstruction regime of Article 23(1) of Regulation 1/2003 — conceived for physical records and corporate email — still fit an environment of ephemeral, encrypted messaging on employees' personal devices? Where does the deletion of a WhatsApp or Signal message during or ahead of an inspection cross from ordinary personal housekeeping into a sanctionable procedural infringement, and how must intent and attribution be established when the device and the account belong to the individual rather than the undertaking?"</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J166"/>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Q31 — Expert Review</t>
        </is>
      </c>
    </row>
    <row r="2" hidden="1" s="41">
      <c r="A2" s="44" t="inlineStr">
        <is>
          <t>Question metadata</t>
        </is>
      </c>
    </row>
    <row r="3" hidden="1" s="41">
      <c r="A3" s="13" t="inlineStr">
        <is>
          <t>Question ID</t>
        </is>
      </c>
      <c r="B3" s="39" t="n">
        <v>31</v>
      </c>
    </row>
    <row r="4" hidden="1" s="41">
      <c r="A4" s="13" t="inlineStr">
        <is>
          <t>Topic</t>
        </is>
      </c>
      <c r="B4" s="40" t="inlineStr">
        <is>
          <t>Dawn raids — obstruction and seals</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To what extent may an undertaking be fined for the breaking of a seal in the absence of any fault or intent, and how is that reconciled with the presumption of innocence?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62008TJ0141.md</t>
        </is>
      </c>
      <c r="C14" s="23" t="inlineStr">
        <is>
          <t>Court Decision</t>
        </is>
      </c>
      <c r="D14" s="23" t="inlineStr">
        <is>
          <t>EU</t>
        </is>
      </c>
      <c r="E14" s="23" t="inlineStr">
        <is>
          <t>4cc62180-dfa2-4e99-8d8a-324189542e16</t>
        </is>
      </c>
      <c r="F14" s="23" t="n"/>
      <c r="G14" s="23" t="n"/>
      <c r="H14" s="23" t="inlineStr">
        <is>
          <t>Cited in answer: YES</t>
        </is>
      </c>
    </row>
    <row r="15">
      <c r="A15" s="23" t="n">
        <v>2</v>
      </c>
      <c r="B15" s="23" t="inlineStr">
        <is>
          <t>inspections-eu-law-2nd--3_chapter_1_-_inspections_upon_decision_regulation_1_2003_article_20_4.md</t>
        </is>
      </c>
      <c r="C15" s="23" t="inlineStr">
        <is>
          <t>Book (Livre)</t>
        </is>
      </c>
      <c r="D15" s="23" t="n"/>
      <c r="E15" s="23" t="inlineStr">
        <is>
          <t>d28b1d20-a2c6-425f-a401-498eab28d744</t>
        </is>
      </c>
      <c r="F15" s="23" t="n"/>
      <c r="G15" s="23" t="n"/>
      <c r="H15" s="23" t="inlineStr"/>
    </row>
    <row r="16">
      <c r="A16" s="23" t="n">
        <v>3</v>
      </c>
      <c r="B16" s="23" t="inlineStr">
        <is>
          <t>62011CJ0089.md</t>
        </is>
      </c>
      <c r="C16" s="23" t="inlineStr">
        <is>
          <t>Court Decision</t>
        </is>
      </c>
      <c r="D16" s="23" t="inlineStr">
        <is>
          <t>EU</t>
        </is>
      </c>
      <c r="E16" s="23" t="inlineStr">
        <is>
          <t>23628ecf-7ba6-463d-9416-c186b18e1fa6</t>
        </is>
      </c>
      <c r="F16" s="23" t="n"/>
      <c r="G16" s="23" t="n"/>
      <c r="H16" s="23" t="inlineStr">
        <is>
          <t>Cited in answer: YES</t>
        </is>
      </c>
    </row>
    <row r="17">
      <c r="A17" s="23" t="n">
        <v>4</v>
      </c>
      <c r="B17" s="23" t="inlineStr">
        <is>
          <t>competition-case-law-digest-5th--p10.md</t>
        </is>
      </c>
      <c r="C17" s="23" t="inlineStr">
        <is>
          <t>Book (Livre)</t>
        </is>
      </c>
      <c r="D17" s="23" t="n"/>
      <c r="E17" s="23" t="inlineStr">
        <is>
          <t>65e060cb-bdeb-413d-b4e8-b9ffe0ed3995</t>
        </is>
      </c>
      <c r="F17" s="23" t="n"/>
      <c r="G17" s="23" t="n"/>
      <c r="H17" s="23" t="inlineStr"/>
    </row>
    <row r="18">
      <c r="A18" s="23" t="n">
        <v>5</v>
      </c>
      <c r="B18" s="23" t="inlineStr">
        <is>
          <t>91494-3080-sanction-the-french-competition-authority-fines-a-company-for-breach-of-sea.md</t>
        </is>
      </c>
      <c r="C18" s="23" t="inlineStr">
        <is>
          <t>Bulletin article</t>
        </is>
      </c>
      <c r="D18" s="23" t="n"/>
      <c r="E18" s="23" t="inlineStr">
        <is>
          <t>71e5b841-6612-4ab1-b06c-ad0c3a576691</t>
        </is>
      </c>
      <c r="F18" s="23" t="n"/>
      <c r="G18" s="23" t="n"/>
      <c r="H18" s="23" t="inlineStr"/>
    </row>
    <row r="19">
      <c r="A19" s="23" t="n">
        <v>6</v>
      </c>
      <c r="B19" s="23" t="inlineStr">
        <is>
          <t>93706-0060-dawn-raids-advocate-general-kokott-calls-on-the-court-of-justice-to-uphold.md</t>
        </is>
      </c>
      <c r="C19" s="23" t="inlineStr">
        <is>
          <t>Bulletin article</t>
        </is>
      </c>
      <c r="D19" s="23" t="n"/>
      <c r="E19" s="23" t="inlineStr">
        <is>
          <t>42a1613c-b25b-476e-a3b4-e1cac9b5add2</t>
        </is>
      </c>
      <c r="F19" s="23" t="n"/>
      <c r="G19" s="23" t="n"/>
      <c r="H19" s="23" t="inlineStr"/>
    </row>
    <row r="20">
      <c r="A20" s="23" t="n">
        <v>7</v>
      </c>
      <c r="B20" s="23" t="inlineStr">
        <is>
          <t>eu-antitrust-enforcement--2_i_regulation_1_2003_an_assessment_after_twenty_years.md</t>
        </is>
      </c>
      <c r="C20" s="23" t="inlineStr">
        <is>
          <t>Article (Review)</t>
        </is>
      </c>
      <c r="D20" s="23" t="n"/>
      <c r="E20" s="23" t="inlineStr">
        <is>
          <t>55871bec-fbf6-4f9f-9931-66f8481120f2</t>
        </is>
      </c>
      <c r="F20" s="23" t="n"/>
      <c r="G20" s="23" t="n"/>
      <c r="H20" s="23" t="inlineStr"/>
    </row>
    <row r="21">
      <c r="A21" s="23" t="n">
        <v>8</v>
      </c>
      <c r="B21" s="23" t="inlineStr">
        <is>
          <t>131688-30-inspections-the-general-court-of-the-european-union-upholds-the-european-comm.md</t>
        </is>
      </c>
      <c r="C21" s="23" t="inlineStr">
        <is>
          <t>Bulletin article</t>
        </is>
      </c>
      <c r="D21" s="23" t="n"/>
      <c r="E21" s="23" t="inlineStr">
        <is>
          <t>7de191c9-0221-423b-b670-ef1e047a0196</t>
        </is>
      </c>
      <c r="F21" s="23" t="n"/>
      <c r="G21" s="23" t="n"/>
      <c r="H21" s="23" t="inlineStr"/>
    </row>
    <row r="22">
      <c r="A22" s="23" t="n">
        <v>9</v>
      </c>
      <c r="B22" s="23" t="inlineStr">
        <is>
          <t>62014TJ0475.md</t>
        </is>
      </c>
      <c r="C22" s="23" t="inlineStr">
        <is>
          <t>Court Decision</t>
        </is>
      </c>
      <c r="D22" s="23" t="inlineStr">
        <is>
          <t>EU</t>
        </is>
      </c>
      <c r="E22" s="23" t="inlineStr">
        <is>
          <t>cba40d0a-c143-4bc9-af97-af13ef20db3a</t>
        </is>
      </c>
      <c r="F22" s="23" t="n"/>
      <c r="G22" s="23" t="n"/>
      <c r="H22" s="23" t="inlineStr"/>
    </row>
    <row r="23" s="41">
      <c r="A23" s="40" t="n">
        <v>10</v>
      </c>
      <c r="B23" s="40" t="inlineStr">
        <is>
          <t>97110-2850-inspection-the-general-court-of-the-european-union-partially-annuls-decisio.md</t>
        </is>
      </c>
      <c r="C23" s="40" t="inlineStr">
        <is>
          <t>Bulletin article</t>
        </is>
      </c>
      <c r="D23" s="40" t="n"/>
      <c r="E23" s="40" t="inlineStr">
        <is>
          <t>0ff86075-a215-4bce-ac53-21a9aa21cd71</t>
        </is>
      </c>
      <c r="F23" s="40" t="n"/>
      <c r="G23" s="40" t="n"/>
      <c r="H23" s="40" t="inlineStr"/>
    </row>
    <row r="24" s="41">
      <c r="A24" s="52" t="n">
        <v>11</v>
      </c>
      <c r="B24" s="52" t="inlineStr">
        <is>
          <t>105103.md</t>
        </is>
      </c>
      <c r="C24" s="52" t="inlineStr">
        <is>
          <t>Bulletin article</t>
        </is>
      </c>
      <c r="D24" s="52" t="n"/>
      <c r="E24" s="52" t="inlineStr">
        <is>
          <t>f10e4cc4-d036-4949-b9be-86b79b54fa7d</t>
        </is>
      </c>
      <c r="F24" s="52" t="n"/>
      <c r="G24" s="52" t="n"/>
      <c r="H24" s="52" t="inlineStr"/>
    </row>
    <row r="25" s="41">
      <c r="A25" s="52" t="n">
        <v>12</v>
      </c>
      <c r="B25" s="52" t="inlineStr">
        <is>
          <t>50125.md</t>
        </is>
      </c>
      <c r="C25" s="52" t="inlineStr">
        <is>
          <t>Bulletin article</t>
        </is>
      </c>
      <c r="D25" s="52" t="n"/>
      <c r="E25" s="52" t="inlineStr">
        <is>
          <t>12c12f97-4ff1-460e-b3ec-87a432e3248d</t>
        </is>
      </c>
      <c r="F25" s="52" t="n"/>
      <c r="G25" s="52" t="n"/>
      <c r="H25" s="52" t="inlineStr">
        <is>
          <t>Cited in answer: YES</t>
        </is>
      </c>
    </row>
    <row r="26" s="41">
      <c r="A26" s="52" t="n">
        <v>13</v>
      </c>
      <c r="B26" s="52" t="inlineStr">
        <is>
          <t>128250-35-dawn-raids-the-general-court-of-the-european-union-partially-upholds-the-lega.md</t>
        </is>
      </c>
      <c r="C26" s="52" t="inlineStr">
        <is>
          <t>Bulletin article</t>
        </is>
      </c>
      <c r="D26" s="52" t="n"/>
      <c r="E26" s="52" t="inlineStr">
        <is>
          <t>e34c0e6d-2771-4073-8165-4a73eff42d4c</t>
        </is>
      </c>
      <c r="F26" s="52" t="n"/>
      <c r="G26" s="52" t="n"/>
      <c r="H26" s="52" t="inlineStr"/>
    </row>
    <row r="27" s="41">
      <c r="A27" s="52" t="n">
        <v>14</v>
      </c>
      <c r="B27" s="52" t="inlineStr">
        <is>
          <t>competition-case-law-digest-5th--p09.md</t>
        </is>
      </c>
      <c r="C27" s="52" t="inlineStr">
        <is>
          <t>Book (Livre)</t>
        </is>
      </c>
      <c r="D27" s="52" t="n"/>
      <c r="E27" s="52" t="inlineStr">
        <is>
          <t>2f0afdb0-43c8-41b3-99e2-c3003ab906c1</t>
        </is>
      </c>
      <c r="F27" s="52" t="n"/>
      <c r="G27" s="52" t="n"/>
      <c r="H27" s="52" t="inlineStr"/>
    </row>
    <row r="28" s="41">
      <c r="A28" s="52" t="n">
        <v>15</v>
      </c>
      <c r="B28" s="52" t="inlineStr">
        <is>
          <t>62017TJ0799.md</t>
        </is>
      </c>
      <c r="C28" s="52" t="inlineStr">
        <is>
          <t>Court Decision</t>
        </is>
      </c>
      <c r="D28" s="52" t="inlineStr">
        <is>
          <t>EU</t>
        </is>
      </c>
      <c r="E28" s="52" t="inlineStr">
        <is>
          <t>0e2b9d12-e2ef-4e5a-a4ff-3e040d05d2e9</t>
        </is>
      </c>
      <c r="F28" s="52" t="n"/>
      <c r="G28" s="52" t="n"/>
      <c r="H28" s="52" t="inlineStr"/>
    </row>
    <row r="29" s="41">
      <c r="A29" s="52" t="n">
        <v>16</v>
      </c>
      <c r="B29" s="52" t="inlineStr">
        <is>
          <t>91835.md</t>
        </is>
      </c>
      <c r="C29" s="52" t="inlineStr">
        <is>
          <t>Article (Review)</t>
        </is>
      </c>
      <c r="D29" s="52" t="n"/>
      <c r="E29" s="52" t="inlineStr">
        <is>
          <t>f6ec0179-d152-4059-9a3f-81d669d422b0</t>
        </is>
      </c>
      <c r="F29" s="52" t="n"/>
      <c r="G29" s="52" t="n"/>
      <c r="H29" s="52" t="inlineStr"/>
    </row>
    <row r="30" s="41">
      <c r="A30" s="52" t="n">
        <v>17</v>
      </c>
      <c r="B30" s="52" t="inlineStr">
        <is>
          <t>62017TJ0249.md</t>
        </is>
      </c>
      <c r="C30" s="52" t="inlineStr">
        <is>
          <t>Court Decision</t>
        </is>
      </c>
      <c r="D30" s="52" t="inlineStr">
        <is>
          <t>EU</t>
        </is>
      </c>
      <c r="E30" s="52" t="inlineStr">
        <is>
          <t>dbf7bda8-39fa-4eb5-a6e2-f02b0787cb54</t>
        </is>
      </c>
      <c r="F30" s="52" t="n"/>
      <c r="G30" s="52" t="n"/>
      <c r="H30" s="52" t="inlineStr"/>
    </row>
    <row r="31" s="41">
      <c r="A31" s="52" t="n">
        <v>18</v>
      </c>
      <c r="B31" s="52" t="inlineStr">
        <is>
          <t>judicial-review-competition-cases--7_european_union_-_are_there_any_limits_to_unlimited_jurisdiction_judicial_review_of_commission_discretion_in_setting_fines_for_breaches_of_eu_competition_rules.md</t>
        </is>
      </c>
      <c r="C31" s="52" t="inlineStr">
        <is>
          <t>Article (Review)</t>
        </is>
      </c>
      <c r="D31" s="52" t="n"/>
      <c r="E31" s="52" t="inlineStr">
        <is>
          <t>db161723-dcab-4880-a411-5ede0c406c3a</t>
        </is>
      </c>
      <c r="F31" s="52" t="n"/>
      <c r="G31" s="52" t="n"/>
      <c r="H31" s="52" t="inlineStr"/>
    </row>
    <row r="32" s="41">
      <c r="A32" s="52" t="n">
        <v>19</v>
      </c>
      <c r="B32" s="52" t="inlineStr">
        <is>
          <t>62014CC0155.md</t>
        </is>
      </c>
      <c r="C32" s="52" t="inlineStr">
        <is>
          <t>Bulletin article</t>
        </is>
      </c>
      <c r="D32" s="52" t="inlineStr">
        <is>
          <t>EU</t>
        </is>
      </c>
      <c r="E32" s="52" t="inlineStr">
        <is>
          <t>91bac28d-160b-44ac-8548-a0266f43bdd3</t>
        </is>
      </c>
      <c r="F32" s="52" t="n"/>
      <c r="G32" s="52" t="n"/>
      <c r="H32" s="52" t="inlineStr"/>
    </row>
    <row r="33" s="41">
      <c r="A33" s="52" t="n">
        <v>20</v>
      </c>
      <c r="B33" s="52" t="inlineStr">
        <is>
          <t>57935-361-decisions-adopted-during-an-inspection-the-general-court-reminds-the-commiss.md</t>
        </is>
      </c>
      <c r="C33" s="52" t="inlineStr">
        <is>
          <t>Bulletin article</t>
        </is>
      </c>
      <c r="D33" s="52" t="n"/>
      <c r="E33" s="52" t="inlineStr">
        <is>
          <t>882aa354-e6cf-464a-b1e2-9486b1cca48f</t>
        </is>
      </c>
      <c r="F33" s="52" t="n"/>
      <c r="G33" s="52" t="n"/>
      <c r="H33" s="52" t="inlineStr"/>
    </row>
    <row r="34" s="41">
      <c r="A34" s="52" t="n">
        <v>21</v>
      </c>
      <c r="B34" s="52" t="inlineStr">
        <is>
          <t>50285.md</t>
        </is>
      </c>
      <c r="C34" s="52" t="inlineStr">
        <is>
          <t>Bulletin article</t>
        </is>
      </c>
      <c r="D34" s="52" t="n"/>
      <c r="E34" s="52" t="inlineStr">
        <is>
          <t>f17418b6-489e-4049-92f0-b9ce2b58968f</t>
        </is>
      </c>
      <c r="F34" s="52" t="n"/>
      <c r="G34" s="52" t="n"/>
      <c r="H34" s="52" t="inlineStr"/>
    </row>
    <row r="35" s="41">
      <c r="A35" s="52" t="n">
        <v>22</v>
      </c>
      <c r="B35" s="52" t="inlineStr">
        <is>
          <t>127186-20-inspection-the-general-court-of-the-european-union-considers-that-the-commiss.md</t>
        </is>
      </c>
      <c r="C35" s="52" t="inlineStr">
        <is>
          <t>Bulletin article</t>
        </is>
      </c>
      <c r="D35" s="52" t="n"/>
      <c r="E35" s="52" t="inlineStr">
        <is>
          <t>329bd68b-1104-4f5c-b636-e9925175dbc6</t>
        </is>
      </c>
      <c r="F35" s="52" t="n"/>
      <c r="G35" s="52" t="n"/>
      <c r="H35" s="52" t="inlineStr"/>
    </row>
    <row r="36" s="41">
      <c r="A36" s="52" t="n">
        <v>23</v>
      </c>
      <c r="B36" s="52" t="inlineStr">
        <is>
          <t>62014CC0373.md</t>
        </is>
      </c>
      <c r="C36" s="52" t="inlineStr">
        <is>
          <t>Bulletin article</t>
        </is>
      </c>
      <c r="D36" s="52" t="inlineStr">
        <is>
          <t>EU</t>
        </is>
      </c>
      <c r="E36" s="52" t="inlineStr">
        <is>
          <t>4a4b14bb-85ff-4118-89e5-bbe883bbbf6f</t>
        </is>
      </c>
      <c r="F36" s="52" t="n"/>
      <c r="G36" s="52" t="n"/>
      <c r="H36" s="52" t="inlineStr"/>
    </row>
    <row r="37" s="41">
      <c r="A37" s="52" t="n">
        <v>24</v>
      </c>
      <c r="B37" s="52" t="inlineStr">
        <is>
          <t>62023CJ0031.md</t>
        </is>
      </c>
      <c r="C37" s="52" t="inlineStr">
        <is>
          <t>Court Decision</t>
        </is>
      </c>
      <c r="D37" s="52" t="inlineStr">
        <is>
          <t>EU</t>
        </is>
      </c>
      <c r="E37" s="52" t="inlineStr">
        <is>
          <t>27a00cb7-0235-44dc-96ab-a0b2dc338ae2</t>
        </is>
      </c>
      <c r="F37" s="52" t="n"/>
      <c r="G37" s="52" t="n"/>
      <c r="H37" s="52" t="inlineStr"/>
    </row>
    <row r="38" s="41">
      <c r="A38" s="52" t="n">
        <v>25</v>
      </c>
      <c r="B38" s="52" t="inlineStr">
        <is>
          <t>competition-case-law-digest-5th--p03.md</t>
        </is>
      </c>
      <c r="C38" s="52" t="inlineStr">
        <is>
          <t>Book (Livre)</t>
        </is>
      </c>
      <c r="D38" s="52" t="n"/>
      <c r="E38" s="52" t="inlineStr">
        <is>
          <t>7f6e4945-ae8e-4226-a870-8594977f3130</t>
        </is>
      </c>
      <c r="F38" s="52" t="n"/>
      <c r="G38" s="52" t="n"/>
      <c r="H38" s="52" t="inlineStr"/>
    </row>
    <row r="39" s="41">
      <c r="A39" s="52" t="n">
        <v>26</v>
      </c>
      <c r="B39" s="52" t="inlineStr">
        <is>
          <t>54659.md</t>
        </is>
      </c>
      <c r="C39" s="52" t="inlineStr">
        <is>
          <t>Bulletin article</t>
        </is>
      </c>
      <c r="D39" s="52" t="n"/>
      <c r="E39" s="52" t="inlineStr">
        <is>
          <t>375b8d61-6e36-4a94-a867-bb58342c68ac</t>
        </is>
      </c>
      <c r="F39" s="52" t="n"/>
      <c r="G39" s="52" t="n"/>
      <c r="H39" s="52" t="inlineStr">
        <is>
          <t>Cited in answer: YES</t>
        </is>
      </c>
    </row>
    <row r="40" s="41">
      <c r="A40" s="52" t="n">
        <v>27</v>
      </c>
      <c r="B40" s="52" t="inlineStr">
        <is>
          <t>competition-case-law-digest-5th--p18.md</t>
        </is>
      </c>
      <c r="C40" s="52" t="inlineStr">
        <is>
          <t>Book (Livre)</t>
        </is>
      </c>
      <c r="D40" s="52" t="n"/>
      <c r="E40" s="52" t="inlineStr">
        <is>
          <t>809791e0-9f7f-4654-a1cb-08568b608c2d</t>
        </is>
      </c>
      <c r="F40" s="52" t="n"/>
      <c r="G40" s="52" t="n"/>
      <c r="H40" s="52" t="inlineStr"/>
    </row>
    <row r="41" s="41">
      <c r="A41" s="52" t="n">
        <v>28</v>
      </c>
      <c r="B41" s="52" t="inlineStr">
        <is>
          <t>62018CJ0601.md</t>
        </is>
      </c>
      <c r="C41" s="52" t="inlineStr">
        <is>
          <t>Court Decision</t>
        </is>
      </c>
      <c r="D41" s="52" t="inlineStr">
        <is>
          <t>EU</t>
        </is>
      </c>
      <c r="E41" s="52" t="inlineStr">
        <is>
          <t>d94571df-d56d-45c1-a02e-834714984963</t>
        </is>
      </c>
      <c r="F41" s="52" t="n"/>
      <c r="G41" s="52" t="n"/>
      <c r="H41" s="52" t="inlineStr"/>
    </row>
    <row r="42" s="41">
      <c r="A42" s="52" t="n">
        <v>29</v>
      </c>
      <c r="B42" s="52" t="inlineStr">
        <is>
          <t>125471-20-dawn-raids-the-general-court-upholds-the-european-commissions-overall-assessm.md</t>
        </is>
      </c>
      <c r="C42" s="52" t="inlineStr">
        <is>
          <t>Bulletin article</t>
        </is>
      </c>
      <c r="D42" s="52" t="n"/>
      <c r="E42" s="52" t="inlineStr">
        <is>
          <t>e97ed81a-60ca-4112-9207-21a8613078bd</t>
        </is>
      </c>
      <c r="F42" s="52" t="n"/>
      <c r="G42" s="52" t="n"/>
      <c r="H42" s="52" t="inlineStr"/>
    </row>
    <row r="43" s="41">
      <c r="A43" s="52" t="n">
        <v>30</v>
      </c>
      <c r="B43" s="52" t="inlineStr">
        <is>
          <t>62011TJ0289.md</t>
        </is>
      </c>
      <c r="C43" s="52" t="inlineStr">
        <is>
          <t>Court Decision</t>
        </is>
      </c>
      <c r="D43" s="52" t="inlineStr">
        <is>
          <t>EU</t>
        </is>
      </c>
      <c r="E43" s="52" t="inlineStr">
        <is>
          <t>7ecb1eda-828c-4ed1-831c-9ba3cd309425</t>
        </is>
      </c>
      <c r="F43" s="52" t="n"/>
      <c r="G43" s="52" t="n"/>
      <c r="H43" s="52" t="inlineStr"/>
    </row>
    <row r="44" s="41">
      <c r="A44" s="52" t="n">
        <v>31</v>
      </c>
      <c r="B44" s="52" t="inlineStr">
        <is>
          <t>62020CJ0693.md</t>
        </is>
      </c>
      <c r="C44" s="52" t="inlineStr">
        <is>
          <t>Court Decision</t>
        </is>
      </c>
      <c r="D44" s="52" t="inlineStr">
        <is>
          <t>EU</t>
        </is>
      </c>
      <c r="E44" s="52" t="inlineStr">
        <is>
          <t>74ccf3f4-5d27-4c74-9208-62829cc5bcf1</t>
        </is>
      </c>
      <c r="F44" s="52" t="n"/>
      <c r="G44" s="52" t="n"/>
      <c r="H44" s="52" t="inlineStr"/>
    </row>
    <row r="45" s="41">
      <c r="A45" s="52" t="n">
        <v>32</v>
      </c>
      <c r="B45" s="52" t="inlineStr">
        <is>
          <t>62014TJ0691.md</t>
        </is>
      </c>
      <c r="C45" s="52" t="inlineStr">
        <is>
          <t>Court Decision</t>
        </is>
      </c>
      <c r="D45" s="52" t="inlineStr">
        <is>
          <t>EU</t>
        </is>
      </c>
      <c r="E45" s="52" t="inlineStr">
        <is>
          <t>29822ba5-b389-4ac8-b2c3-e877ae057dae</t>
        </is>
      </c>
      <c r="F45" s="52" t="n"/>
      <c r="G45" s="52" t="n"/>
      <c r="H45" s="52" t="inlineStr"/>
    </row>
    <row r="46" s="41">
      <c r="A46" s="52" t="n">
        <v>33</v>
      </c>
      <c r="B46" s="52" t="inlineStr">
        <is>
          <t>121144.md</t>
        </is>
      </c>
      <c r="C46" s="52" t="inlineStr">
        <is>
          <t>Bulletin article</t>
        </is>
      </c>
      <c r="D46" s="52" t="n"/>
      <c r="E46" s="52" t="inlineStr">
        <is>
          <t>9f96a5ff-2537-45cd-a34f-b0f82767f132</t>
        </is>
      </c>
      <c r="F46" s="52" t="n"/>
      <c r="G46" s="52" t="n"/>
      <c r="H46" s="52" t="inlineStr"/>
    </row>
    <row r="47" s="41">
      <c r="A47" s="52" t="n">
        <v>34</v>
      </c>
      <c r="B47" s="52" t="inlineStr">
        <is>
          <t>62018CC0606.md</t>
        </is>
      </c>
      <c r="C47" s="52" t="inlineStr">
        <is>
          <t>Article (Review)</t>
        </is>
      </c>
      <c r="D47" s="52" t="inlineStr">
        <is>
          <t>EU</t>
        </is>
      </c>
      <c r="E47" s="52" t="inlineStr">
        <is>
          <t>0655b4ec-4821-4b46-91b6-b6ddaebd8d5d</t>
        </is>
      </c>
      <c r="F47" s="52" t="n"/>
      <c r="G47" s="52" t="n"/>
      <c r="H47" s="52" t="inlineStr"/>
    </row>
    <row r="48" s="41">
      <c r="A48" s="52" t="n">
        <v>35</v>
      </c>
      <c r="B48" s="52" t="inlineStr">
        <is>
          <t>62012TJ0272.md</t>
        </is>
      </c>
      <c r="C48" s="52" t="inlineStr">
        <is>
          <t>Court Decision</t>
        </is>
      </c>
      <c r="D48" s="52" t="inlineStr">
        <is>
          <t>EU</t>
        </is>
      </c>
      <c r="E48" s="52" t="inlineStr">
        <is>
          <t>5955aed3-ab0f-4414-a06a-9abbbc834dab</t>
        </is>
      </c>
      <c r="F48" s="52" t="n"/>
      <c r="G48" s="52" t="n"/>
      <c r="H48" s="52" t="inlineStr"/>
    </row>
    <row r="49" s="41">
      <c r="A49" s="52" t="n">
        <v>36</v>
      </c>
      <c r="B49" s="52" t="inlineStr">
        <is>
          <t>96586.md</t>
        </is>
      </c>
      <c r="C49" s="52" t="inlineStr">
        <is>
          <t>Article (Review)</t>
        </is>
      </c>
      <c r="D49" s="52" t="n"/>
      <c r="E49" s="52" t="inlineStr">
        <is>
          <t>4cb5c154-4d3a-46c3-8bca-8f09c7e6c562</t>
        </is>
      </c>
      <c r="F49" s="52" t="n"/>
      <c r="G49" s="52" t="n"/>
      <c r="H49" s="52" t="inlineStr"/>
    </row>
    <row r="50" s="41">
      <c r="A50" s="52" t="n">
        <v>37</v>
      </c>
      <c r="B50" s="52" t="inlineStr">
        <is>
          <t>62020CC0377.md</t>
        </is>
      </c>
      <c r="C50" s="52" t="inlineStr">
        <is>
          <t>Bulletin article</t>
        </is>
      </c>
      <c r="D50" s="52" t="inlineStr">
        <is>
          <t>EU</t>
        </is>
      </c>
      <c r="E50" s="52" t="inlineStr">
        <is>
          <t>0be6fa29-444a-4309-9fcb-db98a194eb98</t>
        </is>
      </c>
      <c r="F50" s="52" t="n"/>
      <c r="G50" s="52" t="n"/>
      <c r="H50" s="52" t="inlineStr"/>
    </row>
    <row r="51" s="41">
      <c r="A51" s="52" t="n">
        <v>38</v>
      </c>
      <c r="B51" s="52" t="inlineStr">
        <is>
          <t>62010TJ0027.md</t>
        </is>
      </c>
      <c r="C51" s="52" t="inlineStr">
        <is>
          <t>Court Decision</t>
        </is>
      </c>
      <c r="D51" s="52" t="inlineStr">
        <is>
          <t>EU</t>
        </is>
      </c>
      <c r="E51" s="52" t="inlineStr">
        <is>
          <t>bc02167d-8c4b-4b56-831c-f9c775215394</t>
        </is>
      </c>
      <c r="F51" s="52" t="n"/>
      <c r="G51" s="52" t="n"/>
      <c r="H51" s="52" t="inlineStr"/>
    </row>
    <row r="52" s="41">
      <c r="A52" s="52" t="n">
        <v>39</v>
      </c>
      <c r="B52" s="52" t="inlineStr">
        <is>
          <t>62019CC0883.md</t>
        </is>
      </c>
      <c r="C52" s="52" t="inlineStr">
        <is>
          <t>Court Decision</t>
        </is>
      </c>
      <c r="D52" s="52" t="inlineStr">
        <is>
          <t>EU</t>
        </is>
      </c>
      <c r="E52" s="52" t="inlineStr">
        <is>
          <t>d0b07834-6630-4196-a01e-66dbde751361</t>
        </is>
      </c>
      <c r="F52" s="52" t="n"/>
      <c r="G52" s="52" t="n"/>
      <c r="H52" s="52" t="inlineStr"/>
    </row>
    <row r="53" s="41">
      <c r="A53" s="52" t="n">
        <v>40</v>
      </c>
      <c r="B53" s="52" t="inlineStr">
        <is>
          <t>87921.md</t>
        </is>
      </c>
      <c r="C53" s="52" t="inlineStr">
        <is>
          <t>Article (Review)</t>
        </is>
      </c>
      <c r="D53" s="52" t="n"/>
      <c r="E53" s="52" t="inlineStr">
        <is>
          <t>0e8b0115-34a2-49dd-adf0-d5c7fd213d2b</t>
        </is>
      </c>
      <c r="F53" s="52" t="n"/>
      <c r="G53" s="52" t="n"/>
      <c r="H53" s="52" t="inlineStr"/>
    </row>
    <row r="54" s="41">
      <c r="A54" s="52" t="n">
        <v>41</v>
      </c>
      <c r="B54" s="52" t="inlineStr">
        <is>
          <t>62009TJ0286(01).md</t>
        </is>
      </c>
      <c r="C54" s="52" t="inlineStr">
        <is>
          <t>Court Decision</t>
        </is>
      </c>
      <c r="D54" s="52" t="inlineStr">
        <is>
          <t>EU</t>
        </is>
      </c>
      <c r="E54" s="52" t="inlineStr">
        <is>
          <t>74962cec-aae6-4e27-be02-e1330bbc7016</t>
        </is>
      </c>
      <c r="F54" s="52" t="n"/>
      <c r="G54" s="52" t="n"/>
      <c r="H54" s="52" t="inlineStr"/>
    </row>
    <row r="55" s="41">
      <c r="A55" s="52" t="n">
        <v>42</v>
      </c>
      <c r="B55" s="52" t="inlineStr">
        <is>
          <t>127929-the-eu-general-court-upholds-the-commissions-inspection-methodology-based-on-pub.md</t>
        </is>
      </c>
      <c r="C55" s="52" t="inlineStr">
        <is>
          <t>Bulletin article</t>
        </is>
      </c>
      <c r="D55" s="52" t="n"/>
      <c r="E55" s="52" t="inlineStr">
        <is>
          <t>af2e8c94-00c3-40d4-8e35-233542ca536d</t>
        </is>
      </c>
      <c r="F55" s="52" t="n"/>
      <c r="G55" s="52" t="n"/>
      <c r="H55" s="52" t="inlineStr"/>
    </row>
    <row r="56" s="41">
      <c r="A56" s="52" t="n">
        <v>43</v>
      </c>
      <c r="B56" s="52" t="inlineStr">
        <is>
          <t>62013CJ0093.md</t>
        </is>
      </c>
      <c r="C56" s="52" t="inlineStr">
        <is>
          <t>Court Decision</t>
        </is>
      </c>
      <c r="D56" s="52" t="inlineStr">
        <is>
          <t>EU</t>
        </is>
      </c>
      <c r="E56" s="52" t="inlineStr">
        <is>
          <t>c5743b22-59b0-4e9b-81eb-65a38ee24ded</t>
        </is>
      </c>
      <c r="F56" s="52" t="n"/>
      <c r="G56" s="52" t="n"/>
      <c r="H56" s="52" t="inlineStr"/>
    </row>
    <row r="57" s="41">
      <c r="A57" s="52" t="n">
        <v>44</v>
      </c>
      <c r="B57" s="52" t="inlineStr">
        <is>
          <t>antitrust-digital-economy--p02.md</t>
        </is>
      </c>
      <c r="C57" s="52" t="inlineStr">
        <is>
          <t>Book (Livre)</t>
        </is>
      </c>
      <c r="D57" s="52" t="n"/>
      <c r="E57" s="52" t="inlineStr">
        <is>
          <t>34eb60b4-07b4-42bc-a415-26d07058256e</t>
        </is>
      </c>
      <c r="F57" s="52" t="n"/>
      <c r="G57" s="52" t="n"/>
      <c r="H57" s="52" t="inlineStr"/>
    </row>
    <row r="58" s="41">
      <c r="A58" s="52" t="n">
        <v>45</v>
      </c>
      <c r="B58" s="52" t="inlineStr">
        <is>
          <t>79963.md</t>
        </is>
      </c>
      <c r="C58" s="52" t="inlineStr">
        <is>
          <t>Article (Review)</t>
        </is>
      </c>
      <c r="D58" s="52" t="n"/>
      <c r="E58" s="52" t="inlineStr">
        <is>
          <t>b0c5f913-948d-4dcc-9ea4-98f6136ca5a7</t>
        </is>
      </c>
      <c r="F58" s="52" t="n"/>
      <c r="G58" s="52" t="n"/>
      <c r="H58" s="52" t="inlineStr"/>
    </row>
    <row r="59" s="41">
      <c r="A59" s="52" t="n">
        <v>46</v>
      </c>
      <c r="B59" s="52" t="inlineStr">
        <is>
          <t>competition-case-law-digest-5th--p11.md</t>
        </is>
      </c>
      <c r="C59" s="52" t="inlineStr">
        <is>
          <t>Book (Livre)</t>
        </is>
      </c>
      <c r="D59" s="52" t="n"/>
      <c r="E59" s="52" t="inlineStr">
        <is>
          <t>40351206-cbf5-40d8-a127-173a24162f6e</t>
        </is>
      </c>
      <c r="F59" s="52" t="n"/>
      <c r="G59" s="52" t="n"/>
      <c r="H59" s="52" t="inlineStr"/>
    </row>
    <row r="60" s="41">
      <c r="A60" s="52" t="n">
        <v>47</v>
      </c>
      <c r="B60" s="52" t="inlineStr">
        <is>
          <t>62014TJ0682.md</t>
        </is>
      </c>
      <c r="C60" s="52" t="inlineStr">
        <is>
          <t>Court Decision</t>
        </is>
      </c>
      <c r="D60" s="52" t="inlineStr">
        <is>
          <t>EU</t>
        </is>
      </c>
      <c r="E60" s="52" t="inlineStr">
        <is>
          <t>379ce84c-817a-4c5d-ab28-068e642c5c00</t>
        </is>
      </c>
      <c r="F60" s="52" t="n"/>
      <c r="G60" s="52" t="n"/>
      <c r="H60" s="52" t="inlineStr"/>
    </row>
    <row r="61" s="41">
      <c r="A61" s="52" t="n">
        <v>48</v>
      </c>
      <c r="B61" s="52" t="inlineStr">
        <is>
          <t>62018CJ0606.md</t>
        </is>
      </c>
      <c r="C61" s="52" t="inlineStr">
        <is>
          <t>Court Decision</t>
        </is>
      </c>
      <c r="D61" s="52" t="inlineStr">
        <is>
          <t>EU</t>
        </is>
      </c>
      <c r="E61" s="52" t="inlineStr">
        <is>
          <t>2d074327-045b-484e-8bbc-1a0f9c7ed660</t>
        </is>
      </c>
      <c r="F61" s="52" t="n"/>
      <c r="G61" s="52" t="n"/>
      <c r="H61" s="52" t="inlineStr"/>
    </row>
    <row r="62" s="41">
      <c r="A62" s="52" t="n">
        <v>49</v>
      </c>
      <c r="B62" s="52" t="inlineStr">
        <is>
          <t>95849-3360-inspections-the-court-of-justice-of-the-european-union-gives-the-commission.md</t>
        </is>
      </c>
      <c r="C62" s="52" t="inlineStr">
        <is>
          <t>Bulletin article</t>
        </is>
      </c>
      <c r="D62" s="52" t="n"/>
      <c r="E62" s="52" t="inlineStr">
        <is>
          <t>afe07022-9e8e-4270-a8d4-2c0aaa70652f</t>
        </is>
      </c>
      <c r="F62" s="52" t="n"/>
      <c r="G62" s="52" t="n"/>
      <c r="H62" s="52" t="inlineStr"/>
    </row>
    <row r="63" s="41">
      <c r="A63" s="52" t="n">
        <v>50</v>
      </c>
      <c r="B63" s="52" t="inlineStr">
        <is>
          <t>inspections-eu-law-2nd--4_chapter_2_-_inspections_upon_authorisation_regulation_1_2003_article_20_3.md</t>
        </is>
      </c>
      <c r="C63" s="52" t="inlineStr">
        <is>
          <t>Book (Livre)</t>
        </is>
      </c>
      <c r="D63" s="52" t="n"/>
      <c r="E63" s="52" t="inlineStr">
        <is>
          <t>303ee9d6-4f67-4e00-a80a-195318e324af</t>
        </is>
      </c>
      <c r="F63" s="52" t="n"/>
      <c r="G63" s="52" t="n"/>
      <c r="H63" s="52" t="inlineStr"/>
    </row>
    <row r="64" s="41">
      <c r="A64" s="52" t="n">
        <v>51</v>
      </c>
      <c r="B64" s="52" t="inlineStr">
        <is>
          <t>62014TJ0449.md</t>
        </is>
      </c>
      <c r="C64" s="52" t="inlineStr">
        <is>
          <t>Court Decision</t>
        </is>
      </c>
      <c r="D64" s="52" t="inlineStr">
        <is>
          <t>EU</t>
        </is>
      </c>
      <c r="E64" s="52" t="inlineStr">
        <is>
          <t>2f594756-bc0a-4332-829f-e65319b3211c</t>
        </is>
      </c>
      <c r="F64" s="52" t="n"/>
      <c r="G64" s="52" t="n"/>
      <c r="H64" s="52" t="inlineStr"/>
    </row>
    <row r="65" s="41">
      <c r="A65" s="52" t="n">
        <v>52</v>
      </c>
      <c r="B65" s="52" t="inlineStr">
        <is>
          <t>62019CJ0440.md</t>
        </is>
      </c>
      <c r="C65" s="52" t="inlineStr">
        <is>
          <t>Court Decision</t>
        </is>
      </c>
      <c r="D65" s="52" t="inlineStr">
        <is>
          <t>EU</t>
        </is>
      </c>
      <c r="E65" s="52" t="inlineStr">
        <is>
          <t>6b42430f-5188-454f-b88c-1b61c887e740</t>
        </is>
      </c>
      <c r="F65" s="52" t="n"/>
      <c r="G65" s="52" t="n"/>
      <c r="H65" s="52" t="inlineStr"/>
    </row>
    <row r="66" s="41">
      <c r="A66" s="52" t="n">
        <v>53</v>
      </c>
      <c r="B66" s="52" t="inlineStr">
        <is>
          <t>62012CJ0238.md</t>
        </is>
      </c>
      <c r="C66" s="52" t="inlineStr">
        <is>
          <t>Court Decision</t>
        </is>
      </c>
      <c r="D66" s="52" t="inlineStr">
        <is>
          <t>EU</t>
        </is>
      </c>
      <c r="E66" s="52" t="inlineStr">
        <is>
          <t>d3c3e52b-5c1a-4b38-9789-9389e1db12d6</t>
        </is>
      </c>
      <c r="F66" s="52" t="n"/>
      <c r="G66" s="52" t="n"/>
      <c r="H66" s="52" t="inlineStr"/>
    </row>
    <row r="67" s="41">
      <c r="A67" s="52" t="n">
        <v>54</v>
      </c>
      <c r="B67" s="52" t="inlineStr">
        <is>
          <t>62016TJ0433.md</t>
        </is>
      </c>
      <c r="C67" s="52" t="inlineStr">
        <is>
          <t>Court Decision</t>
        </is>
      </c>
      <c r="D67" s="52" t="inlineStr">
        <is>
          <t>EU</t>
        </is>
      </c>
      <c r="E67" s="52" t="inlineStr">
        <is>
          <t>cb3d4ba1-924b-4a42-b093-a16cdb3cbc40</t>
        </is>
      </c>
      <c r="F67" s="52" t="n"/>
      <c r="G67" s="52" t="n"/>
      <c r="H67" s="52" t="inlineStr"/>
    </row>
    <row r="68" s="41">
      <c r="A68" s="52" t="n">
        <v>55</v>
      </c>
      <c r="B68" s="52" t="inlineStr">
        <is>
          <t>62019CJ0164.md</t>
        </is>
      </c>
      <c r="C68" s="52" t="inlineStr">
        <is>
          <t>Court Decision</t>
        </is>
      </c>
      <c r="D68" s="52" t="inlineStr">
        <is>
          <t>EU</t>
        </is>
      </c>
      <c r="E68" s="52" t="inlineStr">
        <is>
          <t>3872faf4-4481-4304-9c4c-5817225f5556</t>
        </is>
      </c>
      <c r="F68" s="52" t="n"/>
      <c r="G68" s="52" t="n"/>
      <c r="H68" s="52" t="inlineStr"/>
    </row>
    <row r="69" s="41">
      <c r="A69" s="52" t="n">
        <v>56</v>
      </c>
      <c r="B69" s="52" t="inlineStr">
        <is>
          <t>62019CC0440.md</t>
        </is>
      </c>
      <c r="C69" s="52" t="inlineStr">
        <is>
          <t>Article (Review)</t>
        </is>
      </c>
      <c r="D69" s="52" t="inlineStr">
        <is>
          <t>EU</t>
        </is>
      </c>
      <c r="E69" s="52" t="inlineStr">
        <is>
          <t>94d57b7e-923e-4001-a6dc-7beb60464156</t>
        </is>
      </c>
      <c r="F69" s="52" t="n"/>
      <c r="G69" s="52" t="n"/>
      <c r="H69" s="52" t="inlineStr"/>
    </row>
    <row r="70" s="41">
      <c r="A70" s="52" t="n">
        <v>57</v>
      </c>
      <c r="B70" s="52" t="inlineStr">
        <is>
          <t>62018TJ0425.md</t>
        </is>
      </c>
      <c r="C70" s="52" t="inlineStr">
        <is>
          <t>Court Decision</t>
        </is>
      </c>
      <c r="D70" s="52" t="inlineStr">
        <is>
          <t>EU</t>
        </is>
      </c>
      <c r="E70" s="52" t="inlineStr">
        <is>
          <t>840826ce-05c9-4b6c-a758-4d8e43087d6d</t>
        </is>
      </c>
      <c r="F70" s="52" t="n"/>
      <c r="G70" s="52" t="n"/>
      <c r="H70" s="52" t="inlineStr"/>
    </row>
    <row r="71" s="41">
      <c r="A71" s="52" t="n">
        <v>58</v>
      </c>
      <c r="B71" s="52" t="inlineStr">
        <is>
          <t>62019CJ0166.md</t>
        </is>
      </c>
      <c r="C71" s="52" t="inlineStr">
        <is>
          <t>Court Decision</t>
        </is>
      </c>
      <c r="D71" s="52" t="inlineStr">
        <is>
          <t>EU</t>
        </is>
      </c>
      <c r="E71" s="52" t="inlineStr">
        <is>
          <t>7db4e755-cdb4-431e-a261-3651dc96db83</t>
        </is>
      </c>
      <c r="F71" s="52" t="n"/>
      <c r="G71" s="52" t="n"/>
      <c r="H71" s="52" t="inlineStr"/>
    </row>
    <row r="72" s="41">
      <c r="A72" s="52" t="n">
        <v>59</v>
      </c>
      <c r="B72" s="52" t="inlineStr">
        <is>
          <t>62022TJ0084.md</t>
        </is>
      </c>
      <c r="C72" s="52" t="inlineStr">
        <is>
          <t>Court Decision</t>
        </is>
      </c>
      <c r="D72" s="52" t="inlineStr">
        <is>
          <t>EU</t>
        </is>
      </c>
      <c r="E72" s="52" t="inlineStr">
        <is>
          <t>dddb0eaf-bfa6-45a0-87f7-59ef954decf0</t>
        </is>
      </c>
      <c r="F72" s="52" t="n"/>
      <c r="G72" s="52" t="n"/>
      <c r="H72" s="52" t="inlineStr"/>
    </row>
    <row r="73" s="41">
      <c r="A73" s="52" t="n">
        <v>60</v>
      </c>
      <c r="B73" s="52" t="inlineStr">
        <is>
          <t>97568-3340-investigation-the-court-of-justice-of-the-european-union-recognizes-the-eur.md</t>
        </is>
      </c>
      <c r="C73" s="52" t="inlineStr">
        <is>
          <t>Bulletin article</t>
        </is>
      </c>
      <c r="D73" s="52" t="n"/>
      <c r="E73" s="52" t="inlineStr">
        <is>
          <t>0a9a6620-916c-4d26-8e97-e91a08871183</t>
        </is>
      </c>
      <c r="F73" s="52" t="n"/>
      <c r="G73" s="52" t="n"/>
      <c r="H73" s="52" t="inlineStr"/>
    </row>
    <row r="74" s="41">
      <c r="A74" s="52" t="n">
        <v>61</v>
      </c>
      <c r="B74" s="52" t="inlineStr">
        <is>
          <t>77256.md</t>
        </is>
      </c>
      <c r="C74" s="52" t="inlineStr">
        <is>
          <t>Bulletin article</t>
        </is>
      </c>
      <c r="D74" s="52" t="n"/>
      <c r="E74" s="52" t="inlineStr">
        <is>
          <t>c9e1ccc6-fb57-4f51-a309-ad5610b44ca4</t>
        </is>
      </c>
      <c r="F74" s="52" t="n"/>
      <c r="G74" s="52" t="n"/>
      <c r="H74" s="52" t="inlineStr"/>
    </row>
    <row r="75" s="41">
      <c r="A75" s="52" t="n">
        <v>62</v>
      </c>
      <c r="B75" s="52" t="inlineStr">
        <is>
          <t>96910-3420-dawn-raids-the-court-of-justice-of-the-european-union-confirms-the-power-of.md</t>
        </is>
      </c>
      <c r="C75" s="52" t="inlineStr">
        <is>
          <t>Bulletin article</t>
        </is>
      </c>
      <c r="D75" s="52" t="n"/>
      <c r="E75" s="52" t="inlineStr">
        <is>
          <t>a95ca40b-ceae-4436-8de6-a7a126b177e3</t>
        </is>
      </c>
      <c r="F75" s="52" t="n"/>
      <c r="G75" s="52" t="n"/>
      <c r="H75" s="52" t="inlineStr"/>
    </row>
    <row r="76" s="41">
      <c r="A76" s="52" t="n">
        <v>63</v>
      </c>
      <c r="B76" s="52" t="inlineStr">
        <is>
          <t>judicial-review-competition-cases--11_hong_kong_-_the_impact_of_fundamental_rights_on_judicial_review_in_hong_kong_competition_law.md</t>
        </is>
      </c>
      <c r="C76" s="52" t="inlineStr">
        <is>
          <t>Article (Review)</t>
        </is>
      </c>
      <c r="D76" s="52" t="n"/>
      <c r="E76" s="52" t="inlineStr">
        <is>
          <t>9553d170-0780-434d-ae17-4244a7a6174f</t>
        </is>
      </c>
      <c r="F76" s="52" t="n"/>
      <c r="G76" s="52" t="n"/>
      <c r="H76" s="52" t="inlineStr"/>
    </row>
    <row r="77" s="41">
      <c r="A77" s="52" t="n">
        <v>64</v>
      </c>
      <c r="B77" s="52" t="inlineStr">
        <is>
          <t>eu-antitrust-enforcement--11_x_fundamental_procedural_rights_and_effective_enforcement_of_articles_101_and_102_tfeu_in_the_european_competition_network.md</t>
        </is>
      </c>
      <c r="C77" s="52" t="inlineStr">
        <is>
          <t>Book (Livre)</t>
        </is>
      </c>
      <c r="D77" s="52" t="n"/>
      <c r="E77" s="52" t="inlineStr">
        <is>
          <t>44d971b2-9615-45f5-94c3-342633964481</t>
        </is>
      </c>
      <c r="F77" s="52" t="n"/>
      <c r="G77" s="52" t="n"/>
      <c r="H77" s="52" t="inlineStr"/>
    </row>
    <row r="78" s="41">
      <c r="A78" s="52" t="n">
        <v>65</v>
      </c>
      <c r="B78" s="52" t="inlineStr">
        <is>
          <t>62013CC0293.md</t>
        </is>
      </c>
      <c r="C78" s="52" t="inlineStr">
        <is>
          <t>Bulletin article</t>
        </is>
      </c>
      <c r="D78" s="52" t="inlineStr">
        <is>
          <t>EU</t>
        </is>
      </c>
      <c r="E78" s="52" t="inlineStr">
        <is>
          <t>263a5c3a-ec5b-45f5-8742-bb183e535585</t>
        </is>
      </c>
      <c r="F78" s="52" t="n"/>
      <c r="G78" s="52" t="n"/>
      <c r="H78" s="52" t="inlineStr"/>
    </row>
    <row r="79" s="41">
      <c r="A79" s="52" t="n">
        <v>66</v>
      </c>
      <c r="B79" s="52" t="inlineStr">
        <is>
          <t>62014TJ0704.md</t>
        </is>
      </c>
      <c r="C79" s="52" t="inlineStr">
        <is>
          <t>Court Decision</t>
        </is>
      </c>
      <c r="D79" s="52" t="inlineStr">
        <is>
          <t>EU</t>
        </is>
      </c>
      <c r="E79" s="52" t="inlineStr">
        <is>
          <t>5a5789e0-67b0-47cd-8cf8-593c8a0c2663</t>
        </is>
      </c>
      <c r="F79" s="52" t="n"/>
      <c r="G79" s="52" t="n"/>
      <c r="H79" s="52" t="inlineStr"/>
    </row>
    <row r="80" s="41">
      <c r="A80" s="52" t="n">
        <v>67</v>
      </c>
      <c r="B80" s="52" t="inlineStr">
        <is>
          <t>62014TJ0679.md</t>
        </is>
      </c>
      <c r="C80" s="52" t="inlineStr">
        <is>
          <t>Court Decision</t>
        </is>
      </c>
      <c r="D80" s="52" t="inlineStr">
        <is>
          <t>EU</t>
        </is>
      </c>
      <c r="E80" s="52" t="inlineStr">
        <is>
          <t>9cafaa99-eee3-446a-a109-cf71f0b793f0</t>
        </is>
      </c>
      <c r="F80" s="52" t="n"/>
      <c r="G80" s="52" t="n"/>
      <c r="H80" s="52" t="inlineStr"/>
    </row>
    <row r="81" s="41">
      <c r="A81" s="52" t="n">
        <v>68</v>
      </c>
      <c r="B81" s="52" t="inlineStr">
        <is>
          <t>62009TJ0286.md</t>
        </is>
      </c>
      <c r="C81" s="52" t="inlineStr">
        <is>
          <t>Court Decision</t>
        </is>
      </c>
      <c r="D81" s="52" t="inlineStr">
        <is>
          <t>EU</t>
        </is>
      </c>
      <c r="E81" s="52" t="inlineStr">
        <is>
          <t>cc5062a8-375f-4cbf-bb7f-f12fede3a709</t>
        </is>
      </c>
      <c r="F81" s="52" t="n"/>
      <c r="G81" s="52" t="n"/>
      <c r="H81" s="52" t="inlineStr"/>
    </row>
    <row r="82" s="41">
      <c r="A82" s="52" t="n">
        <v>69</v>
      </c>
      <c r="B82" s="52" t="inlineStr">
        <is>
          <t>62004TJ0340.md</t>
        </is>
      </c>
      <c r="C82" s="52" t="inlineStr">
        <is>
          <t>Court Decision</t>
        </is>
      </c>
      <c r="D82" s="52" t="inlineStr">
        <is>
          <t>EU</t>
        </is>
      </c>
      <c r="E82" s="52" t="inlineStr">
        <is>
          <t>d9fb7f73-952b-4b71-a502-6f63b7f95073</t>
        </is>
      </c>
      <c r="F82" s="52" t="n"/>
      <c r="G82" s="52" t="n"/>
      <c r="H82" s="52" t="inlineStr"/>
    </row>
    <row r="83" s="41">
      <c r="A83" s="52" t="n">
        <v>70</v>
      </c>
      <c r="B83" s="52" t="inlineStr">
        <is>
          <t>111517.md</t>
        </is>
      </c>
      <c r="C83" s="52" t="inlineStr">
        <is>
          <t>Bulletin article</t>
        </is>
      </c>
      <c r="D83" s="52" t="n"/>
      <c r="E83" s="52" t="inlineStr">
        <is>
          <t>9f4ffd59-c022-4300-938a-2b854b1bd91b</t>
        </is>
      </c>
      <c r="F83" s="52" t="n"/>
      <c r="G83" s="52" t="n"/>
      <c r="H83" s="52" t="inlineStr"/>
    </row>
    <row r="84" s="41">
      <c r="A84" s="52" t="n">
        <v>71</v>
      </c>
      <c r="B84" s="52" t="inlineStr">
        <is>
          <t>62018TJ0604.md</t>
        </is>
      </c>
      <c r="C84" s="52" t="inlineStr">
        <is>
          <t>Court Decision</t>
        </is>
      </c>
      <c r="D84" s="52" t="inlineStr">
        <is>
          <t>EU</t>
        </is>
      </c>
      <c r="E84" s="52" t="inlineStr">
        <is>
          <t>bcc538ee-5aef-45cb-b7ae-77997761f325</t>
        </is>
      </c>
      <c r="F84" s="52" t="n"/>
      <c r="G84" s="52" t="n"/>
      <c r="H84" s="52" t="inlineStr"/>
    </row>
    <row r="85" s="41">
      <c r="A85" s="52" t="n">
        <v>72</v>
      </c>
      <c r="B85" s="52" t="inlineStr">
        <is>
          <t>62019CC0212.md</t>
        </is>
      </c>
      <c r="C85" s="52" t="inlineStr">
        <is>
          <t>Bulletin article</t>
        </is>
      </c>
      <c r="D85" s="52" t="inlineStr">
        <is>
          <t>EU</t>
        </is>
      </c>
      <c r="E85" s="52" t="inlineStr">
        <is>
          <t>e28504f4-d37a-4976-9f02-bedc6fd39abe</t>
        </is>
      </c>
      <c r="F85" s="52" t="n"/>
      <c r="G85" s="52" t="n"/>
      <c r="H85" s="52" t="inlineStr"/>
    </row>
    <row r="86" s="41">
      <c r="A86" s="52" t="n">
        <v>73</v>
      </c>
      <c r="B86" s="52" t="inlineStr">
        <is>
          <t>93368-2520-investigations-the-court-of-justice-of-the-european-union-rules-that-an-act.md</t>
        </is>
      </c>
      <c r="C86" s="52" t="inlineStr">
        <is>
          <t>Bulletin article</t>
        </is>
      </c>
      <c r="D86" s="52" t="n"/>
      <c r="E86" s="52" t="inlineStr">
        <is>
          <t>eb4af447-a8d7-4102-8c9b-20f8865d5fea</t>
        </is>
      </c>
      <c r="F86" s="52" t="n"/>
      <c r="G86" s="52" t="n"/>
      <c r="H86" s="52" t="inlineStr"/>
    </row>
    <row r="87" s="41">
      <c r="A87" s="52" t="n">
        <v>74</v>
      </c>
      <c r="B87" s="52" t="inlineStr">
        <is>
          <t>62018CJ0595.md</t>
        </is>
      </c>
      <c r="C87" s="52" t="inlineStr">
        <is>
          <t>Court Decision</t>
        </is>
      </c>
      <c r="D87" s="52" t="inlineStr">
        <is>
          <t>EU</t>
        </is>
      </c>
      <c r="E87" s="52" t="inlineStr">
        <is>
          <t>9cef1570-4dfe-4218-9740-d8f6d239921b</t>
        </is>
      </c>
      <c r="F87" s="52" t="n"/>
      <c r="G87" s="52" t="n"/>
      <c r="H87" s="52" t="inlineStr"/>
    </row>
    <row r="88" s="41">
      <c r="A88" s="52" t="n">
        <v>75</v>
      </c>
      <c r="B88" s="52" t="inlineStr">
        <is>
          <t>96291-the-eu-court-of-justice-upholds-the-commissions-right-to-continue-inspection-at.md</t>
        </is>
      </c>
      <c r="C88" s="52" t="inlineStr">
        <is>
          <t>Bulletin article</t>
        </is>
      </c>
      <c r="D88" s="52" t="n"/>
      <c r="E88" s="52" t="inlineStr">
        <is>
          <t>b5945681-864a-4470-b1bb-33978a2016ed</t>
        </is>
      </c>
      <c r="F88" s="52" t="n"/>
      <c r="G88" s="52" t="n"/>
      <c r="H88" s="52" t="inlineStr"/>
    </row>
    <row r="89" s="41">
      <c r="A89" s="52" t="n">
        <v>76</v>
      </c>
      <c r="B89" s="52" t="inlineStr">
        <is>
          <t>eu-antitrust-enforcement--15_xiv_procedural_rights_and_obligations_of_third_parties_in_antitrust_investigations_and_proceedings_by_the_european_commission.md</t>
        </is>
      </c>
      <c r="C89" s="52" t="inlineStr">
        <is>
          <t>Book (Livre)</t>
        </is>
      </c>
      <c r="D89" s="52" t="n"/>
      <c r="E89" s="52" t="inlineStr">
        <is>
          <t>b2429dd2-ef75-4f34-8bf2-95b08c3a4de5</t>
        </is>
      </c>
      <c r="F89" s="52" t="n"/>
      <c r="G89" s="52" t="n"/>
      <c r="H89" s="52" t="inlineStr"/>
    </row>
    <row r="90" s="41">
      <c r="A90" s="52" t="n">
        <v>77</v>
      </c>
      <c r="B90" s="52" t="inlineStr">
        <is>
          <t>62019CJ0144.md</t>
        </is>
      </c>
      <c r="C90" s="52" t="inlineStr">
        <is>
          <t>Court Decision</t>
        </is>
      </c>
      <c r="D90" s="52" t="inlineStr">
        <is>
          <t>EU</t>
        </is>
      </c>
      <c r="E90" s="52" t="inlineStr">
        <is>
          <t>e647276f-29ce-4d0f-8283-ae7ca504c2f0</t>
        </is>
      </c>
      <c r="F90" s="52" t="n"/>
      <c r="G90" s="52" t="n"/>
      <c r="H90" s="52" t="inlineStr"/>
    </row>
    <row r="91" s="41">
      <c r="A91" s="52" t="n">
        <v>78</v>
      </c>
      <c r="B91" s="52" t="inlineStr">
        <is>
          <t>62016CJ0123.md</t>
        </is>
      </c>
      <c r="C91" s="52" t="inlineStr">
        <is>
          <t>Court Decision</t>
        </is>
      </c>
      <c r="D91" s="52" t="inlineStr">
        <is>
          <t>EU</t>
        </is>
      </c>
      <c r="E91" s="52" t="inlineStr">
        <is>
          <t>22252c77-2086-4d9e-94b7-b7219394e299</t>
        </is>
      </c>
      <c r="F91" s="52" t="n"/>
      <c r="G91" s="52" t="n"/>
      <c r="H91" s="52" t="inlineStr"/>
    </row>
    <row r="92" s="41">
      <c r="A92" s="52" t="n">
        <v>79</v>
      </c>
      <c r="B92" s="52" t="inlineStr">
        <is>
          <t>94920-2150-inquiries-the-court-of-justice-of-the-european-union-dismisses-appeals-brou.md</t>
        </is>
      </c>
      <c r="C92" s="52" t="inlineStr">
        <is>
          <t>Bulletin article</t>
        </is>
      </c>
      <c r="D92" s="52" t="n"/>
      <c r="E92" s="52" t="inlineStr">
        <is>
          <t>e7e462f6-8d3e-4f46-92a9-57edcae44fd8</t>
        </is>
      </c>
      <c r="F92" s="52" t="n"/>
      <c r="G92" s="52" t="n"/>
      <c r="H92" s="52" t="inlineStr"/>
    </row>
    <row r="93" s="41">
      <c r="A93" s="52" t="n">
        <v>80</v>
      </c>
      <c r="B93" s="52" t="inlineStr">
        <is>
          <t>62019CC0882.md</t>
        </is>
      </c>
      <c r="C93" s="52" t="inlineStr">
        <is>
          <t>Court Decision</t>
        </is>
      </c>
      <c r="D93" s="52" t="inlineStr">
        <is>
          <t>EU</t>
        </is>
      </c>
      <c r="E93" s="52" t="inlineStr">
        <is>
          <t>2c7a71bd-7e78-4de7-8c4b-b53a884d2a3a</t>
        </is>
      </c>
      <c r="F93" s="52" t="n"/>
      <c r="G93" s="52" t="n"/>
      <c r="H93" s="52" t="inlineStr"/>
    </row>
    <row r="94" s="41">
      <c r="A94" s="52" t="n">
        <v>81</v>
      </c>
      <c r="B94" s="52" t="inlineStr">
        <is>
          <t>62015TJ0180.md</t>
        </is>
      </c>
      <c r="C94" s="52" t="inlineStr">
        <is>
          <t>Court Decision</t>
        </is>
      </c>
      <c r="D94" s="52" t="inlineStr">
        <is>
          <t>EU</t>
        </is>
      </c>
      <c r="E94" s="52" t="inlineStr">
        <is>
          <t>90270bb0-7eec-4e94-84af-da67e9e0c14f</t>
        </is>
      </c>
      <c r="F94" s="52" t="n"/>
      <c r="G94" s="52" t="n"/>
      <c r="H94" s="52" t="inlineStr"/>
    </row>
    <row r="95" s="41">
      <c r="A95" s="52" t="n">
        <v>82</v>
      </c>
      <c r="B95" s="52" t="inlineStr">
        <is>
          <t>87398.md</t>
        </is>
      </c>
      <c r="C95" s="52" t="inlineStr">
        <is>
          <t>Article (Review)</t>
        </is>
      </c>
      <c r="D95" s="52" t="n"/>
      <c r="E95" s="52" t="inlineStr">
        <is>
          <t>b475e74d-8ef8-4d61-8a63-efbb64eb9ec3</t>
        </is>
      </c>
      <c r="F95" s="52" t="n"/>
      <c r="G95" s="52" t="n"/>
      <c r="H95" s="52" t="inlineStr"/>
    </row>
    <row r="96" s="41">
      <c r="A96" s="52" t="n">
        <v>83</v>
      </c>
      <c r="B96" s="52" t="inlineStr">
        <is>
          <t>62008TJ0551.md</t>
        </is>
      </c>
      <c r="C96" s="52" t="inlineStr">
        <is>
          <t>Court Decision</t>
        </is>
      </c>
      <c r="D96" s="52" t="inlineStr">
        <is>
          <t>EU</t>
        </is>
      </c>
      <c r="E96" s="52" t="inlineStr">
        <is>
          <t>ca11741a-b7bd-42f4-8f09-0236d569e94c</t>
        </is>
      </c>
      <c r="F96" s="52" t="n"/>
      <c r="G96" s="52" t="n"/>
      <c r="H96" s="52" t="inlineStr"/>
    </row>
    <row r="97" s="41">
      <c r="A97" s="52" t="n">
        <v>84</v>
      </c>
      <c r="B97" s="52" t="inlineStr">
        <is>
          <t>62017CJ0099.md</t>
        </is>
      </c>
      <c r="C97" s="52" t="inlineStr">
        <is>
          <t>Court Decision</t>
        </is>
      </c>
      <c r="D97" s="52" t="inlineStr">
        <is>
          <t>EU</t>
        </is>
      </c>
      <c r="E97" s="52" t="inlineStr">
        <is>
          <t>14d53621-6d37-44ec-a6ef-0c6671582da0</t>
        </is>
      </c>
      <c r="F97" s="52" t="n"/>
      <c r="G97" s="52" t="n"/>
      <c r="H97" s="52" t="inlineStr"/>
    </row>
    <row r="98" s="41">
      <c r="A98" s="52" t="n">
        <v>85</v>
      </c>
      <c r="B98" s="52" t="inlineStr">
        <is>
          <t>62020CJ0682.md</t>
        </is>
      </c>
      <c r="C98" s="52" t="inlineStr">
        <is>
          <t>Court Decision</t>
        </is>
      </c>
      <c r="D98" s="52" t="inlineStr">
        <is>
          <t>EU</t>
        </is>
      </c>
      <c r="E98" s="52" t="inlineStr">
        <is>
          <t>408cfe67-7fe4-45a8-9c3e-de39d86d56cb</t>
        </is>
      </c>
      <c r="F98" s="52" t="n"/>
      <c r="G98" s="52" t="n"/>
      <c r="H98" s="52" t="inlineStr"/>
    </row>
    <row r="99" s="41">
      <c r="A99" s="52" t="n">
        <v>86</v>
      </c>
      <c r="B99" s="52" t="inlineStr">
        <is>
          <t>judicial-review-competition-cases--15_poland_-_intensity_of_judicial_review_of_decisions_on_competition_protection_in_polish_law.md</t>
        </is>
      </c>
      <c r="C99" s="52" t="inlineStr">
        <is>
          <t>Article (Review)</t>
        </is>
      </c>
      <c r="D99" s="52" t="n"/>
      <c r="E99" s="52" t="inlineStr">
        <is>
          <t>1860320d-3678-486f-b0a4-66f57380533d</t>
        </is>
      </c>
      <c r="F99" s="52" t="n"/>
      <c r="G99" s="52" t="n"/>
      <c r="H99" s="52" t="inlineStr"/>
    </row>
    <row r="100" s="41">
      <c r="A100" s="52" t="n">
        <v>87</v>
      </c>
      <c r="B100" s="52" t="inlineStr">
        <is>
          <t>62014CJ0033.md</t>
        </is>
      </c>
      <c r="C100" s="52" t="inlineStr">
        <is>
          <t>Court Decision</t>
        </is>
      </c>
      <c r="D100" s="52" t="inlineStr">
        <is>
          <t>EU</t>
        </is>
      </c>
      <c r="E100" s="52" t="inlineStr">
        <is>
          <t>416f824d-8129-498b-86b2-330a30a0f664</t>
        </is>
      </c>
      <c r="F100" s="52" t="n"/>
      <c r="G100" s="52" t="n"/>
      <c r="H100" s="52" t="inlineStr"/>
    </row>
    <row r="101" s="41">
      <c r="A101" s="52" t="n">
        <v>88</v>
      </c>
      <c r="B101" s="52" t="inlineStr">
        <is>
          <t>competition-case-law-digest-5th--p07.md</t>
        </is>
      </c>
      <c r="C101" s="52" t="inlineStr">
        <is>
          <t>Book (Livre)</t>
        </is>
      </c>
      <c r="D101" s="52" t="n"/>
      <c r="E101" s="52" t="inlineStr">
        <is>
          <t>59ac3873-1033-436e-aef6-679c287ece49</t>
        </is>
      </c>
      <c r="F101" s="52" t="n"/>
      <c r="G101" s="52" t="n"/>
      <c r="H101" s="52" t="inlineStr"/>
    </row>
    <row r="102" s="41">
      <c r="A102" s="52" t="n">
        <v>89</v>
      </c>
      <c r="B102" s="52" t="inlineStr">
        <is>
          <t>62013CC0609.md</t>
        </is>
      </c>
      <c r="C102" s="52" t="inlineStr">
        <is>
          <t>Bulletin article</t>
        </is>
      </c>
      <c r="D102" s="52" t="inlineStr">
        <is>
          <t>EU</t>
        </is>
      </c>
      <c r="E102" s="52" t="inlineStr">
        <is>
          <t>831b235a-d327-44a5-97db-a037094375fb</t>
        </is>
      </c>
      <c r="F102" s="52" t="n"/>
      <c r="G102" s="52" t="n"/>
      <c r="H102" s="52" t="inlineStr"/>
    </row>
    <row r="103" s="41">
      <c r="A103" s="52" t="n">
        <v>90</v>
      </c>
      <c r="B103" s="52" t="inlineStr">
        <is>
          <t>95136-2580-dawn-raids-the-paris-court-of-appeal-confirms-the-fine-of-900-000-euros-imp.md</t>
        </is>
      </c>
      <c r="C103" s="52" t="inlineStr">
        <is>
          <t>Bulletin article</t>
        </is>
      </c>
      <c r="D103" s="52" t="n"/>
      <c r="E103" s="52" t="inlineStr">
        <is>
          <t>2bc776b1-7c84-4b38-8da4-0a61ff3d4040</t>
        </is>
      </c>
      <c r="F103" s="52" t="n"/>
      <c r="G103" s="52" t="n"/>
      <c r="H103" s="52" t="inlineStr"/>
    </row>
    <row r="104" s="41">
      <c r="A104" s="52" t="n">
        <v>91</v>
      </c>
      <c r="B104" s="52" t="inlineStr">
        <is>
          <t>62013CJ0618.md</t>
        </is>
      </c>
      <c r="C104" s="52" t="inlineStr">
        <is>
          <t>Court Decision</t>
        </is>
      </c>
      <c r="D104" s="52" t="inlineStr">
        <is>
          <t>EU</t>
        </is>
      </c>
      <c r="E104" s="52" t="inlineStr">
        <is>
          <t>6dfc65f9-0a4e-4de2-9e2d-e07e5063be34</t>
        </is>
      </c>
      <c r="F104" s="52" t="n"/>
      <c r="G104" s="52" t="n"/>
      <c r="H104" s="52" t="inlineStr"/>
    </row>
    <row r="105" s="41">
      <c r="A105" s="52" t="n">
        <v>92</v>
      </c>
      <c r="B105" s="52" t="inlineStr">
        <is>
          <t>62021CJ0042.md</t>
        </is>
      </c>
      <c r="C105" s="52" t="inlineStr">
        <is>
          <t>Court Decision</t>
        </is>
      </c>
      <c r="D105" s="52" t="inlineStr">
        <is>
          <t>EU</t>
        </is>
      </c>
      <c r="E105" s="52" t="inlineStr">
        <is>
          <t>80e27c6b-81ff-4712-8f72-2122091ffb8f</t>
        </is>
      </c>
      <c r="F105" s="52" t="n"/>
      <c r="G105" s="52" t="n"/>
      <c r="H105" s="52" t="inlineStr"/>
    </row>
    <row r="106" s="41">
      <c r="A106" s="52" t="n">
        <v>93</v>
      </c>
      <c r="B106" s="52" t="inlineStr">
        <is>
          <t>62013CJ0608.md</t>
        </is>
      </c>
      <c r="C106" s="52" t="inlineStr">
        <is>
          <t>Court Decision</t>
        </is>
      </c>
      <c r="D106" s="52" t="inlineStr">
        <is>
          <t>EU</t>
        </is>
      </c>
      <c r="E106" s="52" t="inlineStr">
        <is>
          <t>d7be6ad0-88bf-46bd-a2a1-f7d76a89befb</t>
        </is>
      </c>
      <c r="F106" s="52" t="n"/>
      <c r="G106" s="52" t="n"/>
      <c r="H106" s="52" t="inlineStr"/>
    </row>
    <row r="107" s="41">
      <c r="A107" s="52" t="n">
        <v>94</v>
      </c>
      <c r="B107" s="52" t="inlineStr">
        <is>
          <t>62013CJ0583.md</t>
        </is>
      </c>
      <c r="C107" s="52" t="inlineStr">
        <is>
          <t>Court Decision</t>
        </is>
      </c>
      <c r="D107" s="52" t="inlineStr">
        <is>
          <t>EU</t>
        </is>
      </c>
      <c r="E107" s="52" t="inlineStr">
        <is>
          <t>7b8f60ed-1acc-484e-b298-5a745b6b18f3</t>
        </is>
      </c>
      <c r="F107" s="52" t="n"/>
      <c r="G107" s="52" t="n"/>
      <c r="H107" s="52" t="inlineStr"/>
    </row>
    <row r="108" s="41">
      <c r="A108" s="52" t="n">
        <v>95</v>
      </c>
      <c r="B108" s="52" t="inlineStr">
        <is>
          <t>62017CC0099.md</t>
        </is>
      </c>
      <c r="C108" s="52" t="inlineStr">
        <is>
          <t>Bulletin article</t>
        </is>
      </c>
      <c r="D108" s="52" t="inlineStr">
        <is>
          <t>EU</t>
        </is>
      </c>
      <c r="E108" s="52" t="inlineStr">
        <is>
          <t>8e8bced1-37dc-412f-ba1b-7dfd92e6c516</t>
        </is>
      </c>
      <c r="F108" s="52" t="n"/>
      <c r="G108" s="52" t="n"/>
      <c r="H108" s="52" t="inlineStr"/>
    </row>
    <row r="109" s="41">
      <c r="A109" s="52" t="n">
        <v>96</v>
      </c>
      <c r="B109" s="52" t="inlineStr">
        <is>
          <t>62019CC0201.md</t>
        </is>
      </c>
      <c r="C109" s="52" t="inlineStr">
        <is>
          <t>Court Decision</t>
        </is>
      </c>
      <c r="D109" s="52" t="inlineStr">
        <is>
          <t>EU</t>
        </is>
      </c>
      <c r="E109" s="52" t="inlineStr">
        <is>
          <t>cf83201b-fdd6-4bcd-a1d9-c10af9895b1a</t>
        </is>
      </c>
      <c r="F109" s="52" t="n"/>
      <c r="G109" s="52" t="n"/>
      <c r="H109" s="52" t="inlineStr"/>
    </row>
    <row r="110" s="41">
      <c r="A110" s="52" t="n">
        <v>97</v>
      </c>
      <c r="B110" s="52" t="inlineStr">
        <is>
          <t>116381-judicial-review-and-anticompetitive-agreements-an-overview-of-eu-and-national-ca.md</t>
        </is>
      </c>
      <c r="C110" s="52" t="inlineStr">
        <is>
          <t>Article (Review)</t>
        </is>
      </c>
      <c r="D110" s="52" t="n"/>
      <c r="E110" s="52" t="inlineStr">
        <is>
          <t>1fdd4f36-cfec-405c-8e55-cb52ed02c6c4</t>
        </is>
      </c>
      <c r="F110" s="52" t="n"/>
      <c r="G110" s="52" t="n"/>
      <c r="H110" s="52" t="inlineStr"/>
    </row>
    <row r="111" s="41">
      <c r="A111" s="52" t="n">
        <v>98</v>
      </c>
      <c r="B111" s="52" t="inlineStr">
        <is>
          <t>62017TJ0612.md</t>
        </is>
      </c>
      <c r="C111" s="52" t="inlineStr">
        <is>
          <t>Court Decision</t>
        </is>
      </c>
      <c r="D111" s="52" t="inlineStr">
        <is>
          <t>EU</t>
        </is>
      </c>
      <c r="E111" s="52" t="inlineStr">
        <is>
          <t>21095811-d5ca-4fc3-97d1-b2ba2b38cdb2</t>
        </is>
      </c>
      <c r="F111" s="52" t="n"/>
      <c r="G111" s="52" t="n"/>
      <c r="H111" s="52" t="inlineStr"/>
    </row>
    <row r="112" s="41">
      <c r="A112" s="52" t="n">
        <v>99</v>
      </c>
      <c r="B112" s="52" t="inlineStr">
        <is>
          <t>62019CJ0201.md</t>
        </is>
      </c>
      <c r="C112" s="52" t="inlineStr">
        <is>
          <t>Court Decision</t>
        </is>
      </c>
      <c r="D112" s="52" t="inlineStr">
        <is>
          <t>EU</t>
        </is>
      </c>
      <c r="E112" s="52" t="inlineStr">
        <is>
          <t>eef64c7b-2f71-4b03-a4a8-b36e94a4d2b3</t>
        </is>
      </c>
      <c r="F112" s="52" t="n"/>
      <c r="G112" s="52" t="n"/>
      <c r="H112" s="52" t="inlineStr"/>
    </row>
    <row r="113" s="41">
      <c r="A113" s="52" t="n">
        <v>100</v>
      </c>
      <c r="B113" s="52" t="inlineStr">
        <is>
          <t>62020CJ0690.md</t>
        </is>
      </c>
      <c r="C113" s="52" t="inlineStr">
        <is>
          <t>Court Decision</t>
        </is>
      </c>
      <c r="D113" s="52" t="inlineStr">
        <is>
          <t>EU</t>
        </is>
      </c>
      <c r="E113" s="52" t="inlineStr">
        <is>
          <t>75c2da13-00ee-43b2-baa4-a6f2e5a71e73</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Under Article 23(1)(e) of Regulation (EC) No 1/2003, the Commission may impose on an undertaking a fine of up to 1% of its total turnover where seals it has affixed during an inspection are broken "intentionally or negligently," meaning liability for a seal breach arises from the objective fact of the breach rather than from any need to prove deliberate wrongdoing.</t>
        </is>
      </c>
      <c r="C117" s="23" t="inlineStr">
        <is>
          <t>[1] 62008TJ0141.md
[3] 62011CJ0089.md</t>
        </is>
      </c>
      <c r="D117" s="23" t="n"/>
      <c r="E117" s="23" t="inlineStr">
        <is>
          <t>[62008TJ0141.md l.9-9] Case T-141/08 E.ON Energie AG v European Commission (Competition &amp;#8211; Administrative procedure &amp;#8211; Decision finding a breach of seal &amp;#8211; Article 23(1)(e) of Regulation (EC) No 1/2003 &amp;#8211; Burden of proof &amp;#8211; Presumption of innocence &amp;#8211; Proportionality &amp;#8211; Duty to state reasons) Summary of the Judgment 1.&amp;nbsp;&amp;nbsp;&amp;nbsp;&amp;nbsp;&amp;nbsp;&amp;nbsp; Competition &amp;#8211; Administrative procedure &amp;#8211; Commission decision finding an infringement &amp;#8211; Evidence which has to be gathered &amp;#8211; Degree of evidential value required (Art. 81(1) EC) 2.&amp;nbsp;&amp;nbsp;&amp;nbsp;&amp;nbsp;&amp;nbsp;&amp;nbsp; European Union law &amp;#8211; Principles &amp;#8211; Fundamental rights &amp;#8211; Presumption of innocence &amp;#8211; Procedures in competition matters &amp;#8211; Applicability (Art. 6(2) EU; Charter of Funda
[62011CJ0089.md l.8-8] 62011CJ0089 JUDGMENT OF THE COURT (Third Chamber) 22 November 2012 ( *1 ) ‛Appeals — Action for annulment of a Commission decision relating to a fine for breach of seal — Burden of proof — Distortion of the evidence — Obligation to state reasons — Amount of the fine — Unlimited jurisdiction — Principle of proportionality’ In Case C‑89/11 P, APPEAL under Article 56 of the Statute of the Court of Justice of the European Union, brought on 25 February 2011, E.ON Energie AG, established in Munich (Germany), represented by A. Röhling, F. Dietrich and R. Pfromm, Rechtsanwälte, appellant, the other party to the proceedings being: European Commission, represented by A. Bouquet, V. Bottka and R. Sauer, acting as Agents, with an address for service in Luxembourg, defendant at first instance, THE COUR</t>
        </is>
      </c>
      <c r="F117" s="23" t="n"/>
      <c r="G117" s="40" t="n"/>
      <c r="H117" s="40" t="n"/>
    </row>
    <row r="118" ht="15.75" customHeight="1" s="41">
      <c r="A118" s="23" t="n">
        <v>2</v>
      </c>
      <c r="B118" s="23" t="inlineStr">
        <is>
          <t>The General Court held in the E.ON Energie case that the offence of breach of seal is established once the Commission proves the seal itself was broken, and that the Commission bears no additional burden of showing that the sealed room was actually entered or that the documents stored inside were tampered with.</t>
        </is>
      </c>
      <c r="C118" s="23" t="inlineStr">
        <is>
          <t>[1] 62008TJ0141.md
[12] 50125.md</t>
        </is>
      </c>
      <c r="D118" s="23" t="n"/>
      <c r="E118" s="23" t="inlineStr">
        <is>
          <t>[62008TJ0141.md l.9-9] Case T-141/08 E.ON Energie AG v European Commission (Competition &amp;#8211; Administrative procedure &amp;#8211; Decision finding a breach of seal &amp;#8211; Article 23(1)(e) of Regulation (EC) No 1/2003 &amp;#8211; Burden of proof &amp;#8211; Presumption of innocence &amp;#8211; Proportionality &amp;#8211; Duty to state reasons) Summary of the Judgment 1.&amp;nbsp;&amp;nbsp;&amp;nbsp;&amp;nbsp;&amp;nbsp;&amp;nbsp; Competition &amp;#8211; Administrative procedure &amp;#8211; Commission decision finding an infringement &amp;#8211; Evidence which has to be gathered &amp;#8211; Degree of evidential value required (Art. 81(1) EC) 2.&amp;nbsp;&amp;nbsp;&amp;nbsp;&amp;nbsp;&amp;nbsp;&amp;nbsp; European Union law &amp;#8211; Principles &amp;#8211; Fundamental rights &amp;#8211; Presumption of innocence &amp;#8211; Procedures in competition matters &amp;#8211; Applicability (Art. 6(2) EU; Charter of Funda
[50125.md l.122-122] As the Commission has observed regarding the first of those reasons, it must be recalled that the General Court correctly explained that for the purposes of establishing the breach of seal it is irrelevant whether someone entered the secured room or not[[ See E.ON Energie AG v Commission, cited supra footnote 12, paragraphs 85, 218.]]. The objective of Articles 20(2)(d) and 23(1)(e) of Regulation No 1/2003 is to protect the inspections from the threat that comes from the simple fact that the seal has been broken, thereby giving rise to a doubt as regards the reliability of the evidence in the secured room. Hence, the General Court did not err in law by considering that an infringement consisting of a breach of seal is per se particularly serious, E.ON Energie's arguments – that alleged non</t>
        </is>
      </c>
      <c r="F118" s="23" t="n"/>
      <c r="G118" s="40" t="n"/>
      <c r="H118" s="40" t="n"/>
    </row>
    <row r="119" ht="15.75" customHeight="1" s="41">
      <c r="A119" s="23" t="n">
        <v>3</v>
      </c>
      <c r="B119" s="23" t="inlineStr">
        <is>
          <t>Because Article 23(1)(e) expressly covers both intentional and negligent conduct, EU practice treats a broken seal as an objective infringement: absent evidence of force majeure, a seal found in an altered condition is deemed at least negligently broken, so the undertaking cannot escape a fine merely by denying any culpable state of mind.</t>
        </is>
      </c>
      <c r="C119" s="23" t="inlineStr">
        <is>
          <t>[26] 54659.md</t>
        </is>
      </c>
      <c r="D119" s="23" t="n"/>
      <c r="E119" s="23" t="inlineStr">
        <is>
          <t xml:space="preserve">[54659.md l.46-46] Thirdly, in order to establish the infringement, it is not relevant whether the seal was broken intentionally or negligently. Article 23(1)(e) refers explicitly to both scenarios[[E.ON Energie AG v Commission, cited above, paragraph 256. ]]. Breaches of seal are therefore defined as objective infringements. This means that undertakings to which inspection decisions are addressed must take all necessary measures to prevent any tampering with the seals affixed by the Commission during the inspections. As ruled by the General Court in the E.ON case: ‘it should be noted that it is the responsibility of the applicant to take all the measures necessary to prevent any handling of the seal at issue, especially as the applicant had been clearly informed of the significance of the seal at issue and </t>
        </is>
      </c>
      <c r="F119" s="23" t="n"/>
      <c r="G119" s="40" t="n"/>
      <c r="H119" s="40" t="n"/>
    </row>
    <row r="120" ht="15.75" customHeight="1" s="41">
      <c r="A120" s="23" t="n">
        <v>4</v>
      </c>
      <c r="B120" s="23" t="inlineStr">
        <is>
          <t>This objective approach extends to conduct by third parties present on the undertaking's premises: the undertaking is expected to take all necessary measures to prevent any handling of the seal, so a breach caused by an employee of an external contractor (such as a cleaning company) who is unaware of the seal's significance can still be attributed to the undertaking as negligence.</t>
        </is>
      </c>
      <c r="C120" s="23" t="inlineStr">
        <is>
          <t>[26] 54659.md</t>
        </is>
      </c>
      <c r="D120" s="23" t="n"/>
      <c r="E120" s="23" t="inlineStr">
        <is>
          <t xml:space="preserve">[54659.md l.46-46] Thirdly, in order to establish the infringement, it is not relevant whether the seal was broken intentionally or negligently. Article 23(1)(e) refers explicitly to both scenarios[[E.ON Energie AG v Commission, cited above, paragraph 256. ]]. Breaches of seal are therefore defined as objective infringements. This means that undertakings to which inspection decisions are addressed must take all necessary measures to prevent any tampering with the seals affixed by the Commission during the inspections. As ruled by the General Court in the E.ON case: ‘it should be noted that it is the responsibility of the applicant to take all the measures necessary to prevent any handling of the seal at issue, especially as the applicant had been clearly informed of the significance of the seal at issue and </t>
        </is>
      </c>
      <c r="F120" s="23" t="n"/>
      <c r="G120" s="40" t="n"/>
      <c r="H120" s="40" t="n"/>
    </row>
    <row r="121" ht="15.75" customHeight="1" s="41">
      <c r="A121" s="23" t="n">
        <v>5</v>
      </c>
      <c r="B121" s="23" t="inlineStr">
        <is>
          <t>The presumption of innocence, as protected by Article 6(2) ECHR and Article 48(1) of the Charter of Fundamental Rights, is a general principle of EU law that applies to competition proceedings capable of resulting in fines, including proceedings for breach of seal under Article 23(1)(e) of Regulation 1/2003.</t>
        </is>
      </c>
      <c r="C121" s="23" t="inlineStr">
        <is>
          <t>[12] 50125.md</t>
        </is>
      </c>
      <c r="D121" s="23" t="n"/>
      <c r="E121" s="23" t="inlineStr">
        <is>
          <t>[50125.md l.91-95] The presumption of innocence constitutes a general principle of Union law, currently laid down in Article 48(1) of the Charter. The principle of presumption of innocence applies to the procedures relating to infringements of the competition rules applicable to undertakings that may result in the imposition of fines or periodic penalty payments[[ Court of Justice, 8 July 1999, [Case C 199/92 P](http://curia.europa.eu/juris/document/document.jsf?text=&amp;docid=44313&amp;pageIndex=0&amp;doclang=EN&amp;mode=lst&amp;dir=&amp;occ=first&amp;part=1&amp;cid=1154867), Hüls v Commission, [1999] ECR I 4287 paragraphs 149 and 150, and Montecatini v Commission, cited supra footnote 2, paragraphs 175-6.]]. 
175 The Court observes first of all that the presumption of innocence resulting in particular from Article 6(2) of the ECHR is o</t>
        </is>
      </c>
      <c r="F121" s="23" t="n"/>
      <c r="G121" s="40" t="n"/>
      <c r="H121" s="40" t="n"/>
    </row>
    <row r="122" ht="15.75" customHeight="1" s="41">
      <c r="A122" s="23" t="n">
        <v>6</v>
      </c>
      <c r="B122" s="23" t="inlineStr">
        <is>
          <t>The reconciliation between objective liability and the presumption of innocence operates through an allocation of the burden of proof: once the Commission adduces direct evidence — such as the seal's "VOID" markings and traces of adhesive indicating displacement — that evidence is in principle sufficient to prove the breach, and the burden shifts to the undertaking to prove both the existence of an alternative circumstance and that it undermines the Commission's evidence.</t>
        </is>
      </c>
      <c r="C122" s="23" t="inlineStr">
        <is>
          <t>[1] 62008TJ0141.md</t>
        </is>
      </c>
      <c r="D122" s="23" t="n"/>
      <c r="E122" s="23" t="inlineStr">
        <is>
          <t>[62008TJ0141.md l.9-9] Case T-141/08 E.ON Energie AG v European Commission (Competition &amp;#8211; Administrative procedure &amp;#8211; Decision finding a breach of seal &amp;#8211; Article 23(1)(e) of Regulation (EC) No 1/2003 &amp;#8211; Burden of proof &amp;#8211; Presumption of innocence &amp;#8211; Proportionality &amp;#8211; Duty to state reasons) Summary of the Judgment 1.&amp;nbsp;&amp;nbsp;&amp;nbsp;&amp;nbsp;&amp;nbsp;&amp;nbsp; Competition &amp;#8211; Administrative procedure &amp;#8211; Commission decision finding an infringement &amp;#8211; Evidence which has to be gathered &amp;#8211; Degree of evidential value required (Art. 81(1) EC) 2.&amp;nbsp;&amp;nbsp;&amp;nbsp;&amp;nbsp;&amp;nbsp;&amp;nbsp; European Union law &amp;#8211; Principles &amp;#8211; Fundamental rights &amp;#8211; Presumption of innocence &amp;#8211; Procedures in competition matters &amp;#8211; Applicability (Art. 6(2) EU; Charter of Funda</t>
        </is>
      </c>
      <c r="F122" s="23" t="n"/>
      <c r="G122" s="40" t="n"/>
      <c r="H122" s="40" t="n"/>
    </row>
    <row r="123" ht="15.75" customHeight="1" s="41">
      <c r="A123" s="23" t="n">
        <v>7</v>
      </c>
      <c r="B123" s="23" t="inlineStr">
        <is>
          <t>On appeal in the E.ON Energie case, the Court of Justice expressly confirmed that this reversal of the burden of proof, triggered once the Commission has produced direct evidence of the seal's altered condition, does not itself infringe the presumption of innocence, applying by analogy its earlier case law on documentary evidence of anticompetitive meetings.</t>
        </is>
      </c>
      <c r="C123" s="23" t="inlineStr">
        <is>
          <t>[3] 62011CJ0089.md
[12] 50125.md</t>
        </is>
      </c>
      <c r="D123" s="23" t="n"/>
      <c r="E123" s="23" t="inlineStr">
        <is>
          <t xml:space="preserve">[62011CJ0089.md l.8-8] 62011CJ0089 JUDGMENT OF THE COURT (Third Chamber) 22 November 2012 ( *1 ) ‛Appeals — Action for annulment of a Commission decision relating to a fine for breach of seal — Burden of proof — Distortion of the evidence — Obligation to state reasons — Amount of the fine — Unlimited jurisdiction — Principle of proportionality’ In Case C‑89/11 P, APPEAL under Article 56 of the Statute of the Court of Justice of the European Union, brought on 25 February 2011, E.ON Energie AG, established in Munich (Germany), represented by A. Röhling, F. Dietrich and R. Pfromm, Rechtsanwälte, appellant, the other party to the proceedings being: European Commission, represented by A. Bouquet, V. Bottka and R. Sauer, acting as Agents, with an address for service in Luxembourg, defendant at first instance, THE COUR
[50125.md l.101-101] In so far as E.ON Energie challenges that application by analogy, it must be held that the General Court did not err in law in this respect[[ See E.ON Energie AG v Commission, cited supra footnote 12, paragraphs 55, 170.]]. The Court finds that the General Court neither unduly reversed the burden of proof nor disregarded the principle of the presumption of innocence; it was entitled to conclude, while applying by analogy the judgment in Montecatini that once the Commission had determined that there had been a breach of seal on the basis of a body of evidence, including the breach of seal report, it was for E.ON Energie to disprove that finding. </t>
        </is>
      </c>
      <c r="F123" s="23" t="n"/>
      <c r="G123" s="40" t="n"/>
      <c r="H123" s="40" t="n"/>
    </row>
    <row r="124" ht="15.75" customHeight="1" s="41">
      <c r="A124" s="23" t="n">
        <v>8</v>
      </c>
      <c r="B124" s="23" t="inlineStr">
        <is>
          <t>The probative value of a seal cannot be called into question merely by showing that other possible factors might have caused its altered condition; the circumstance relied upon by the undertaking must establish a causal connection to the evidence undermining the Commission's finding, and the mere theoretical possibility of an alternative explanation (such as the seal's shelf life) is insufficient absent proof of such a causal link.</t>
        </is>
      </c>
      <c r="C124" s="23" t="inlineStr">
        <is>
          <t>[12] 50125.md</t>
        </is>
      </c>
      <c r="D124" s="23" t="n"/>
      <c r="E124" s="23" t="inlineStr">
        <is>
          <t>[50125.md l.107-107] As the Advocate General has observed[[ Opinion of AG Bot delivered on 21 June 2012, Case C-89/11 P n.y.r point 37.]] in relation to the merits of second ground of appeal, it is sufficient to note that the circumstance relied upon by E.ON Energie must call in question the probative force of the evidence relied on by the Commission and this unmistakably presupposes a causal connection between the one and the other. The circumstance relied on by E.ON Energie before the General Court, namely that the seal had exceeded its maximum shelf life, may call in question the probative value of the 'VOID' messages on the seal only if it is shown that there is a causal link between expiry of the shelf life of the seal and the appearance of those messages. The absence of such a link undeniably leads to th
[50125.md l.138-138] Unless the undertaking can show that the direct evidence produced by the Commission is insufficient, it will be held liable for the breach of seal. The probative value of a seal cannot be called into question only by showing that there might be other possible factors that caused the breach.</t>
        </is>
      </c>
      <c r="F124" s="23" t="n"/>
      <c r="G124" s="40" t="n"/>
      <c r="H124" s="40" t="n"/>
    </row>
    <row r="125" ht="15.75" customHeight="1" s="41">
      <c r="A125" s="23" t="n">
        <v>9</v>
      </c>
      <c r="B125" s="23" t="inlineStr">
        <is>
          <t>Applying that causal-link standard, the Court of Justice upheld the finding that E.ON Energie had broken the seal notwithstanding its multiple expert reports pointing to alternative causes, because the General Court had found, on the evidence before it, that the uncertainty E.ON Energie alleged was not attributable to the Commission and that the burden of proof therefore remained on the undertaking, which it had not discharged.</t>
        </is>
      </c>
      <c r="C125" s="23" t="inlineStr">
        <is>
          <t>[12] 50125.md</t>
        </is>
      </c>
      <c r="D125" s="23" t="n"/>
      <c r="E125" s="23" t="inlineStr">
        <is>
          <t>[50125.md l.105-105] After asking itself the correct question in law, the General Court then found, on the basis of the evidence before it that uncertainty attributable to the Commission had not been established, with the result that the burden of proof actually lay with E.ON Energie[[ See E.ON Energie AG v Commission, cited supra footnote 12, paragraphs 57-63, 99-124, 134-156.]]. The first ground of appeal has been thus rejected.</t>
        </is>
      </c>
      <c r="F125" s="23" t="n"/>
      <c r="G125" s="40" t="n"/>
      <c r="H125" s="40" t="n"/>
    </row>
    <row r="126" ht="15.75" customHeight="1" s="41">
      <c r="A126" s="40" t="n">
        <v>10</v>
      </c>
      <c r="B126" s="40" t="inlineStr">
        <is>
          <t>Consistent with the objective nature of the infringement, the level of the fine is calibrated to the seriousness of the breach and the need to deter tampering with inspections rather than to any showing of intent: the Court of Justice confirmed that a EUR 38 million fine (0.14% of E.ON Energie's turnover) was not disproportionate even though the Commission had not proven that anyone had actually entered the sealed room or removed any documents.</t>
        </is>
      </c>
      <c r="C126" s="40" t="inlineStr">
        <is>
          <t>[3] 62011CJ0089.md</t>
        </is>
      </c>
      <c r="D126" s="40" t="n"/>
      <c r="E126" s="40" t="inlineStr">
        <is>
          <t>[62011CJ0089.md l.8-8] 62011CJ0089 JUDGMENT OF THE COURT (Third Chamber) 22 November 2012 ( *1 ) ‛Appeals — Action for annulment of a Commission decision relating to a fine for breach of seal — Burden of proof — Distortion of the evidence — Obligation to state reasons — Amount of the fine — Unlimited jurisdiction — Principle of proportionality’ In Case C‑89/11 P, APPEAL under Article 56 of the Statute of the Court of Justice of the European Union, brought on 25 February 2011, E.ON Energie AG, established in Munich (Germany), represented by A. Röhling, F. Dietrich and R. Pfromm, Rechtsanwälte, appellant, the other party to the proceedings being: European Commission, represented by A. Bouquet, V. Bottka and R. Sauer, acting as Agents, with an address for service in Luxembourg, defendant at first instance, THE COUR</t>
        </is>
      </c>
      <c r="F126" s="40" t="n"/>
      <c r="G126" s="40" t="n"/>
      <c r="H126" s="40" t="n"/>
    </row>
    <row r="127" ht="15.75" customHeight="1" s="41">
      <c r="A127" s="52" t="n">
        <v>11</v>
      </c>
      <c r="B127" s="52" t="inlineStr">
        <is>
          <t>In a comparable Commission proceeding against Suez Environnement and its subsidiary Lyonnaise des Eaux, the seal breach was likewise established as an infringement independent of any need to prove intent, yet the Commission set the fine at a materially lower proportion of turnover than in the E.ON Energie case, reflecting the subsidiary's voluntary admission that an employee had broken the seal negligently and its immediate cooperation with the investigation.</t>
        </is>
      </c>
      <c r="C127" s="52" t="inlineStr">
        <is>
          <t>[26] 54659.md
[12] 50125.md</t>
        </is>
      </c>
      <c r="D127" s="52" t="n"/>
      <c r="E127" s="52" t="inlineStr">
        <is>
          <t>[54659.md l.56-56] However, the Commission also took into consideration the immediate and constructive cooperation provided by Suez Environnement and LDE. They voluntarily and without delay passed on to the Commission a great deal of information shedding light on the facts and facilitating the Commission’s investigation. Suez Environnement and LDE also provided a detailed statement by an LDE employee in which this person unequivocally admitted to having broken the seal. Additionally, in their reply to the statement of objections, Suez Environnement and LDE accepted the Commission’s conclusions concerning the substance of the facts, their legal nature and the attribution of liability for the infringement to both of them.
[50125.md l.142-142] On 24 May 2011 the Commission has adopted a new decision imposing fines for a similar violation of the Commission's investigative powers[[ Commission Decision of 24 May 2011 relating to a proceeding under Article 23 of Council Regulation (EC) No 1/2003 on the implementation of the rules on competition laid down in Articles 81 and 82 of the Treaty (Case COMP/39.796 - Suez Environnement - Breach of seal) (notified under document C(2011) 3640 final) OJ C 251, 27.8.2011, p. 4–5.]]. In Suez Environnement case the amount of fines imposed represents only 0.065% of the undertaking turnover calculated for 2009, in comparison with 0.14% calculated for 2005 in E.ON Energie case. The Netherlands competition authority had also imposed fines for this type of violation, though at an even lower ratio, amo</t>
        </is>
      </c>
      <c r="F127" s="52" t="n"/>
      <c r="G127" s="52" t="n"/>
      <c r="H127" s="52" t="n"/>
    </row>
    <row r="128" ht="15.75" customHeight="1" s="41">
      <c r="A128" s="52" t="n">
        <v>12</v>
      </c>
      <c r="B128" s="52" t="inlineStr">
        <is>
          <t>The net effect is that an undertaking may be fined for a broken seal in the absence of any proven subjective fault or intent, provided the Commission has produced direct, sufficiently precise evidence of the seal's altered condition; the presumption of innocence is preserved not by requiring proof of deliberate wrongdoing but by leaving the undertaking a genuine, if narrow, opportunity to rebut the finding with a causally-linked alternative explanation.</t>
        </is>
      </c>
      <c r="C128" s="52" t="inlineStr">
        <is>
          <t>[12] 50125.md</t>
        </is>
      </c>
      <c r="D128" s="52" t="n"/>
      <c r="E128" s="52" t="inlineStr">
        <is>
          <t>[50125.md l.146-146] In conclusion, once the change in the condition of the seal used during an inspection at the undertaking's headquarters has been recorded according to the legal standard, there is a presumption that the infringement is attributable to the undertaking in question. The breach is deemed to be due at the very least to negligence and the ability of the undertaking under investigation to refute this presumption is rather narrow. This interpretation has been endorsed by the pursuit of preserving an effective enforcement of the Union competition rules.</t>
        </is>
      </c>
      <c r="F128" s="52" t="n"/>
      <c r="G128" s="52" t="n"/>
      <c r="H128" s="52" t="n"/>
    </row>
    <row r="129" ht="15.75" customHeight="1" s="41">
      <c r="A129" s="52" t="n"/>
      <c r="B129" s="52" t="n"/>
      <c r="C129" s="52" t="n"/>
      <c r="D129" s="52" t="n"/>
      <c r="E129" s="52" t="n"/>
      <c r="F129" s="52" t="n"/>
      <c r="G129" s="52" t="n"/>
      <c r="H129" s="52" t="n"/>
    </row>
    <row r="130" ht="15.75" customHeight="1" s="41">
      <c r="A130" s="44" t="inlineStr">
        <is>
          <t>Final expert verdict</t>
        </is>
      </c>
    </row>
    <row r="131" ht="15.75" customHeight="1" s="41">
      <c r="A131" s="28" t="inlineStr">
        <is>
          <t>Reviewer</t>
        </is>
      </c>
      <c r="B131" s="23" t="n"/>
      <c r="C131" s="28" t="n"/>
      <c r="D131" s="29" t="n"/>
      <c r="E131" s="23" t="n"/>
      <c r="F131" s="23" t="n"/>
      <c r="G131" s="23" t="n"/>
      <c r="H131" s="23" t="n"/>
    </row>
    <row r="132" ht="15.75" customHeight="1" s="41">
      <c r="A132" s="28" t="inlineStr">
        <is>
          <t>Is the answer acceptable?</t>
        </is>
      </c>
      <c r="B132" s="30" t="n"/>
      <c r="C132" s="28" t="n"/>
      <c r="D132" s="29" t="n"/>
      <c r="E132" s="23" t="n"/>
      <c r="F132" s="23" t="n"/>
      <c r="G132" s="23" t="n"/>
      <c r="H132" s="23" t="n"/>
    </row>
    <row r="133" ht="15.75" customHeight="1" s="41">
      <c r="A133" s="28" t="inlineStr">
        <is>
          <t>Overall comment / required fixes</t>
        </is>
      </c>
      <c r="B133" s="23" t="n"/>
      <c r="C133" s="45" t="n"/>
      <c r="D133" s="45" t="n"/>
      <c r="E133" s="45" t="n"/>
      <c r="F133" s="45" t="n"/>
      <c r="G133" s="45" t="n"/>
      <c r="H133" s="46" t="n"/>
    </row>
    <row r="134" ht="15.75" customHeight="1" s="41">
      <c r="A134" s="28" t="inlineStr">
        <is>
          <t>Review completed?</t>
        </is>
      </c>
      <c r="B134" s="30" t="n"/>
      <c r="C134" s="28" t="n"/>
      <c r="D134" s="29" t="n"/>
      <c r="E134" s="23" t="n"/>
      <c r="F134" s="23" t="n"/>
      <c r="G134" s="23" t="n"/>
      <c r="H134" s="23" t="n"/>
    </row>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c r="A163" s="44" t="inlineStr">
        <is>
          <t>Original source notes</t>
        </is>
      </c>
      <c r="I163" s="40" t="n"/>
      <c r="J163" s="40" t="n"/>
    </row>
    <row r="164" ht="15.75" customHeight="1" s="41">
      <c r="A164" s="28" t="inlineStr">
        <is>
          <t>WAB notes</t>
        </is>
      </c>
      <c r="B164" s="23" t="n"/>
      <c r="C164" s="45" t="n"/>
      <c r="D164" s="45" t="n"/>
      <c r="E164" s="45" t="n"/>
      <c r="F164" s="45" t="n"/>
      <c r="G164" s="45" t="n"/>
      <c r="H164" s="46" t="n"/>
      <c r="I164" s="40" t="n"/>
      <c r="J164" s="40" t="n"/>
    </row>
    <row r="165" ht="15.75" customHeight="1" s="41">
      <c r="A165" s="28" t="inlineStr">
        <is>
          <t>Reviewer notes from question approval</t>
        </is>
      </c>
      <c r="B165" s="23" t="inlineStr">
        <is>
          <t>agreed on the substance but let's frame it in the following way "To what extent may an undertaking be fined for the breaking of a seal in the absence of any fault or intent, and how is that reconciled with the presumption of innocence?"</t>
        </is>
      </c>
      <c r="C165" s="47" t="n"/>
      <c r="D165" s="47" t="n"/>
      <c r="E165" s="47" t="n"/>
      <c r="F165" s="47" t="n"/>
      <c r="G165" s="47" t="n"/>
      <c r="H165" s="48" t="n"/>
      <c r="I165" s="40" t="n"/>
      <c r="J165" s="40" t="n"/>
    </row>
    <row r="166" ht="15.75" customHeight="1" s="41">
      <c r="A166" s="23" t="n"/>
      <c r="B166" s="49" t="n"/>
      <c r="C166" s="50" t="n"/>
      <c r="D166" s="50" t="n"/>
      <c r="E166" s="50" t="n"/>
      <c r="F166" s="50" t="n"/>
      <c r="G166" s="50" t="n"/>
      <c r="H166" s="51" t="n"/>
      <c r="I166" s="40" t="n"/>
      <c r="J166" s="40" t="n"/>
    </row>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Q32 — Expert Review</t>
        </is>
      </c>
    </row>
    <row r="2" hidden="1" s="41">
      <c r="A2" s="44" t="inlineStr">
        <is>
          <t>Question metadata</t>
        </is>
      </c>
    </row>
    <row r="3" hidden="1" s="41">
      <c r="A3" s="13" t="inlineStr">
        <is>
          <t>Question ID</t>
        </is>
      </c>
      <c r="B3" s="39" t="n">
        <v>32</v>
      </c>
    </row>
    <row r="4" hidden="1" s="41">
      <c r="A4" s="13" t="inlineStr">
        <is>
          <t>Topic</t>
        </is>
      </c>
      <c r="B4" s="40" t="inlineStr">
        <is>
          <t>Dawn raids — obstruction and seals</t>
        </is>
      </c>
    </row>
    <row r="5" hidden="1" s="41">
      <c r="A5" s="13" t="inlineStr">
        <is>
          <t>Scope</t>
        </is>
      </c>
      <c r="B5" s="40" t="inlineStr">
        <is>
          <t>France</t>
        </is>
      </c>
    </row>
    <row r="6" hidden="1" s="41">
      <c r="A6" s="13" t="inlineStr">
        <is>
          <t>Original reviewer</t>
        </is>
      </c>
      <c r="B6" s="40" t="inlineStr">
        <is>
          <t>Jeanne</t>
        </is>
      </c>
    </row>
    <row r="7" hidden="1" s="41">
      <c r="A7" s="13" t="inlineStr">
        <is>
          <t>Original status</t>
        </is>
      </c>
      <c r="B7" s="40" t="inlineStr">
        <is>
          <t>Approved</t>
        </is>
      </c>
    </row>
    <row r="8">
      <c r="A8" s="13" t="inlineStr">
        <is>
          <t>Question</t>
        </is>
      </c>
      <c r="B8" s="40" t="inlineStr">
        <is>
          <t>What behavior during a French dawn raid (OVS) exposes a company to obstruction liability, and what training precautions follow from recent enforcement?</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Question to be replaced by this one : What behavior during a French dawn raid (OVS) exposes a company to obstruction liability, and what training precautions follow from recent enforcement?</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Q33 — Expert Review</t>
        </is>
      </c>
    </row>
    <row r="2" hidden="1" s="41">
      <c r="A2" s="44" t="inlineStr">
        <is>
          <t>Question metadata</t>
        </is>
      </c>
    </row>
    <row r="3" hidden="1" s="41">
      <c r="A3" s="13" t="inlineStr">
        <is>
          <t>Question ID</t>
        </is>
      </c>
      <c r="B3" s="39" t="n">
        <v>33</v>
      </c>
    </row>
    <row r="4" hidden="1" s="41">
      <c r="A4" s="13" t="inlineStr">
        <is>
          <t>Topic</t>
        </is>
      </c>
      <c r="B4" s="40" t="inlineStr">
        <is>
          <t>Dawn raids — obstruction and preservation of evidence</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What consequences may follow from obstructing an actual or contemplated federal antitrust investigation, including by destroying, altering, or concealing evidence, and when do separate legal obligations to preserve potentially relevant evidence arise?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Q34 — Expert Review</t>
        </is>
      </c>
    </row>
    <row r="2" hidden="1" s="41">
      <c r="A2" s="44" t="inlineStr">
        <is>
          <t>Question metadata</t>
        </is>
      </c>
    </row>
    <row r="3" hidden="1" s="41">
      <c r="A3" s="13" t="inlineStr">
        <is>
          <t>Question ID</t>
        </is>
      </c>
      <c r="B3" s="39" t="n">
        <v>34</v>
      </c>
    </row>
    <row r="4" hidden="1" s="41">
      <c r="A4" s="13" t="inlineStr">
        <is>
          <t>Topic</t>
        </is>
      </c>
      <c r="B4" s="40" t="inlineStr">
        <is>
          <t>Dawn raids — questioning staff</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To what extent may the Commission compel answers under Article 20(2)(e) of Regulation 1/2003 before the privilege against self-incrimination intervenes — and how the distinction between answering questions of fact and admitting an infringement remain workable in practice?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agreed on the substance but let's frame it in the following way: "To what extent may the Commission compel answers under Article 20(2)(e) of Regulation 1/2003 before the privilege against self-incrimination intervenes — and how the distinction between answering questions of fact and admitting an infringement remain workable in practice?"</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Q35 — Expert Review</t>
        </is>
      </c>
    </row>
    <row r="2" hidden="1" s="41">
      <c r="A2" s="44" t="inlineStr">
        <is>
          <t>Question metadata</t>
        </is>
      </c>
    </row>
    <row r="3" hidden="1" s="41">
      <c r="A3" s="13" t="inlineStr">
        <is>
          <t>Question ID</t>
        </is>
      </c>
      <c r="B3" s="39" t="n">
        <v>35</v>
      </c>
    </row>
    <row r="4" hidden="1" s="41">
      <c r="A4" s="13" t="inlineStr">
        <is>
          <t>Topic</t>
        </is>
      </c>
      <c r="B4" s="40" t="inlineStr">
        <is>
          <t>Dawn raids — questioning staff</t>
        </is>
      </c>
    </row>
    <row r="5" hidden="1" s="41">
      <c r="A5" s="13" t="inlineStr">
        <is>
          <t>Scope</t>
        </is>
      </c>
      <c r="B5" s="40" t="inlineStr">
        <is>
          <t>France</t>
        </is>
      </c>
    </row>
    <row r="6" hidden="1" s="41">
      <c r="A6" s="13" t="inlineStr">
        <is>
          <t>Original reviewer</t>
        </is>
      </c>
      <c r="B6" s="40" t="inlineStr">
        <is>
          <t>Jeanne</t>
        </is>
      </c>
    </row>
    <row r="7" hidden="1" s="41">
      <c r="A7" s="13" t="inlineStr">
        <is>
          <t>Original status</t>
        </is>
      </c>
      <c r="B7" s="40" t="inlineStr">
        <is>
          <t>Approved</t>
        </is>
      </c>
    </row>
    <row r="8">
      <c r="A8" s="13" t="inlineStr">
        <is>
          <t>Question</t>
        </is>
      </c>
      <c r="B8" s="40" t="inlineStr">
        <is>
          <t>Can employees be required to answer questions during a French dawn raid, and what protection against self-incrimination do they and the company have?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We can keep this one</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Q36 — Expert Review</t>
        </is>
      </c>
    </row>
    <row r="2" hidden="1" s="41">
      <c r="A2" s="44" t="inlineStr">
        <is>
          <t>Question metadata</t>
        </is>
      </c>
    </row>
    <row r="3" hidden="1" s="41">
      <c r="A3" s="13" t="inlineStr">
        <is>
          <t>Question ID</t>
        </is>
      </c>
      <c r="B3" s="39" t="n">
        <v>36</v>
      </c>
    </row>
    <row r="4" hidden="1" s="41">
      <c r="A4" s="13" t="inlineStr">
        <is>
          <t>Topic</t>
        </is>
      </c>
      <c r="B4" s="40" t="inlineStr">
        <is>
          <t>Dawn raids — questioning staff</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How does the Fifth Amendment privilege against self-incrimination apply in a U.S. antitrust investigation to compelled oral testimony versus the production of documents? Why does the privilege belong to natural persons rather than corporations, and how does the collective-entity doctrine affect an individual custodian who is required to produce corporate records?</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J163"/>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Q37 — Expert Review</t>
        </is>
      </c>
    </row>
    <row r="2" hidden="1" s="41">
      <c r="A2" s="44" t="inlineStr">
        <is>
          <t>Question metadata</t>
        </is>
      </c>
    </row>
    <row r="3" hidden="1" s="41">
      <c r="A3" s="13" t="inlineStr">
        <is>
          <t>Question ID</t>
        </is>
      </c>
      <c r="B3" s="39" t="n">
        <v>37</v>
      </c>
    </row>
    <row r="4" hidden="1" s="41">
      <c r="A4" s="13" t="inlineStr">
        <is>
          <t>Topic</t>
        </is>
      </c>
      <c r="B4" s="40" t="inlineStr">
        <is>
          <t>Dawn raids — electronic data</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May the Commission take a forensic copy of a company's electronic data and carry on examining it at its own premises after the inspection has ended? What safeguards apply, and what rights does the company keep over that copy?</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inspections-eu-law-2nd--3_chapter_1_-_inspections_upon_decision_regulation_1_2003_article_20_4.md</t>
        </is>
      </c>
      <c r="C14" s="23" t="inlineStr">
        <is>
          <t>Book (Livre)</t>
        </is>
      </c>
      <c r="D14" s="23" t="n"/>
      <c r="E14" s="23" t="inlineStr">
        <is>
          <t>d28b1d20-a2c6-425f-a401-498eab28d744</t>
        </is>
      </c>
      <c r="F14" s="23" t="n"/>
      <c r="G14" s="23" t="n"/>
      <c r="H14" s="23" t="inlineStr"/>
    </row>
    <row r="15">
      <c r="A15" s="23" t="n">
        <v>2</v>
      </c>
      <c r="B15" s="23" t="inlineStr">
        <is>
          <t>62014TJ0449.md</t>
        </is>
      </c>
      <c r="C15" s="23" t="inlineStr">
        <is>
          <t>Court Decision</t>
        </is>
      </c>
      <c r="D15" s="23" t="inlineStr">
        <is>
          <t>EU</t>
        </is>
      </c>
      <c r="E15" s="23" t="inlineStr">
        <is>
          <t>2f594756-bc0a-4332-829f-e65319b3211c</t>
        </is>
      </c>
      <c r="F15" s="23" t="n"/>
      <c r="G15" s="23" t="n"/>
      <c r="H15" s="23" t="inlineStr">
        <is>
          <t>Cited in answer: YES</t>
        </is>
      </c>
    </row>
    <row r="16">
      <c r="A16" s="23" t="n">
        <v>3</v>
      </c>
      <c r="B16" s="23" t="inlineStr">
        <is>
          <t>62018CC0606.md</t>
        </is>
      </c>
      <c r="C16" s="23" t="inlineStr">
        <is>
          <t>Article (Review)</t>
        </is>
      </c>
      <c r="D16" s="23" t="inlineStr">
        <is>
          <t>EU</t>
        </is>
      </c>
      <c r="E16" s="23" t="inlineStr">
        <is>
          <t>0655b4ec-4821-4b46-91b6-b6ddaebd8d5d</t>
        </is>
      </c>
      <c r="F16" s="23" t="n"/>
      <c r="G16" s="23" t="n"/>
      <c r="H16" s="23" t="inlineStr">
        <is>
          <t>Cited in answer: YES</t>
        </is>
      </c>
    </row>
    <row r="17">
      <c r="A17" s="23" t="n">
        <v>4</v>
      </c>
      <c r="B17" s="23" t="inlineStr">
        <is>
          <t>62014TJ0475.md</t>
        </is>
      </c>
      <c r="C17" s="23" t="inlineStr">
        <is>
          <t>Court Decision</t>
        </is>
      </c>
      <c r="D17" s="23" t="inlineStr">
        <is>
          <t>EU</t>
        </is>
      </c>
      <c r="E17" s="23" t="inlineStr">
        <is>
          <t>cba40d0a-c143-4bc9-af97-af13ef20db3a</t>
        </is>
      </c>
      <c r="F17" s="23" t="n"/>
      <c r="G17" s="23" t="n"/>
      <c r="H17" s="23" t="inlineStr"/>
    </row>
    <row r="18">
      <c r="A18" s="23" t="n">
        <v>5</v>
      </c>
      <c r="B18" s="23" t="inlineStr">
        <is>
          <t>57935-361-decisions-adopted-during-an-inspection-the-general-court-reminds-the-commiss.md</t>
        </is>
      </c>
      <c r="C18" s="23" t="inlineStr">
        <is>
          <t>Bulletin article</t>
        </is>
      </c>
      <c r="D18" s="23" t="n"/>
      <c r="E18" s="23" t="inlineStr">
        <is>
          <t>882aa354-e6cf-464a-b1e2-9486b1cca48f</t>
        </is>
      </c>
      <c r="F18" s="23" t="n"/>
      <c r="G18" s="23" t="n"/>
      <c r="H18" s="23" t="inlineStr"/>
    </row>
    <row r="19">
      <c r="A19" s="23" t="n">
        <v>6</v>
      </c>
      <c r="B19" s="23" t="inlineStr">
        <is>
          <t>62018CJ0606.md</t>
        </is>
      </c>
      <c r="C19" s="23" t="inlineStr">
        <is>
          <t>Court Decision</t>
        </is>
      </c>
      <c r="D19" s="23" t="inlineStr">
        <is>
          <t>EU</t>
        </is>
      </c>
      <c r="E19" s="23" t="inlineStr">
        <is>
          <t>2d074327-045b-484e-8bbc-1a0f9c7ed660</t>
        </is>
      </c>
      <c r="F19" s="23" t="n"/>
      <c r="G19" s="23" t="n"/>
      <c r="H19" s="23" t="inlineStr">
        <is>
          <t>Cited in answer: YES</t>
        </is>
      </c>
    </row>
    <row r="20">
      <c r="A20" s="23" t="n">
        <v>7</v>
      </c>
      <c r="B20" s="23" t="inlineStr">
        <is>
          <t>128250-35-dawn-raids-the-general-court-of-the-european-union-partially-upholds-the-lega.md</t>
        </is>
      </c>
      <c r="C20" s="23" t="inlineStr">
        <is>
          <t>Bulletin article</t>
        </is>
      </c>
      <c r="D20" s="23" t="n"/>
      <c r="E20" s="23" t="inlineStr">
        <is>
          <t>e34c0e6d-2771-4073-8165-4a73eff42d4c</t>
        </is>
      </c>
      <c r="F20" s="23" t="n"/>
      <c r="G20" s="23" t="n"/>
      <c r="H20" s="23" t="inlineStr"/>
    </row>
    <row r="21">
      <c r="A21" s="23" t="n">
        <v>8</v>
      </c>
      <c r="B21" s="23" t="inlineStr">
        <is>
          <t>93706-0060-dawn-raids-advocate-general-kokott-calls-on-the-court-of-justice-to-uphold.md</t>
        </is>
      </c>
      <c r="C21" s="23" t="inlineStr">
        <is>
          <t>Bulletin article</t>
        </is>
      </c>
      <c r="D21" s="23" t="n"/>
      <c r="E21" s="23" t="inlineStr">
        <is>
          <t>42a1613c-b25b-476e-a3b4-e1cac9b5add2</t>
        </is>
      </c>
      <c r="F21" s="23" t="n"/>
      <c r="G21" s="23" t="n"/>
      <c r="H21" s="23" t="inlineStr"/>
    </row>
    <row r="22">
      <c r="A22" s="23" t="n">
        <v>9</v>
      </c>
      <c r="B22" s="23" t="inlineStr">
        <is>
          <t>97110-2850-inspection-the-general-court-of-the-european-union-partially-annuls-decisio.md</t>
        </is>
      </c>
      <c r="C22" s="23" t="inlineStr">
        <is>
          <t>Bulletin article</t>
        </is>
      </c>
      <c r="D22" s="23" t="n"/>
      <c r="E22" s="23" t="inlineStr">
        <is>
          <t>0ff86075-a215-4bce-ac53-21a9aa21cd71</t>
        </is>
      </c>
      <c r="F22" s="23" t="n"/>
      <c r="G22" s="23" t="n"/>
      <c r="H22" s="23" t="inlineStr"/>
    </row>
    <row r="23" s="41">
      <c r="A23" s="40" t="n">
        <v>10</v>
      </c>
      <c r="B23" s="40" t="inlineStr">
        <is>
          <t>125471-20-dawn-raids-the-general-court-upholds-the-european-commissions-overall-assessm.md</t>
        </is>
      </c>
      <c r="C23" s="40" t="inlineStr">
        <is>
          <t>Bulletin article</t>
        </is>
      </c>
      <c r="D23" s="40" t="n"/>
      <c r="E23" s="40" t="inlineStr">
        <is>
          <t>e97ed81a-60ca-4112-9207-21a8613078bd</t>
        </is>
      </c>
      <c r="F23" s="40" t="n"/>
      <c r="G23" s="40" t="n"/>
      <c r="H23" s="40" t="inlineStr"/>
    </row>
    <row r="24" s="41">
      <c r="A24" s="52" t="n">
        <v>11</v>
      </c>
      <c r="B24" s="52" t="inlineStr">
        <is>
          <t>131688-30-inspections-the-general-court-of-the-european-union-upholds-the-european-comm.md</t>
        </is>
      </c>
      <c r="C24" s="52" t="inlineStr">
        <is>
          <t>Bulletin article</t>
        </is>
      </c>
      <c r="D24" s="52" t="n"/>
      <c r="E24" s="52" t="inlineStr">
        <is>
          <t>7de191c9-0221-423b-b670-ef1e047a0196</t>
        </is>
      </c>
      <c r="F24" s="52" t="n"/>
      <c r="G24" s="52" t="n"/>
      <c r="H24" s="52" t="inlineStr"/>
    </row>
    <row r="25" s="41">
      <c r="A25" s="52" t="n">
        <v>12</v>
      </c>
      <c r="B25" s="52" t="inlineStr">
        <is>
          <t>62018CJ0601.md</t>
        </is>
      </c>
      <c r="C25" s="52" t="inlineStr">
        <is>
          <t>Court Decision</t>
        </is>
      </c>
      <c r="D25" s="52" t="inlineStr">
        <is>
          <t>EU</t>
        </is>
      </c>
      <c r="E25" s="52" t="inlineStr">
        <is>
          <t>d94571df-d56d-45c1-a02e-834714984963</t>
        </is>
      </c>
      <c r="F25" s="52" t="n"/>
      <c r="G25" s="52" t="n"/>
      <c r="H25" s="52" t="inlineStr"/>
    </row>
    <row r="26" s="41">
      <c r="A26" s="52" t="n">
        <v>13</v>
      </c>
      <c r="B26" s="52" t="inlineStr">
        <is>
          <t>eu-antitrust-enforcement--12_xi_the_role_of_the_hearing_officer_in_antitrust_proceedings_before_the_european_commission.md</t>
        </is>
      </c>
      <c r="C26" s="52" t="inlineStr">
        <is>
          <t>Book (Livre)</t>
        </is>
      </c>
      <c r="D26" s="52" t="n"/>
      <c r="E26" s="52" t="inlineStr">
        <is>
          <t>27d55d8c-5b59-43c1-8576-7a718bd009d4</t>
        </is>
      </c>
      <c r="F26" s="52" t="n"/>
      <c r="G26" s="52" t="n"/>
      <c r="H26" s="52" t="inlineStr"/>
    </row>
    <row r="27" s="41">
      <c r="A27" s="52" t="n">
        <v>14</v>
      </c>
      <c r="B27" s="52" t="inlineStr">
        <is>
          <t>96586.md</t>
        </is>
      </c>
      <c r="C27" s="52" t="inlineStr">
        <is>
          <t>Article (Review)</t>
        </is>
      </c>
      <c r="D27" s="52" t="n"/>
      <c r="E27" s="52" t="inlineStr">
        <is>
          <t>4cb5c154-4d3a-46c3-8bca-8f09c7e6c562</t>
        </is>
      </c>
      <c r="F27" s="52" t="n"/>
      <c r="G27" s="52" t="n"/>
      <c r="H27" s="52" t="inlineStr"/>
    </row>
    <row r="28" s="41">
      <c r="A28" s="52" t="n">
        <v>15</v>
      </c>
      <c r="B28" s="52" t="inlineStr">
        <is>
          <t>127929-the-eu-general-court-upholds-the-commissions-inspection-methodology-based-on-pub.md</t>
        </is>
      </c>
      <c r="C28" s="52" t="inlineStr">
        <is>
          <t>Bulletin article</t>
        </is>
      </c>
      <c r="D28" s="52" t="n"/>
      <c r="E28" s="52" t="inlineStr">
        <is>
          <t>af2e8c94-00c3-40d4-8e35-233542ca536d</t>
        </is>
      </c>
      <c r="F28" s="52" t="n"/>
      <c r="G28" s="52" t="n"/>
      <c r="H28" s="52" t="inlineStr"/>
    </row>
    <row r="29" s="41">
      <c r="A29" s="52" t="n">
        <v>16</v>
      </c>
      <c r="B29" s="52" t="inlineStr">
        <is>
          <t>127186-20-inspection-the-general-court-of-the-european-union-considers-that-the-commiss.md</t>
        </is>
      </c>
      <c r="C29" s="52" t="inlineStr">
        <is>
          <t>Bulletin article</t>
        </is>
      </c>
      <c r="D29" s="52" t="n"/>
      <c r="E29" s="52" t="inlineStr">
        <is>
          <t>329bd68b-1104-4f5c-b636-e9925175dbc6</t>
        </is>
      </c>
      <c r="F29" s="52" t="n"/>
      <c r="G29" s="52" t="n"/>
      <c r="H29" s="52" t="inlineStr"/>
    </row>
    <row r="30" s="41">
      <c r="A30" s="52" t="n">
        <v>17</v>
      </c>
      <c r="B30" s="52" t="inlineStr">
        <is>
          <t>62011TJ0289.md</t>
        </is>
      </c>
      <c r="C30" s="52" t="inlineStr">
        <is>
          <t>Court Decision</t>
        </is>
      </c>
      <c r="D30" s="52" t="inlineStr">
        <is>
          <t>EU</t>
        </is>
      </c>
      <c r="E30" s="52" t="inlineStr">
        <is>
          <t>7ecb1eda-828c-4ed1-831c-9ba3cd309425</t>
        </is>
      </c>
      <c r="F30" s="52" t="n"/>
      <c r="G30" s="52" t="n"/>
      <c r="H30" s="52" t="inlineStr"/>
    </row>
    <row r="31" s="41">
      <c r="A31" s="52" t="n">
        <v>18</v>
      </c>
      <c r="B31" s="52" t="inlineStr">
        <is>
          <t>competition-inspections-25-jurisdictions--7_european_union.md</t>
        </is>
      </c>
      <c r="C31" s="52" t="inlineStr">
        <is>
          <t>Article (Review)</t>
        </is>
      </c>
      <c r="D31" s="52" t="n"/>
      <c r="E31" s="52" t="inlineStr">
        <is>
          <t>1c2fa592-34f0-4656-96c2-024c5ea88b1e</t>
        </is>
      </c>
      <c r="F31" s="52" t="n"/>
      <c r="G31" s="52" t="n"/>
      <c r="H31" s="52" t="inlineStr">
        <is>
          <t>Cited in answer: YES</t>
        </is>
      </c>
    </row>
    <row r="32" s="41">
      <c r="A32" s="52" t="n">
        <v>19</v>
      </c>
      <c r="B32" s="52" t="inlineStr">
        <is>
          <t>67860.md</t>
        </is>
      </c>
      <c r="C32" s="52" t="inlineStr">
        <is>
          <t>Bulletin article</t>
        </is>
      </c>
      <c r="D32" s="52" t="n"/>
      <c r="E32" s="52" t="inlineStr">
        <is>
          <t>f3b54f3e-52e4-4232-8e7a-129fe9239fec</t>
        </is>
      </c>
      <c r="F32" s="52" t="n"/>
      <c r="G32" s="52" t="n"/>
      <c r="H32" s="52" t="inlineStr"/>
    </row>
    <row r="33" s="41">
      <c r="A33" s="52" t="n">
        <v>20</v>
      </c>
      <c r="B33" s="52" t="inlineStr">
        <is>
          <t>eu-antitrust-enforcement--10_ix_the_compatibility_with_fundamental_rights_of_the_eu_antitrust_enforcement_system_in_which_the_european_commission_acts_both_as_investigator_and_as_first_instance_decision_maker.md</t>
        </is>
      </c>
      <c r="C33" s="52" t="inlineStr">
        <is>
          <t>Article (Review)</t>
        </is>
      </c>
      <c r="D33" s="52" t="n"/>
      <c r="E33" s="52" t="inlineStr">
        <is>
          <t>2c996db6-dd0f-46f5-be34-12be8f73b817</t>
        </is>
      </c>
      <c r="F33" s="52" t="n"/>
      <c r="G33" s="52" t="n"/>
      <c r="H33" s="52" t="inlineStr"/>
    </row>
    <row r="34" s="41">
      <c r="A34" s="52" t="n">
        <v>21</v>
      </c>
      <c r="B34" s="52" t="inlineStr">
        <is>
          <t>competition-inspections-25-jurisdictions--2_austria.md</t>
        </is>
      </c>
      <c r="C34" s="52" t="inlineStr">
        <is>
          <t>Article (Review)</t>
        </is>
      </c>
      <c r="D34" s="52" t="n"/>
      <c r="E34" s="52" t="inlineStr">
        <is>
          <t>ec7e95f2-ae1b-4c2b-9635-0ae49e53ba19</t>
        </is>
      </c>
      <c r="F34" s="52" t="n"/>
      <c r="G34" s="52" t="n"/>
      <c r="H34" s="52" t="inlineStr"/>
    </row>
    <row r="35" s="41">
      <c r="A35" s="52" t="n">
        <v>22</v>
      </c>
      <c r="B35" s="52" t="inlineStr">
        <is>
          <t>competition-inspections-25-jurisdictions--23_sweden.md</t>
        </is>
      </c>
      <c r="C35" s="52" t="inlineStr">
        <is>
          <t>Article (Review)</t>
        </is>
      </c>
      <c r="D35" s="52" t="n"/>
      <c r="E35" s="52" t="inlineStr">
        <is>
          <t>dcf6ff3a-fc96-4095-bbc3-ecdd4afa4808</t>
        </is>
      </c>
      <c r="F35" s="52" t="n"/>
      <c r="G35" s="52" t="n"/>
      <c r="H35" s="52" t="inlineStr"/>
    </row>
    <row r="36" s="41">
      <c r="A36" s="52" t="n">
        <v>23</v>
      </c>
      <c r="B36" s="52" t="inlineStr">
        <is>
          <t>62017TJ0249.md</t>
        </is>
      </c>
      <c r="C36" s="52" t="inlineStr">
        <is>
          <t>Court Decision</t>
        </is>
      </c>
      <c r="D36" s="52" t="inlineStr">
        <is>
          <t>EU</t>
        </is>
      </c>
      <c r="E36" s="52" t="inlineStr">
        <is>
          <t>dbf7bda8-39fa-4eb5-a6e2-f02b0787cb54</t>
        </is>
      </c>
      <c r="F36" s="52" t="n"/>
      <c r="G36" s="52" t="n"/>
      <c r="H36" s="52" t="inlineStr"/>
    </row>
    <row r="37" s="41">
      <c r="A37" s="52" t="n">
        <v>24</v>
      </c>
      <c r="B37" s="52" t="inlineStr">
        <is>
          <t>95849-3360-inspections-the-court-of-justice-of-the-european-union-gives-the-commission.md</t>
        </is>
      </c>
      <c r="C37" s="52" t="inlineStr">
        <is>
          <t>Bulletin article</t>
        </is>
      </c>
      <c r="D37" s="52" t="n"/>
      <c r="E37" s="52" t="inlineStr">
        <is>
          <t>afe07022-9e8e-4270-a8d4-2c0aaa70652f</t>
        </is>
      </c>
      <c r="F37" s="52" t="n"/>
      <c r="G37" s="52" t="n"/>
      <c r="H37" s="52" t="inlineStr"/>
    </row>
    <row r="38" s="41">
      <c r="A38" s="52" t="n">
        <v>25</v>
      </c>
      <c r="B38" s="52" t="inlineStr">
        <is>
          <t>competition-case-law-digest-5th--p09.md</t>
        </is>
      </c>
      <c r="C38" s="52" t="inlineStr">
        <is>
          <t>Book (Livre)</t>
        </is>
      </c>
      <c r="D38" s="52" t="n"/>
      <c r="E38" s="52" t="inlineStr">
        <is>
          <t>2f0afdb0-43c8-41b3-99e2-c3003ab906c1</t>
        </is>
      </c>
      <c r="F38" s="52" t="n"/>
      <c r="G38" s="52" t="n"/>
      <c r="H38" s="52" t="inlineStr"/>
    </row>
    <row r="39" s="41">
      <c r="A39" s="52" t="n">
        <v>26</v>
      </c>
      <c r="B39" s="52" t="inlineStr">
        <is>
          <t>103260-35-necessary-limits-to-the-commission-s-inspection-powers.md</t>
        </is>
      </c>
      <c r="C39" s="52" t="inlineStr">
        <is>
          <t>Article (Review)</t>
        </is>
      </c>
      <c r="D39" s="52" t="n"/>
      <c r="E39" s="52" t="inlineStr">
        <is>
          <t>bef18b4b-bb03-49c0-a7aa-afed485ec5d2</t>
        </is>
      </c>
      <c r="F39" s="52" t="n"/>
      <c r="G39" s="52" t="n"/>
      <c r="H39" s="52" t="inlineStr"/>
    </row>
    <row r="40" s="41">
      <c r="A40" s="52" t="n">
        <v>27</v>
      </c>
      <c r="B40" s="52" t="inlineStr">
        <is>
          <t>123082.md</t>
        </is>
      </c>
      <c r="C40" s="52" t="inlineStr">
        <is>
          <t>Bulletin article</t>
        </is>
      </c>
      <c r="D40" s="52" t="n"/>
      <c r="E40" s="52" t="inlineStr">
        <is>
          <t>18ab192b-10fe-48eb-95a5-bfcc61cd2c9d</t>
        </is>
      </c>
      <c r="F40" s="52" t="n"/>
      <c r="G40" s="52" t="n"/>
      <c r="H40" s="52" t="inlineStr"/>
    </row>
    <row r="41" s="41">
      <c r="A41" s="52" t="n">
        <v>28</v>
      </c>
      <c r="B41" s="52" t="inlineStr">
        <is>
          <t>81215.md</t>
        </is>
      </c>
      <c r="C41" s="52" t="inlineStr">
        <is>
          <t>Article (Review)</t>
        </is>
      </c>
      <c r="D41" s="52" t="n"/>
      <c r="E41" s="52" t="inlineStr">
        <is>
          <t>1326c749-4c6d-42ec-974e-b228dd1bf722</t>
        </is>
      </c>
      <c r="F41" s="52" t="n"/>
      <c r="G41" s="52" t="n"/>
      <c r="H41" s="52" t="inlineStr"/>
    </row>
    <row r="42" s="41">
      <c r="A42" s="52" t="n">
        <v>29</v>
      </c>
      <c r="B42" s="52" t="inlineStr">
        <is>
          <t>131258-the-eu-general-court-dismisses-an-action-challenging-commission-s-inspection-pow.md</t>
        </is>
      </c>
      <c r="C42" s="52" t="inlineStr">
        <is>
          <t>Bulletin article</t>
        </is>
      </c>
      <c r="D42" s="52" t="n"/>
      <c r="E42" s="52" t="inlineStr">
        <is>
          <t>b5e40090-4f79-422a-997e-8eaa7a359c88</t>
        </is>
      </c>
      <c r="F42" s="52" t="n"/>
      <c r="G42" s="52" t="n"/>
      <c r="H42" s="52" t="inlineStr"/>
    </row>
    <row r="43" s="41">
      <c r="A43" s="52" t="n">
        <v>30</v>
      </c>
      <c r="B43" s="52" t="inlineStr">
        <is>
          <t>62020CJ0682.md</t>
        </is>
      </c>
      <c r="C43" s="52" t="inlineStr">
        <is>
          <t>Court Decision</t>
        </is>
      </c>
      <c r="D43" s="52" t="inlineStr">
        <is>
          <t>EU</t>
        </is>
      </c>
      <c r="E43" s="52" t="inlineStr">
        <is>
          <t>408cfe67-7fe4-45a8-9c3e-de39d86d56cb</t>
        </is>
      </c>
      <c r="F43" s="52" t="n"/>
      <c r="G43" s="52" t="n"/>
      <c r="H43" s="52" t="inlineStr"/>
    </row>
    <row r="44" s="41">
      <c r="A44" s="52" t="n">
        <v>31</v>
      </c>
      <c r="B44" s="52" t="inlineStr">
        <is>
          <t>62014CC0033.md</t>
        </is>
      </c>
      <c r="C44" s="52" t="inlineStr">
        <is>
          <t>Bulletin article</t>
        </is>
      </c>
      <c r="D44" s="52" t="inlineStr">
        <is>
          <t>EU</t>
        </is>
      </c>
      <c r="E44" s="52" t="inlineStr">
        <is>
          <t>1dfad74b-fd57-47bb-bfab-18e86ff8d695</t>
        </is>
      </c>
      <c r="F44" s="52" t="n"/>
      <c r="G44" s="52" t="n"/>
      <c r="H44" s="52" t="inlineStr"/>
    </row>
    <row r="45" s="41">
      <c r="A45" s="52" t="n">
        <v>32</v>
      </c>
      <c r="B45" s="52" t="inlineStr">
        <is>
          <t>eu-antitrust-enforcement--17_xvi_re_adoption_by_the_european_commission_of_cartel_decisions_annulled_on_procedural_grounds_by_the_eu_courts.md</t>
        </is>
      </c>
      <c r="C45" s="52" t="inlineStr">
        <is>
          <t>Article (Review)</t>
        </is>
      </c>
      <c r="D45" s="52" t="n"/>
      <c r="E45" s="52" t="inlineStr">
        <is>
          <t>71ba5e7f-b51e-4068-b010-b7e7f422add9</t>
        </is>
      </c>
      <c r="F45" s="52" t="n"/>
      <c r="G45" s="52" t="n"/>
      <c r="H45" s="52" t="inlineStr"/>
    </row>
    <row r="46" s="41">
      <c r="A46" s="52" t="n">
        <v>33</v>
      </c>
      <c r="B46" s="52" t="inlineStr">
        <is>
          <t>62009TJ0135.md</t>
        </is>
      </c>
      <c r="C46" s="52" t="inlineStr">
        <is>
          <t>Court Decision</t>
        </is>
      </c>
      <c r="D46" s="52" t="inlineStr">
        <is>
          <t>EU</t>
        </is>
      </c>
      <c r="E46" s="52" t="inlineStr">
        <is>
          <t>10418f10-8b6f-4bcc-adf6-39e168b49440</t>
        </is>
      </c>
      <c r="F46" s="52" t="n"/>
      <c r="G46" s="52" t="n"/>
      <c r="H46" s="52" t="inlineStr"/>
    </row>
    <row r="47" s="41">
      <c r="A47" s="52" t="n">
        <v>34</v>
      </c>
      <c r="B47" s="52" t="inlineStr">
        <is>
          <t>62014CJ0413.md</t>
        </is>
      </c>
      <c r="C47" s="52" t="inlineStr">
        <is>
          <t>Court Decision</t>
        </is>
      </c>
      <c r="D47" s="52" t="inlineStr">
        <is>
          <t>EU</t>
        </is>
      </c>
      <c r="E47" s="52" t="inlineStr">
        <is>
          <t>72ccc95a-3fea-4dbb-b7f6-3d6b4b3fd958</t>
        </is>
      </c>
      <c r="F47" s="52" t="n"/>
      <c r="G47" s="52" t="n"/>
      <c r="H47" s="52" t="inlineStr"/>
    </row>
    <row r="48" s="41">
      <c r="A48" s="52" t="n">
        <v>35</v>
      </c>
      <c r="B48" s="52" t="inlineStr">
        <is>
          <t>62010TJ0391.md</t>
        </is>
      </c>
      <c r="C48" s="52" t="inlineStr">
        <is>
          <t>Court Decision</t>
        </is>
      </c>
      <c r="D48" s="52" t="inlineStr">
        <is>
          <t>EU</t>
        </is>
      </c>
      <c r="E48" s="52" t="inlineStr">
        <is>
          <t>5f2ef93f-f3a7-4390-b273-c71155847140</t>
        </is>
      </c>
      <c r="F48" s="52" t="n"/>
      <c r="G48" s="52" t="n"/>
      <c r="H48" s="52" t="inlineStr"/>
    </row>
    <row r="49" s="41">
      <c r="A49" s="52" t="n">
        <v>36</v>
      </c>
      <c r="B49" s="52" t="inlineStr">
        <is>
          <t>62023CC0070.md</t>
        </is>
      </c>
      <c r="C49" s="52" t="inlineStr">
        <is>
          <t>Bulletin article</t>
        </is>
      </c>
      <c r="D49" s="52" t="inlineStr">
        <is>
          <t>EU</t>
        </is>
      </c>
      <c r="E49" s="52" t="inlineStr">
        <is>
          <t>2a493229-62c6-48e3-be4c-c06477e996fc</t>
        </is>
      </c>
      <c r="F49" s="52" t="n"/>
      <c r="G49" s="52" t="n"/>
      <c r="H49" s="52" t="inlineStr"/>
    </row>
    <row r="50" s="41">
      <c r="A50" s="52" t="n">
        <v>37</v>
      </c>
      <c r="B50" s="52" t="inlineStr">
        <is>
          <t>129745.md</t>
        </is>
      </c>
      <c r="C50" s="52" t="inlineStr">
        <is>
          <t>Bulletin article</t>
        </is>
      </c>
      <c r="D50" s="52" t="n"/>
      <c r="E50" s="52" t="inlineStr">
        <is>
          <t>d77ab0a2-b289-4ca9-981f-ff910bb4451b</t>
        </is>
      </c>
      <c r="F50" s="52" t="n"/>
      <c r="G50" s="52" t="n"/>
      <c r="H50" s="52" t="inlineStr"/>
    </row>
    <row r="51" s="41">
      <c r="A51" s="52" t="n">
        <v>38</v>
      </c>
      <c r="B51" s="52" t="inlineStr">
        <is>
          <t>eu-antitrust-enforcement--15_xiv_procedural_rights_and_obligations_of_third_parties_in_antitrust_investigations_and_proceedings_by_the_european_commission.md</t>
        </is>
      </c>
      <c r="C51" s="52" t="inlineStr">
        <is>
          <t>Book (Livre)</t>
        </is>
      </c>
      <c r="D51" s="52" t="n"/>
      <c r="E51" s="52" t="inlineStr">
        <is>
          <t>b2429dd2-ef75-4f34-8bf2-95b08c3a4de5</t>
        </is>
      </c>
      <c r="F51" s="52" t="n"/>
      <c r="G51" s="52" t="n"/>
      <c r="H51" s="52" t="inlineStr"/>
    </row>
    <row r="52" s="41">
      <c r="A52" s="52" t="n">
        <v>39</v>
      </c>
      <c r="B52" s="52" t="inlineStr">
        <is>
          <t>judicial-review-competition-cases--7_european_union_-_are_there_any_limits_to_unlimited_jurisdiction_judicial_review_of_commission_discretion_in_setting_fines_for_breaches_of_eu_competition_rules.md</t>
        </is>
      </c>
      <c r="C52" s="52" t="inlineStr">
        <is>
          <t>Article (Review)</t>
        </is>
      </c>
      <c r="D52" s="52" t="n"/>
      <c r="E52" s="52" t="inlineStr">
        <is>
          <t>db161723-dcab-4880-a411-5ede0c406c3a</t>
        </is>
      </c>
      <c r="F52" s="52" t="n"/>
      <c r="G52" s="52" t="n"/>
      <c r="H52" s="52" t="inlineStr"/>
    </row>
    <row r="53" s="41">
      <c r="A53" s="52" t="n">
        <v>40</v>
      </c>
      <c r="B53" s="52" t="inlineStr">
        <is>
          <t>62015CO0523.md</t>
        </is>
      </c>
      <c r="C53" s="52" t="inlineStr">
        <is>
          <t>Court Decision</t>
        </is>
      </c>
      <c r="D53" s="52" t="inlineStr">
        <is>
          <t>EU</t>
        </is>
      </c>
      <c r="E53" s="52" t="inlineStr">
        <is>
          <t>b66f8514-c7d7-4322-9e3d-b85b2b24d658</t>
        </is>
      </c>
      <c r="F53" s="52" t="n"/>
      <c r="G53" s="52" t="n"/>
      <c r="H53" s="52" t="inlineStr"/>
    </row>
    <row r="54" s="41">
      <c r="A54" s="52" t="n">
        <v>41</v>
      </c>
      <c r="B54" s="52" t="inlineStr">
        <is>
          <t>AT.39226-DEC_0F3A3B18-111D-43A8-836E-D0A7EA9CD4E1_-ATT8310.md</t>
        </is>
      </c>
      <c r="C54" s="52" t="inlineStr">
        <is>
          <t>Regulatory Decision</t>
        </is>
      </c>
      <c r="D54" s="52" t="inlineStr">
        <is>
          <t>EU</t>
        </is>
      </c>
      <c r="E54" s="52" t="inlineStr">
        <is>
          <t>530c713d-168b-4e73-828b-429d06bf028f</t>
        </is>
      </c>
      <c r="F54" s="52" t="n"/>
      <c r="G54" s="52" t="n"/>
      <c r="H54" s="52" t="inlineStr"/>
    </row>
    <row r="55" s="41">
      <c r="A55" s="52" t="n">
        <v>42</v>
      </c>
      <c r="B55" s="52" t="inlineStr">
        <is>
          <t>62014CJ0033.md</t>
        </is>
      </c>
      <c r="C55" s="52" t="inlineStr">
        <is>
          <t>Court Decision</t>
        </is>
      </c>
      <c r="D55" s="52" t="inlineStr">
        <is>
          <t>EU</t>
        </is>
      </c>
      <c r="E55" s="52" t="inlineStr">
        <is>
          <t>416f824d-8129-498b-86b2-330a30a0f664</t>
        </is>
      </c>
      <c r="F55" s="52" t="n"/>
      <c r="G55" s="52" t="n"/>
      <c r="H55" s="52" t="inlineStr"/>
    </row>
    <row r="56" s="41">
      <c r="A56" s="52" t="n">
        <v>43</v>
      </c>
      <c r="B56" s="52" t="inlineStr">
        <is>
          <t>62020CC0376.md</t>
        </is>
      </c>
      <c r="C56" s="52" t="inlineStr">
        <is>
          <t>Court Decision</t>
        </is>
      </c>
      <c r="D56" s="52" t="inlineStr">
        <is>
          <t>EU</t>
        </is>
      </c>
      <c r="E56" s="52" t="inlineStr">
        <is>
          <t>cebd4962-06e0-43a6-ac13-b9cc9b05c9e7</t>
        </is>
      </c>
      <c r="F56" s="52" t="n"/>
      <c r="G56" s="52" t="n"/>
      <c r="H56" s="52" t="inlineStr"/>
    </row>
    <row r="57" s="41">
      <c r="A57" s="52" t="n">
        <v>44</v>
      </c>
      <c r="B57" s="52" t="inlineStr">
        <is>
          <t>62019CJ0563.md</t>
        </is>
      </c>
      <c r="C57" s="52" t="inlineStr">
        <is>
          <t>Court Decision</t>
        </is>
      </c>
      <c r="D57" s="52" t="inlineStr">
        <is>
          <t>EU</t>
        </is>
      </c>
      <c r="E57" s="52" t="inlineStr">
        <is>
          <t>e913f312-653c-49c1-b77a-4a633a3b4bfc</t>
        </is>
      </c>
      <c r="F57" s="52" t="n"/>
      <c r="G57" s="52" t="n"/>
      <c r="H57" s="52" t="inlineStr"/>
    </row>
    <row r="58" s="41">
      <c r="A58" s="52" t="n">
        <v>45</v>
      </c>
      <c r="B58" s="52" t="inlineStr">
        <is>
          <t>62011TJ0479.md</t>
        </is>
      </c>
      <c r="C58" s="52" t="inlineStr">
        <is>
          <t>Court Decision</t>
        </is>
      </c>
      <c r="D58" s="52" t="inlineStr">
        <is>
          <t>EU</t>
        </is>
      </c>
      <c r="E58" s="52" t="inlineStr">
        <is>
          <t>90b1484a-0221-4975-aa87-a00b163ae751</t>
        </is>
      </c>
      <c r="F58" s="52" t="n"/>
      <c r="G58" s="52" t="n"/>
      <c r="H58" s="52" t="inlineStr"/>
    </row>
    <row r="59" s="41">
      <c r="A59" s="52" t="n">
        <v>46</v>
      </c>
      <c r="B59" s="52" t="inlineStr">
        <is>
          <t>58160.md</t>
        </is>
      </c>
      <c r="C59" s="52" t="inlineStr">
        <is>
          <t>Bulletin article</t>
        </is>
      </c>
      <c r="D59" s="52" t="n"/>
      <c r="E59" s="52" t="inlineStr">
        <is>
          <t>9230c853-1214-4548-9896-650afa1d0132</t>
        </is>
      </c>
      <c r="F59" s="52" t="n"/>
      <c r="G59" s="52" t="n"/>
      <c r="H59" s="52" t="inlineStr"/>
    </row>
    <row r="60" s="41">
      <c r="A60" s="52" t="n">
        <v>47</v>
      </c>
      <c r="B60" s="52" t="inlineStr">
        <is>
          <t>105103.md</t>
        </is>
      </c>
      <c r="C60" s="52" t="inlineStr">
        <is>
          <t>Bulletin article</t>
        </is>
      </c>
      <c r="D60" s="52" t="n"/>
      <c r="E60" s="52" t="inlineStr">
        <is>
          <t>f10e4cc4-d036-4949-b9be-86b79b54fa7d</t>
        </is>
      </c>
      <c r="F60" s="52" t="n"/>
      <c r="G60" s="52" t="n"/>
      <c r="H60" s="52" t="inlineStr"/>
    </row>
    <row r="61" s="41">
      <c r="A61" s="52" t="n">
        <v>48</v>
      </c>
      <c r="B61" s="52" t="inlineStr">
        <is>
          <t>62023CJ0258.md</t>
        </is>
      </c>
      <c r="C61" s="52" t="inlineStr">
        <is>
          <t>Court Decision</t>
        </is>
      </c>
      <c r="D61" s="52" t="inlineStr">
        <is>
          <t>EU</t>
        </is>
      </c>
      <c r="E61" s="52" t="inlineStr">
        <is>
          <t>5aa970eb-b95b-47f7-848c-8251ba16e8bc</t>
        </is>
      </c>
      <c r="F61" s="52" t="n"/>
      <c r="G61" s="52" t="n"/>
      <c r="H61" s="52" t="inlineStr"/>
    </row>
    <row r="62" s="41">
      <c r="A62" s="52" t="n">
        <v>49</v>
      </c>
      <c r="B62" s="52" t="inlineStr">
        <is>
          <t>62018CJ0312.md</t>
        </is>
      </c>
      <c r="C62" s="52" t="inlineStr">
        <is>
          <t>Court Decision</t>
        </is>
      </c>
      <c r="D62" s="52" t="inlineStr">
        <is>
          <t>EU</t>
        </is>
      </c>
      <c r="E62" s="52" t="inlineStr">
        <is>
          <t>08dfceb2-3d7f-4ffa-9cfb-5b557d7cae14</t>
        </is>
      </c>
      <c r="F62" s="52" t="n"/>
      <c r="G62" s="52" t="n"/>
      <c r="H62" s="52" t="inlineStr"/>
    </row>
    <row r="63" s="41">
      <c r="A63" s="52" t="n">
        <v>50</v>
      </c>
      <c r="B63" s="52" t="inlineStr">
        <is>
          <t>62017CJ0114.md</t>
        </is>
      </c>
      <c r="C63" s="52" t="inlineStr">
        <is>
          <t>Court Decision</t>
        </is>
      </c>
      <c r="D63" s="52" t="inlineStr">
        <is>
          <t>EU</t>
        </is>
      </c>
      <c r="E63" s="52" t="inlineStr">
        <is>
          <t>3a7152cd-6afa-4e4f-8c45-eaaf4bc248a6</t>
        </is>
      </c>
      <c r="F63" s="52" t="n"/>
      <c r="G63" s="52" t="n"/>
      <c r="H63" s="52" t="inlineStr"/>
    </row>
    <row r="64" s="41">
      <c r="A64" s="52" t="n">
        <v>51</v>
      </c>
      <c r="B64" s="52" t="inlineStr">
        <is>
          <t>62016CJ0128.md</t>
        </is>
      </c>
      <c r="C64" s="52" t="inlineStr">
        <is>
          <t>Court Decision</t>
        </is>
      </c>
      <c r="D64" s="52" t="inlineStr">
        <is>
          <t>EU</t>
        </is>
      </c>
      <c r="E64" s="52" t="inlineStr">
        <is>
          <t>59490de3-8af2-4a5c-aa9b-14f059c7301f</t>
        </is>
      </c>
      <c r="F64" s="52" t="n"/>
      <c r="G64" s="52" t="n"/>
      <c r="H64" s="52" t="inlineStr"/>
    </row>
    <row r="65" s="41">
      <c r="A65" s="52" t="n">
        <v>52</v>
      </c>
      <c r="B65" s="52" t="inlineStr">
        <is>
          <t>62024CO0089(01).md</t>
        </is>
      </c>
      <c r="C65" s="52" t="inlineStr">
        <is>
          <t>Court Decision</t>
        </is>
      </c>
      <c r="D65" s="52" t="inlineStr">
        <is>
          <t>EU</t>
        </is>
      </c>
      <c r="E65" s="52" t="inlineStr">
        <is>
          <t>c937b817-5c56-4e36-8458-4a937aa0c4a4</t>
        </is>
      </c>
      <c r="F65" s="52" t="n"/>
      <c r="G65" s="52" t="n"/>
      <c r="H65" s="52" t="inlineStr"/>
    </row>
    <row r="66" s="41">
      <c r="A66" s="52" t="n">
        <v>53</v>
      </c>
      <c r="B66" s="52" t="inlineStr">
        <is>
          <t>m10262.md</t>
        </is>
      </c>
      <c r="C66" s="52" t="inlineStr">
        <is>
          <t>Regulatory Decision</t>
        </is>
      </c>
      <c r="D66" s="52" t="inlineStr">
        <is>
          <t>EU</t>
        </is>
      </c>
      <c r="E66" s="52" t="inlineStr">
        <is>
          <t>371d0689-523b-4cfd-b127-c2e6980e3905</t>
        </is>
      </c>
      <c r="F66" s="52" t="n"/>
      <c r="G66" s="52" t="n"/>
      <c r="H66" s="52" t="inlineStr"/>
    </row>
    <row r="67" s="41">
      <c r="A67" s="52" t="n">
        <v>54</v>
      </c>
      <c r="B67" s="52" t="inlineStr">
        <is>
          <t>62022CJ0381.md</t>
        </is>
      </c>
      <c r="C67" s="52" t="inlineStr">
        <is>
          <t>Court Decision</t>
        </is>
      </c>
      <c r="D67" s="52" t="inlineStr">
        <is>
          <t>EU</t>
        </is>
      </c>
      <c r="E67" s="52" t="inlineStr">
        <is>
          <t>71722674-1979-43b0-b9fb-45efc66190fe</t>
        </is>
      </c>
      <c r="F67" s="52" t="n"/>
      <c r="G67" s="52" t="n"/>
      <c r="H67" s="52" t="inlineStr"/>
    </row>
    <row r="68" s="41">
      <c r="A68" s="52" t="n">
        <v>55</v>
      </c>
      <c r="B68" s="52" t="inlineStr">
        <is>
          <t>62021CC0127.md</t>
        </is>
      </c>
      <c r="C68" s="52" t="inlineStr">
        <is>
          <t>Bulletin article</t>
        </is>
      </c>
      <c r="D68" s="52" t="inlineStr">
        <is>
          <t>EU</t>
        </is>
      </c>
      <c r="E68" s="52" t="inlineStr">
        <is>
          <t>dbfdd0df-0a72-4d2b-ba4d-e1e7ead79ba5</t>
        </is>
      </c>
      <c r="F68" s="52" t="n"/>
      <c r="G68" s="52" t="n"/>
      <c r="H68" s="52" t="inlineStr"/>
    </row>
    <row r="69" s="41">
      <c r="A69" s="52" t="n">
        <v>56</v>
      </c>
      <c r="B69" s="52" t="inlineStr">
        <is>
          <t>62019CJ0466.md</t>
        </is>
      </c>
      <c r="C69" s="52" t="inlineStr">
        <is>
          <t>Court Decision</t>
        </is>
      </c>
      <c r="D69" s="52" t="inlineStr">
        <is>
          <t>EU</t>
        </is>
      </c>
      <c r="E69" s="52" t="inlineStr">
        <is>
          <t>d689bd0f-f033-4a3f-b10f-6ff4843115fe</t>
        </is>
      </c>
      <c r="F69" s="52" t="n"/>
      <c r="G69" s="52" t="n"/>
      <c r="H69" s="52" t="inlineStr"/>
    </row>
    <row r="70" s="41">
      <c r="A70" s="52" t="n">
        <v>57</v>
      </c>
      <c r="B70" s="52" t="inlineStr">
        <is>
          <t>62022CJ0588.md</t>
        </is>
      </c>
      <c r="C70" s="52" t="inlineStr">
        <is>
          <t>Court Decision</t>
        </is>
      </c>
      <c r="D70" s="52" t="inlineStr">
        <is>
          <t>EU</t>
        </is>
      </c>
      <c r="E70" s="52" t="inlineStr">
        <is>
          <t>0979c7ef-861a-452d-8976-0e0c34984b26</t>
        </is>
      </c>
      <c r="F70" s="52" t="n"/>
      <c r="G70" s="52" t="n"/>
      <c r="H70" s="52" t="inlineStr"/>
    </row>
    <row r="71" s="41">
      <c r="A71" s="52" t="n">
        <v>58</v>
      </c>
      <c r="B71" s="52" t="inlineStr">
        <is>
          <t>82445.md</t>
        </is>
      </c>
      <c r="C71" s="52" t="inlineStr">
        <is>
          <t>Article (Review)</t>
        </is>
      </c>
      <c r="D71" s="52" t="n"/>
      <c r="E71" s="52" t="inlineStr">
        <is>
          <t>1be45df1-87e1-4ba2-bdd9-76e5fe184f97</t>
        </is>
      </c>
      <c r="F71" s="52" t="n"/>
      <c r="G71" s="52" t="n"/>
      <c r="H71" s="52" t="inlineStr"/>
    </row>
    <row r="72" s="41">
      <c r="A72" s="52" t="n">
        <v>59</v>
      </c>
      <c r="B72" s="52" t="inlineStr">
        <is>
          <t>62023CJ0469.md</t>
        </is>
      </c>
      <c r="C72" s="52" t="inlineStr">
        <is>
          <t>Court Decision</t>
        </is>
      </c>
      <c r="D72" s="52" t="inlineStr">
        <is>
          <t>EU</t>
        </is>
      </c>
      <c r="E72" s="52" t="inlineStr">
        <is>
          <t>a84d24e9-3bea-4652-8dc3-644d6a4adcea</t>
        </is>
      </c>
      <c r="F72" s="52" t="n"/>
      <c r="G72" s="52" t="n"/>
      <c r="H72" s="52" t="inlineStr"/>
    </row>
    <row r="73" s="41">
      <c r="A73" s="52" t="n">
        <v>60</v>
      </c>
      <c r="B73" s="52" t="inlineStr">
        <is>
          <t>62016CC0127.md</t>
        </is>
      </c>
      <c r="C73" s="52" t="inlineStr">
        <is>
          <t>Bulletin article</t>
        </is>
      </c>
      <c r="D73" s="52" t="inlineStr">
        <is>
          <t>EU</t>
        </is>
      </c>
      <c r="E73" s="52" t="inlineStr">
        <is>
          <t>4c7242f9-9257-43fb-b899-956982e01af3</t>
        </is>
      </c>
      <c r="F73" s="52" t="n"/>
      <c r="G73" s="52" t="n"/>
      <c r="H73" s="52" t="inlineStr"/>
    </row>
    <row r="74" s="41">
      <c r="A74" s="52" t="n">
        <v>61</v>
      </c>
      <c r="B74" s="52" t="inlineStr">
        <is>
          <t>62022CC0710.md</t>
        </is>
      </c>
      <c r="C74" s="52" t="inlineStr">
        <is>
          <t>Bulletin article</t>
        </is>
      </c>
      <c r="D74" s="52" t="inlineStr">
        <is>
          <t>EU</t>
        </is>
      </c>
      <c r="E74" s="52" t="inlineStr">
        <is>
          <t>80298346-8dbb-46c6-a5bb-6cef92615f48</t>
        </is>
      </c>
      <c r="F74" s="52" t="n"/>
      <c r="G74" s="52" t="n"/>
      <c r="H74" s="52" t="inlineStr"/>
    </row>
    <row r="75" s="41">
      <c r="A75" s="52" t="n">
        <v>62</v>
      </c>
      <c r="B75" s="52" t="inlineStr">
        <is>
          <t>competition-inspections-25-jurisdictions--6_czech_republic.md</t>
        </is>
      </c>
      <c r="C75" s="52" t="inlineStr">
        <is>
          <t>Article (Review)</t>
        </is>
      </c>
      <c r="D75" s="52" t="n"/>
      <c r="E75" s="52" t="inlineStr">
        <is>
          <t>08f914a6-de6d-4956-ab36-2b0f38bbe6b1</t>
        </is>
      </c>
      <c r="F75" s="52" t="n"/>
      <c r="G75" s="52" t="n"/>
      <c r="H75" s="52" t="inlineStr"/>
    </row>
    <row r="76" s="41">
      <c r="A76" s="52" t="n">
        <v>63</v>
      </c>
      <c r="B76" s="52" t="inlineStr">
        <is>
          <t>62017CC0099.md</t>
        </is>
      </c>
      <c r="C76" s="52" t="inlineStr">
        <is>
          <t>Bulletin article</t>
        </is>
      </c>
      <c r="D76" s="52" t="inlineStr">
        <is>
          <t>EU</t>
        </is>
      </c>
      <c r="E76" s="52" t="inlineStr">
        <is>
          <t>8e8bced1-37dc-412f-ba1b-7dfd92e6c516</t>
        </is>
      </c>
      <c r="F76" s="52" t="n"/>
      <c r="G76" s="52" t="n"/>
      <c r="H76" s="52" t="inlineStr"/>
    </row>
    <row r="77" s="41">
      <c r="A77" s="52" t="n">
        <v>64</v>
      </c>
      <c r="B77" s="52" t="inlineStr">
        <is>
          <t>62014CJ0247.md</t>
        </is>
      </c>
      <c r="C77" s="52" t="inlineStr">
        <is>
          <t>Court Decision</t>
        </is>
      </c>
      <c r="D77" s="52" t="inlineStr">
        <is>
          <t>EU</t>
        </is>
      </c>
      <c r="E77" s="52" t="inlineStr">
        <is>
          <t>df8c7156-3176-4c1f-8b15-ec687b386142</t>
        </is>
      </c>
      <c r="F77" s="52" t="n"/>
      <c r="G77" s="52" t="n"/>
      <c r="H77" s="52" t="inlineStr"/>
    </row>
    <row r="78" s="41">
      <c r="A78" s="52" t="n">
        <v>65</v>
      </c>
      <c r="B78" s="52" t="inlineStr">
        <is>
          <t>100066.md</t>
        </is>
      </c>
      <c r="C78" s="52" t="inlineStr">
        <is>
          <t>Bulletin article</t>
        </is>
      </c>
      <c r="D78" s="52" t="n"/>
      <c r="E78" s="52" t="inlineStr">
        <is>
          <t>cf5bb273-df83-4359-89b3-f6c951998319</t>
        </is>
      </c>
      <c r="F78" s="52" t="n"/>
      <c r="G78" s="52" t="n"/>
      <c r="H78" s="52" t="inlineStr"/>
    </row>
    <row r="79" s="41">
      <c r="A79" s="52" t="n">
        <v>66</v>
      </c>
      <c r="B79" s="52" t="inlineStr">
        <is>
          <t>competition-case-law-digest-5th--p10.md</t>
        </is>
      </c>
      <c r="C79" s="52" t="inlineStr">
        <is>
          <t>Book (Livre)</t>
        </is>
      </c>
      <c r="D79" s="52" t="n"/>
      <c r="E79" s="52" t="inlineStr">
        <is>
          <t>65e060cb-bdeb-413d-b4e8-b9ffe0ed3995</t>
        </is>
      </c>
      <c r="F79" s="52" t="n"/>
      <c r="G79" s="52" t="n"/>
      <c r="H79" s="52" t="inlineStr"/>
    </row>
    <row r="80" s="41">
      <c r="A80" s="52" t="n">
        <v>67</v>
      </c>
      <c r="B80" s="52" t="inlineStr">
        <is>
          <t>62014TJ0447.md</t>
        </is>
      </c>
      <c r="C80" s="52" t="inlineStr">
        <is>
          <t>Court Decision</t>
        </is>
      </c>
      <c r="D80" s="52" t="inlineStr">
        <is>
          <t>EU</t>
        </is>
      </c>
      <c r="E80" s="52" t="inlineStr">
        <is>
          <t>aef64236-c9f7-4cf3-b707-108a4788237a</t>
        </is>
      </c>
      <c r="F80" s="52" t="n"/>
      <c r="G80" s="52" t="n"/>
      <c r="H80" s="52" t="inlineStr"/>
    </row>
    <row r="81" s="41">
      <c r="A81" s="52" t="n">
        <v>68</v>
      </c>
      <c r="B81" s="52" t="inlineStr">
        <is>
          <t>62021CC0124.md</t>
        </is>
      </c>
      <c r="C81" s="52" t="inlineStr">
        <is>
          <t>Bulletin article</t>
        </is>
      </c>
      <c r="D81" s="52" t="inlineStr">
        <is>
          <t>EU</t>
        </is>
      </c>
      <c r="E81" s="52" t="inlineStr">
        <is>
          <t>b3a3307a-ef8c-4201-9ba6-9f545169d731</t>
        </is>
      </c>
      <c r="F81" s="52" t="n"/>
      <c r="G81" s="52" t="n"/>
      <c r="H81" s="52" t="inlineStr"/>
    </row>
    <row r="82" s="41">
      <c r="A82" s="52" t="n">
        <v>69</v>
      </c>
      <c r="B82" s="52" t="inlineStr">
        <is>
          <t>62012CJ0533.md</t>
        </is>
      </c>
      <c r="C82" s="52" t="inlineStr">
        <is>
          <t>Court Decision</t>
        </is>
      </c>
      <c r="D82" s="52" t="inlineStr">
        <is>
          <t>EU</t>
        </is>
      </c>
      <c r="E82" s="52" t="inlineStr">
        <is>
          <t>1b83fc6f-23d8-430a-bc98-6c6d212694cb</t>
        </is>
      </c>
      <c r="F82" s="52" t="n"/>
      <c r="G82" s="52" t="n"/>
      <c r="H82" s="52" t="inlineStr"/>
    </row>
    <row r="83" s="41">
      <c r="A83" s="52" t="n">
        <v>70</v>
      </c>
      <c r="B83" s="52" t="inlineStr">
        <is>
          <t>62023TJ0263.md</t>
        </is>
      </c>
      <c r="C83" s="52" t="inlineStr">
        <is>
          <t>Court Decision</t>
        </is>
      </c>
      <c r="D83" s="52" t="inlineStr">
        <is>
          <t>EU</t>
        </is>
      </c>
      <c r="E83" s="52" t="inlineStr">
        <is>
          <t>16791fea-a958-4950-92a6-5a1b65fb3a04</t>
        </is>
      </c>
      <c r="F83" s="52" t="n"/>
      <c r="G83" s="52" t="n"/>
      <c r="H83" s="52" t="inlineStr"/>
    </row>
    <row r="84" s="41">
      <c r="A84" s="52" t="n">
        <v>71</v>
      </c>
      <c r="B84" s="52" t="inlineStr">
        <is>
          <t>62016CJ0438.md</t>
        </is>
      </c>
      <c r="C84" s="52" t="inlineStr">
        <is>
          <t>Court Decision</t>
        </is>
      </c>
      <c r="D84" s="52" t="inlineStr">
        <is>
          <t>EU</t>
        </is>
      </c>
      <c r="E84" s="52" t="inlineStr">
        <is>
          <t>4e193755-9e03-49a1-bd07-727bc33bd6fe</t>
        </is>
      </c>
      <c r="F84" s="52" t="n"/>
      <c r="G84" s="52" t="n"/>
      <c r="H84" s="52" t="inlineStr"/>
    </row>
    <row r="85" s="41">
      <c r="A85" s="52" t="n">
        <v>72</v>
      </c>
      <c r="B85" s="52" t="inlineStr">
        <is>
          <t>62019CJ0160.md</t>
        </is>
      </c>
      <c r="C85" s="52" t="inlineStr">
        <is>
          <t>Court Decision</t>
        </is>
      </c>
      <c r="D85" s="52" t="inlineStr">
        <is>
          <t>EU</t>
        </is>
      </c>
      <c r="E85" s="52" t="inlineStr">
        <is>
          <t>b909ae04-0469-4faf-a32c-037f231befa9</t>
        </is>
      </c>
      <c r="F85" s="52" t="n"/>
      <c r="G85" s="52" t="n"/>
      <c r="H85" s="52" t="inlineStr"/>
    </row>
    <row r="86" s="41">
      <c r="A86" s="52" t="n">
        <v>73</v>
      </c>
      <c r="B86" s="52" t="inlineStr">
        <is>
          <t>62014CO0291.md</t>
        </is>
      </c>
      <c r="C86" s="52" t="inlineStr">
        <is>
          <t>Court Decision</t>
        </is>
      </c>
      <c r="D86" s="52" t="inlineStr">
        <is>
          <t>EU</t>
        </is>
      </c>
      <c r="E86" s="52" t="inlineStr">
        <is>
          <t>f7ba2f7e-59c8-4e8a-9987-b6c312dd273c</t>
        </is>
      </c>
      <c r="F86" s="52" t="n"/>
      <c r="G86" s="52" t="n"/>
      <c r="H86" s="52" t="inlineStr"/>
    </row>
    <row r="87" s="41">
      <c r="A87" s="52" t="n">
        <v>74</v>
      </c>
      <c r="B87" s="52" t="inlineStr">
        <is>
          <t>competition-inspections-25-jurisdictions--27_united_kingdom.md</t>
        </is>
      </c>
      <c r="C87" s="52" t="inlineStr">
        <is>
          <t>Article (Review)</t>
        </is>
      </c>
      <c r="D87" s="52" t="n"/>
      <c r="E87" s="52" t="inlineStr">
        <is>
          <t>5261e3c8-c961-4df0-a163-1e489d633173</t>
        </is>
      </c>
      <c r="F87" s="52" t="n"/>
      <c r="G87" s="52" t="n"/>
      <c r="H87" s="52" t="inlineStr"/>
    </row>
    <row r="88" s="41">
      <c r="A88" s="52" t="n">
        <v>75</v>
      </c>
      <c r="B88" s="52" t="inlineStr">
        <is>
          <t>62011TJ0479(01).md</t>
        </is>
      </c>
      <c r="C88" s="52" t="inlineStr">
        <is>
          <t>Court Decision</t>
        </is>
      </c>
      <c r="D88" s="52" t="inlineStr">
        <is>
          <t>EU</t>
        </is>
      </c>
      <c r="E88" s="52" t="inlineStr">
        <is>
          <t>07ad3a2d-7c73-4692-8d66-691144bafcda</t>
        </is>
      </c>
      <c r="F88" s="52" t="n"/>
      <c r="G88" s="52" t="n"/>
      <c r="H88" s="52" t="inlineStr"/>
    </row>
    <row r="89" s="41">
      <c r="A89" s="52" t="n">
        <v>76</v>
      </c>
      <c r="B89" s="52" t="inlineStr">
        <is>
          <t>62013TJ0454.md</t>
        </is>
      </c>
      <c r="C89" s="52" t="inlineStr">
        <is>
          <t>Court Decision</t>
        </is>
      </c>
      <c r="D89" s="52" t="inlineStr">
        <is>
          <t>EU</t>
        </is>
      </c>
      <c r="E89" s="52" t="inlineStr">
        <is>
          <t>13f96c8f-8068-4f0e-85e3-db089fa1364f</t>
        </is>
      </c>
      <c r="F89" s="52" t="n"/>
      <c r="G89" s="52" t="n"/>
      <c r="H89" s="52" t="inlineStr"/>
    </row>
    <row r="90" s="41">
      <c r="A90" s="52" t="n">
        <v>77</v>
      </c>
      <c r="B90" s="52" t="inlineStr">
        <is>
          <t>62018CJ0403.md</t>
        </is>
      </c>
      <c r="C90" s="52" t="inlineStr">
        <is>
          <t>Court Decision</t>
        </is>
      </c>
      <c r="D90" s="52" t="inlineStr">
        <is>
          <t>EU</t>
        </is>
      </c>
      <c r="E90" s="52" t="inlineStr">
        <is>
          <t>5b155c4b-0345-4afa-8dee-d56351895c8f</t>
        </is>
      </c>
      <c r="F90" s="52" t="n"/>
      <c r="G90" s="52" t="n"/>
      <c r="H90" s="52" t="inlineStr"/>
    </row>
    <row r="91" s="41">
      <c r="A91" s="52" t="n">
        <v>78</v>
      </c>
      <c r="B91" s="52" t="inlineStr">
        <is>
          <t>62015CC0467.md</t>
        </is>
      </c>
      <c r="C91" s="52" t="inlineStr">
        <is>
          <t>Court Decision</t>
        </is>
      </c>
      <c r="D91" s="52" t="inlineStr">
        <is>
          <t>EU</t>
        </is>
      </c>
      <c r="E91" s="52" t="inlineStr">
        <is>
          <t>6258d26c-7799-4c68-9bde-a5865bbc5c84</t>
        </is>
      </c>
      <c r="F91" s="52" t="n"/>
      <c r="G91" s="52" t="n"/>
      <c r="H91" s="52" t="inlineStr"/>
    </row>
    <row r="92" s="41">
      <c r="A92" s="52" t="n">
        <v>79</v>
      </c>
      <c r="B92" s="52" t="inlineStr">
        <is>
          <t>62015CJ0088.md</t>
        </is>
      </c>
      <c r="C92" s="52" t="inlineStr">
        <is>
          <t>Court Decision</t>
        </is>
      </c>
      <c r="D92" s="52" t="inlineStr">
        <is>
          <t>EU</t>
        </is>
      </c>
      <c r="E92" s="52" t="inlineStr">
        <is>
          <t>80f4c149-8f30-416e-b690-ada942e3745a</t>
        </is>
      </c>
      <c r="F92" s="52" t="n"/>
      <c r="G92" s="52" t="n"/>
      <c r="H92" s="52" t="inlineStr"/>
    </row>
    <row r="93" s="41">
      <c r="A93" s="52" t="n">
        <v>80</v>
      </c>
      <c r="B93" s="52" t="inlineStr">
        <is>
          <t>62013CJ0603.md</t>
        </is>
      </c>
      <c r="C93" s="52" t="inlineStr">
        <is>
          <t>Court Decision</t>
        </is>
      </c>
      <c r="D93" s="52" t="inlineStr">
        <is>
          <t>EU</t>
        </is>
      </c>
      <c r="E93" s="52" t="inlineStr">
        <is>
          <t>976727e2-93f1-4a8f-b52f-9f894dfa12db</t>
        </is>
      </c>
      <c r="F93" s="52" t="n"/>
      <c r="G93" s="52" t="n"/>
      <c r="H93" s="52" t="inlineStr"/>
    </row>
    <row r="94" s="41">
      <c r="A94" s="52" t="n">
        <v>81</v>
      </c>
      <c r="B94" s="52" t="inlineStr">
        <is>
          <t>62023CJ0059.md</t>
        </is>
      </c>
      <c r="C94" s="52" t="inlineStr">
        <is>
          <t>Court Decision</t>
        </is>
      </c>
      <c r="D94" s="52" t="inlineStr">
        <is>
          <t>EU</t>
        </is>
      </c>
      <c r="E94" s="52" t="inlineStr">
        <is>
          <t>8cc32865-be8d-4e30-9d85-465402543a82</t>
        </is>
      </c>
      <c r="F94" s="52" t="n"/>
      <c r="G94" s="52" t="n"/>
      <c r="H94" s="52" t="inlineStr"/>
    </row>
    <row r="95" s="41">
      <c r="A95" s="52" t="n">
        <v>82</v>
      </c>
      <c r="B95" s="52" t="inlineStr">
        <is>
          <t>62021CJ0127.md</t>
        </is>
      </c>
      <c r="C95" s="52" t="inlineStr">
        <is>
          <t>Court Decision</t>
        </is>
      </c>
      <c r="D95" s="52" t="inlineStr">
        <is>
          <t>EU</t>
        </is>
      </c>
      <c r="E95" s="52" t="inlineStr">
        <is>
          <t>f4b45116-6120-413a-ab5f-34f6f1413e14</t>
        </is>
      </c>
      <c r="F95" s="52" t="n"/>
      <c r="G95" s="52" t="n"/>
      <c r="H95" s="52" t="inlineStr"/>
    </row>
    <row r="96" s="41">
      <c r="A96" s="52" t="n">
        <v>83</v>
      </c>
      <c r="B96" s="52" t="inlineStr">
        <is>
          <t>62018CJ0590.md</t>
        </is>
      </c>
      <c r="C96" s="52" t="inlineStr">
        <is>
          <t>Court Decision</t>
        </is>
      </c>
      <c r="D96" s="52" t="inlineStr">
        <is>
          <t>EU</t>
        </is>
      </c>
      <c r="E96" s="52" t="inlineStr">
        <is>
          <t>1db3fe06-7b9f-4005-ab48-86392aea088a</t>
        </is>
      </c>
      <c r="F96" s="52" t="n"/>
      <c r="G96" s="52" t="n"/>
      <c r="H96" s="52" t="inlineStr"/>
    </row>
    <row r="97" s="41">
      <c r="A97" s="52" t="n">
        <v>84</v>
      </c>
      <c r="B97" s="52" t="inlineStr">
        <is>
          <t>62014TJ0446.md</t>
        </is>
      </c>
      <c r="C97" s="52" t="inlineStr">
        <is>
          <t>Court Decision</t>
        </is>
      </c>
      <c r="D97" s="52" t="inlineStr">
        <is>
          <t>EU</t>
        </is>
      </c>
      <c r="E97" s="52" t="inlineStr">
        <is>
          <t>0544383c-55cc-41be-80a9-8bbf021f4238</t>
        </is>
      </c>
      <c r="F97" s="52" t="n"/>
      <c r="G97" s="52" t="n"/>
      <c r="H97" s="52" t="inlineStr"/>
    </row>
    <row r="98" s="41">
      <c r="A98" s="52" t="n">
        <v>85</v>
      </c>
      <c r="B98" s="52" t="inlineStr">
        <is>
          <t>62015CJ0588.md</t>
        </is>
      </c>
      <c r="C98" s="52" t="inlineStr">
        <is>
          <t>Court Decision</t>
        </is>
      </c>
      <c r="D98" s="52" t="inlineStr">
        <is>
          <t>EU</t>
        </is>
      </c>
      <c r="E98" s="52" t="inlineStr">
        <is>
          <t>cbfe5e8c-1d2b-4e1f-97dc-7016f799a8bb</t>
        </is>
      </c>
      <c r="F98" s="52" t="n"/>
      <c r="G98" s="52" t="n"/>
      <c r="H98" s="52" t="inlineStr"/>
    </row>
    <row r="99" s="41">
      <c r="A99" s="52" t="n">
        <v>86</v>
      </c>
      <c r="B99" s="52" t="inlineStr">
        <is>
          <t>62013CJ0618.md</t>
        </is>
      </c>
      <c r="C99" s="52" t="inlineStr">
        <is>
          <t>Court Decision</t>
        </is>
      </c>
      <c r="D99" s="52" t="inlineStr">
        <is>
          <t>EU</t>
        </is>
      </c>
      <c r="E99" s="52" t="inlineStr">
        <is>
          <t>6dfc65f9-0a4e-4de2-9e2d-e07e5063be34</t>
        </is>
      </c>
      <c r="F99" s="52" t="n"/>
      <c r="G99" s="52" t="n"/>
      <c r="H99" s="52" t="inlineStr"/>
    </row>
    <row r="100" s="41">
      <c r="A100" s="52" t="n">
        <v>87</v>
      </c>
      <c r="B100" s="52" t="inlineStr">
        <is>
          <t>eu-antitrust-enforcement--13_xii_the_oral_hearing_in_antitrust_proceedings_before_the_european_commission.md</t>
        </is>
      </c>
      <c r="C100" s="52" t="inlineStr">
        <is>
          <t>Article (Review)</t>
        </is>
      </c>
      <c r="D100" s="52" t="n"/>
      <c r="E100" s="52" t="inlineStr">
        <is>
          <t>8edbd753-7757-4163-9662-1b5feeeadeb4</t>
        </is>
      </c>
      <c r="F100" s="52" t="n"/>
      <c r="G100" s="52" t="n"/>
      <c r="H100" s="52" t="inlineStr"/>
    </row>
    <row r="101" s="41">
      <c r="A101" s="52" t="n">
        <v>88</v>
      </c>
      <c r="B101" s="52" t="inlineStr">
        <is>
          <t>62019CJ0885.md</t>
        </is>
      </c>
      <c r="C101" s="52" t="inlineStr">
        <is>
          <t>Court Decision</t>
        </is>
      </c>
      <c r="D101" s="52" t="inlineStr">
        <is>
          <t>EU</t>
        </is>
      </c>
      <c r="E101" s="52" t="inlineStr">
        <is>
          <t>aaa6bb93-448f-4798-841e-1746b0849d20</t>
        </is>
      </c>
      <c r="F101" s="52" t="n"/>
      <c r="G101" s="52" t="n"/>
      <c r="H101" s="52" t="inlineStr"/>
    </row>
    <row r="102" s="41">
      <c r="A102" s="52" t="n">
        <v>89</v>
      </c>
      <c r="B102" s="52" t="inlineStr">
        <is>
          <t>eu-antitrust-enforcement--16_xv_publication_of_antitrust_decisions_of_the_european_commission.md</t>
        </is>
      </c>
      <c r="C102" s="52" t="inlineStr">
        <is>
          <t>Book (Livre)</t>
        </is>
      </c>
      <c r="D102" s="52" t="n"/>
      <c r="E102" s="52" t="inlineStr">
        <is>
          <t>3c9799ff-7e91-4daf-9fef-671444f16757</t>
        </is>
      </c>
      <c r="F102" s="52" t="n"/>
      <c r="G102" s="52" t="n"/>
      <c r="H102" s="52" t="inlineStr"/>
    </row>
    <row r="103" s="41">
      <c r="A103" s="52" t="n">
        <v>90</v>
      </c>
      <c r="B103" s="52" t="inlineStr">
        <is>
          <t>eu-antitrust-enforcement--2_i_regulation_1_2003_an_assessment_after_twenty_years.md</t>
        </is>
      </c>
      <c r="C103" s="52" t="inlineStr">
        <is>
          <t>Article (Review)</t>
        </is>
      </c>
      <c r="D103" s="52" t="n"/>
      <c r="E103" s="52" t="inlineStr">
        <is>
          <t>55871bec-fbf6-4f9f-9931-66f8481120f2</t>
        </is>
      </c>
      <c r="F103" s="52" t="n"/>
      <c r="G103" s="52" t="n"/>
      <c r="H103" s="52" t="inlineStr"/>
    </row>
    <row r="104" s="41">
      <c r="A104" s="52" t="n">
        <v>91</v>
      </c>
      <c r="B104" s="52" t="inlineStr">
        <is>
          <t>62018CJ0595.md</t>
        </is>
      </c>
      <c r="C104" s="52" t="inlineStr">
        <is>
          <t>Court Decision</t>
        </is>
      </c>
      <c r="D104" s="52" t="inlineStr">
        <is>
          <t>EU</t>
        </is>
      </c>
      <c r="E104" s="52" t="inlineStr">
        <is>
          <t>9cef1570-4dfe-4218-9740-d8f6d239921b</t>
        </is>
      </c>
      <c r="F104" s="52" t="n"/>
      <c r="G104" s="52" t="n"/>
      <c r="H104" s="52" t="inlineStr"/>
    </row>
    <row r="105" s="41">
      <c r="A105" s="52" t="n">
        <v>92</v>
      </c>
      <c r="B105" s="52" t="inlineStr">
        <is>
          <t>62023CO0138.md</t>
        </is>
      </c>
      <c r="C105" s="52" t="inlineStr">
        <is>
          <t>Court Decision</t>
        </is>
      </c>
      <c r="D105" s="52" t="inlineStr">
        <is>
          <t>EU</t>
        </is>
      </c>
      <c r="E105" s="52" t="inlineStr">
        <is>
          <t>5abd9264-9c98-4239-bc5a-fd55ba2f17f6</t>
        </is>
      </c>
      <c r="F105" s="52" t="n"/>
      <c r="G105" s="52" t="n"/>
      <c r="H105" s="52" t="inlineStr"/>
    </row>
    <row r="106" s="41">
      <c r="A106" s="52" t="n">
        <v>93</v>
      </c>
      <c r="B106" s="52" t="inlineStr">
        <is>
          <t>62021CJ0042.md</t>
        </is>
      </c>
      <c r="C106" s="52" t="inlineStr">
        <is>
          <t>Court Decision</t>
        </is>
      </c>
      <c r="D106" s="52" t="inlineStr">
        <is>
          <t>EU</t>
        </is>
      </c>
      <c r="E106" s="52" t="inlineStr">
        <is>
          <t>80e27c6b-81ff-4712-8f72-2122091ffb8f</t>
        </is>
      </c>
      <c r="F106" s="52" t="n"/>
      <c r="G106" s="52" t="n"/>
      <c r="H106" s="52" t="inlineStr"/>
    </row>
    <row r="107" s="41">
      <c r="A107" s="52" t="n">
        <v>94</v>
      </c>
      <c r="B107" s="52" t="inlineStr">
        <is>
          <t>62013CJ0638.md</t>
        </is>
      </c>
      <c r="C107" s="52" t="inlineStr">
        <is>
          <t>Court Decision</t>
        </is>
      </c>
      <c r="D107" s="52" t="inlineStr">
        <is>
          <t>EU</t>
        </is>
      </c>
      <c r="E107" s="52" t="inlineStr">
        <is>
          <t>8043fefc-0bdc-454b-9d98-79b6253029d3</t>
        </is>
      </c>
      <c r="F107" s="52" t="n"/>
      <c r="G107" s="52" t="n"/>
      <c r="H107" s="52" t="inlineStr"/>
    </row>
    <row r="108" s="41">
      <c r="A108" s="52" t="n">
        <v>95</v>
      </c>
      <c r="B108" s="52" t="inlineStr">
        <is>
          <t>62016CJ0586.md</t>
        </is>
      </c>
      <c r="C108" s="52" t="inlineStr">
        <is>
          <t>Court Decision</t>
        </is>
      </c>
      <c r="D108" s="52" t="inlineStr">
        <is>
          <t>EU</t>
        </is>
      </c>
      <c r="E108" s="52" t="inlineStr">
        <is>
          <t>e5c9a320-8674-4436-ab55-a45fb5d4fd8b</t>
        </is>
      </c>
      <c r="F108" s="52" t="n"/>
      <c r="G108" s="52" t="n"/>
      <c r="H108" s="52" t="inlineStr"/>
    </row>
    <row r="109" s="41">
      <c r="A109" s="52" t="n">
        <v>96</v>
      </c>
      <c r="B109" s="52" t="inlineStr">
        <is>
          <t>62012CJ0365.md</t>
        </is>
      </c>
      <c r="C109" s="52" t="inlineStr">
        <is>
          <t>Court Decision</t>
        </is>
      </c>
      <c r="D109" s="52" t="inlineStr">
        <is>
          <t>EU</t>
        </is>
      </c>
      <c r="E109" s="52" t="inlineStr">
        <is>
          <t>26887c6b-0bac-4894-86e5-157231b4f370</t>
        </is>
      </c>
      <c r="F109" s="52" t="n"/>
      <c r="G109" s="52" t="n"/>
      <c r="H109" s="52" t="inlineStr"/>
    </row>
    <row r="110" s="41">
      <c r="A110" s="52" t="n">
        <v>97</v>
      </c>
      <c r="B110" s="52" t="inlineStr">
        <is>
          <t>62019CO0173(01).md</t>
        </is>
      </c>
      <c r="C110" s="52" t="inlineStr">
        <is>
          <t>Court Decision</t>
        </is>
      </c>
      <c r="D110" s="52" t="inlineStr">
        <is>
          <t>EU</t>
        </is>
      </c>
      <c r="E110" s="52" t="inlineStr">
        <is>
          <t>307caae2-39a1-4452-a3ba-7b9d6fb90403</t>
        </is>
      </c>
      <c r="F110" s="52" t="n"/>
      <c r="G110" s="52" t="n"/>
      <c r="H110" s="52" t="inlineStr"/>
    </row>
    <row r="111" s="41">
      <c r="A111" s="52" t="n">
        <v>98</v>
      </c>
      <c r="B111" s="52" t="inlineStr">
        <is>
          <t>competition-inspections-25-jurisdictions--21_south_africa.md</t>
        </is>
      </c>
      <c r="C111" s="52" t="inlineStr">
        <is>
          <t>Article (Review)</t>
        </is>
      </c>
      <c r="D111" s="52" t="n"/>
      <c r="E111" s="52" t="inlineStr">
        <is>
          <t>366d6c91-75d9-41c4-8df2-36c6ee29065f</t>
        </is>
      </c>
      <c r="F111" s="52" t="n"/>
      <c r="G111" s="52" t="n"/>
      <c r="H111" s="52" t="inlineStr"/>
    </row>
    <row r="112" s="41">
      <c r="A112" s="52" t="n">
        <v>99</v>
      </c>
      <c r="B112" s="52" t="inlineStr">
        <is>
          <t>62024CJ0002.md</t>
        </is>
      </c>
      <c r="C112" s="52" t="inlineStr">
        <is>
          <t>Court Decision</t>
        </is>
      </c>
      <c r="D112" s="52" t="inlineStr">
        <is>
          <t>EU</t>
        </is>
      </c>
      <c r="E112" s="52" t="inlineStr">
        <is>
          <t>9ef0ed98-9370-4b99-8aec-269adb6366fb</t>
        </is>
      </c>
      <c r="F112" s="52" t="n"/>
      <c r="G112" s="52" t="n"/>
      <c r="H112" s="52" t="inlineStr"/>
    </row>
    <row r="113" s="41">
      <c r="A113" s="52" t="n">
        <v>100</v>
      </c>
      <c r="B113" s="52" t="inlineStr">
        <is>
          <t>32021D1943.md</t>
        </is>
      </c>
      <c r="C113" s="52" t="inlineStr">
        <is>
          <t>Regulatory Decision</t>
        </is>
      </c>
      <c r="D113" s="52" t="inlineStr">
        <is>
          <t>EU</t>
        </is>
      </c>
      <c r="E113" s="52" t="inlineStr">
        <is>
          <t>73116baf-8253-47ff-b445-0ab0174cc507</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Under Article 20(2)(b) and (c) of Regulation 1/2003, the Commission is entitled to make a forensic copy-image of a company's computer hard drives and copies of data sets without first examining each individual document, treating that copying as an intermediate technical step that enables its investigation software to index and search the data for material relevant to the inspection.</t>
        </is>
      </c>
      <c r="C117" s="23" t="inlineStr">
        <is>
          <t>[6] 62018CJ0606.md
[3] 62018CC0606.md
[2] 62014TJ0449.md</t>
        </is>
      </c>
      <c r="D117" s="23" t="n"/>
      <c r="E117" s="23" t="inlineStr">
        <is>
          <t>[62018CJ0606.md l.8-8] 62018CJ0606 JUDGMENT OF THE COURT (Second Chamber) 16 July 2020 ( *1 ) (Appeal — Competition — Cartels — European market for submarine and underground power cables — Market allocation in connection with projects — Regulation (EC) No 1/2003 — Article 20 — European Commission’s powers of inspection in cartel proceedings — Power to copy data without a prior examination and to examine the data subsequently at the Commission’s premises — Fines — Unlimited jurisdiction) In Case C‑606/18 P, APPEAL under Article 56 of the Statute of the Court of Justice of the European Union, brought on 24 September 2018, Nexans France SAS , established in Courbevoie (France), Nexans SA , established in Courbevoie, represented by G. Forwood, avocate, M. Powell and A. Rogers, Solicitors, appellants, the other party
[62018CC0606.md l.193-221] ( 33 ) 56. During an inspection the Commission may therefore make a search for, place in the file and subsequently use as evidence solely documents which are relevant to the subject matter and purpose indicated in the inspection decision.
Only then can it be ensured that no evidence is used in subsequent cartel proceedings that was obtained in breach of the rights of defence of the undertakings concerned.
( 34 )
Thus, fortuitous discoveries made by the Commission during an inspection which have a different subject matter from that of the inspection concerned may be used only to substantiate initial suspicions and to open a new investigation with a different subject matter.
( 35 ) 57. Against that background, there is no doubt that the Commission cannot under any circumstances place documen
[62014TJ0449.md l.166-180] 53 In that regard, it should first be stated that, in so far as
(i), as was explained in paragraph 52 above, the copying of data stored on the digital data carrier of an undertaking under inspection is carried out for the purposes of indexation and
(ii) that indexation is intended to make it possible to then search fo</t>
        </is>
      </c>
      <c r="F117" s="23" t="n"/>
      <c r="G117" s="40" t="n"/>
      <c r="H117" s="40" t="n"/>
    </row>
    <row r="118" ht="15.75" customHeight="1" s="41">
      <c r="A118" s="23" t="n">
        <v>3</v>
      </c>
      <c r="B118" s="23" t="inlineStr">
        <is>
          <t>An inspection decision that authorises entry onto "all premises controlled by the company" does not thereby confine the Commission's examination of copied data to those premises, since such wording merely identifies which legal entity's premises the Commission may enter and does not preclude the Commission from continuing the same inspection at its own offices.</t>
        </is>
      </c>
      <c r="C118" s="23" t="inlineStr">
        <is>
          <t>[6] 62018CJ0606.md
[3] 62018CC0606.md
[2] 62014TJ0449.md</t>
        </is>
      </c>
      <c r="D118" s="23" t="n"/>
      <c r="E118" s="23" t="inlineStr">
        <is>
          <t>[62018CJ0606.md l.8-8] 62018CJ0606 JUDGMENT OF THE COURT (Second Chamber) 16 July 2020 ( *1 ) (Appeal — Competition — Cartels — European market for submarine and underground power cables — Market allocation in connection with projects — Regulation (EC) No 1/2003 — Article 20 — European Commission’s powers of inspection in cartel proceedings — Power to copy data without a prior examination and to examine the data subsequently at the Commission’s premises — Fines — Unlimited jurisdiction) In Case C‑606/18 P, APPEAL under Article 56 of the Statute of the Court of Justice of the European Union, brought on 24 September 2018, Nexans France SAS , established in Courbevoie (France), Nexans SA , established in Courbevoie, represented by G. Forwood, avocate, M. Powell and A. Rogers, Solicitors, appellants, the other party
[62018CC0606.md l.284-294] (b) The alleged geographic limitation of the inspection through the inspection decision itself (third ground of appeal) 94. By their third ground of appeal, the appellants assert that the General Court erred in law by rejecting their argument that a limitation of the Commission’s power of examination to the premises of Nexans also follows from the wording of the inspection decision itself, which states that ‘the inspection can take place in all premises controlled by the company, and in particular at the offices located at the following address: …’.
( 50 ) 95. The General Court rejected that assertion in paragraph 67 of the judgment under appeal on the ground that it is certainly apparent from the inspection decision that the inspection could take place in all the abovementioned premises, 
[62014TJ0449.md l.208-213] (c) The alleged infringement of the inspection decision 65 As regards the applicants’ argument that the Commission officials infringed the scope of the inspection decision by searching for information relevant to the investigation on the copy-image of the hard drive of Mr J.
’s computer and in the copies of the sets o</t>
        </is>
      </c>
      <c r="F118" s="23" t="n"/>
      <c r="G118" s="40" t="n"/>
      <c r="H118" s="40" t="n"/>
    </row>
    <row r="119" ht="15.75" customHeight="1" s="41">
      <c r="A119" s="23" t="n">
        <v>4</v>
      </c>
      <c r="B119" s="23" t="inlineStr">
        <is>
          <t>The core safeguard attached to this power is that continuing the examination at the Commission's premises must not entail any lesser protection than an on-the-spot examination would have provided: the Commission must still verify, in strict compliance with the company's rights of defence, that each document is relevant to the subject matter of the inspection before it is placed on the file, and it must otherwise observe the same procedural guarantees as it would at the company's own premises.</t>
        </is>
      </c>
      <c r="C119" s="23" t="inlineStr">
        <is>
          <t>[6] 62018CJ0606.md
[3] 62018CC0606.md</t>
        </is>
      </c>
      <c r="D119" s="23" t="n"/>
      <c r="E119" s="23" t="inlineStr">
        <is>
          <t>[62018CJ0606.md l.8-8] 62018CJ0606 JUDGMENT OF THE COURT (Second Chamber) 16 July 2020 ( *1 ) (Appeal — Competition — Cartels — European market for submarine and underground power cables — Market allocation in connection with projects — Regulation (EC) No 1/2003 — Article 20 — European Commission’s powers of inspection in cartel proceedings — Power to copy data without a prior examination and to examine the data subsequently at the Commission’s premises — Fines — Unlimited jurisdiction) In Case C‑606/18 P, APPEAL under Article 56 of the Statute of the Court of Justice of the European Union, brought on 24 September 2018, Nexans France SAS , established in Courbevoie (France), Nexans SA , established in Courbevoie, represented by G. Forwood, avocate, M. Powell and A. Rogers, Solicitors, appellants, the other party
[62018CC0606.md l.245-255] 80. The appellants have not put forward any evidence to demonstrate that it was not appropriate in the present case to continue the inspection at the Commission’s premises, but that that was solely for the ‘convenience’ of the Commission.
81. As with the copying of data discussed above, ( 45 ) however, it is also crucial for the examination of the data at the Commission’s premises that that approach does not entail any infringement of the rights of defence of the undertakings concerned.
82. In that respect, as the General Court correctly stated in paragraph 60 of the judgment under appeal, while inspecting data at the Commission’s premises the same procedural safeguards in favour of the undertakings concerned must be observed as at their own premises.
As has been explained above, it is cru</t>
        </is>
      </c>
      <c r="F119" s="23" t="n"/>
      <c r="G119" s="40" t="n"/>
      <c r="H119" s="40" t="n"/>
    </row>
    <row r="120" ht="15.75" customHeight="1" s="41">
      <c r="A120" s="23" t="n">
        <v>9</v>
      </c>
      <c r="B120" s="23" t="inlineStr">
        <is>
          <t>This off-site continuation power does not expand into a right to search or copy documents held by third parties and does not amount to a fresh, separately authorised inspection: it remains the continuation of the single inspection commenced at the company's premises, tied to the same inspection decision and the same subject matter.</t>
        </is>
      </c>
      <c r="C120" s="23" t="inlineStr">
        <is>
          <t>[3] 62018CC0606.md
[6] 62018CJ0606.md</t>
        </is>
      </c>
      <c r="D120" s="23" t="n"/>
      <c r="E120" s="23" t="inlineStr">
        <is>
          <t>[62018CC0606.md l.271-281] 90. According to Nexans, Article 21(4) of Regulation No 1/2003, which refers, in respect of ‘inspection of other premises’, to the powers set out in Article 20(2)
(a) to
(c) of Regulation No 1/2003, would be meaningless if it were to be inferred from Article 20 itself that the Commission is empowered to examine documents outside the premises of the undertaking.
91. As the Commission correctly states, however, Article 21 of Regulation No 1/2003 concerns a completely different situation to an inspection under Article 20 of that regulation.
Article 21 authorises the Commission to conduct inspections and to take evidence in premises other than the undertaking’s business premises, such as the homes or means of transport of the undertaking’s employees, and refers in that regard to the powers und
[62018CJ0606.md l.8-8] 62018CJ0606 JUDGMENT OF THE COURT (Second Chamber) 16 July 2020 ( *1 ) (Appeal — Competition — Cartels — European market for submarine and underground power cables — Market allocation in connection with projects — Regulation (EC) No 1/2003 — Article 20 — European Commission’s powers of inspection in cartel proceedings — Power to copy data without a prior examination and to examine the data subsequently at the Commission’s premises — Fines — Unlimited jurisdiction) In Case C‑606/18 P, APPEAL under Article 56 of the Statute of the Court of Justice of the European Union, brought on 24 September 2018, Nexans France SAS , established in Courbevoie (France), Nexans SA , established in Courbevoie, represented by G. Forwood, avocate, M. Powell and A. Rogers, Solicitors, appellants, the other party</t>
        </is>
      </c>
      <c r="F120" s="23" t="n"/>
      <c r="G120" s="40" t="n"/>
      <c r="H120" s="40" t="n"/>
    </row>
    <row r="121" ht="15.75" customHeight="1" s="41">
      <c r="A121" s="23" t="n">
        <v>10</v>
      </c>
      <c r="B121" s="23" t="inlineStr">
        <is>
          <t>This is now settled Commission practice beyond the specific Nexans litigation: where a full on-site week does not allow inspectors to collect, index and review all the data sets identified for examination, the Commission proposes continuing the examination either at its own premises or back at the company's premises, while in the meantime the collected data and documents are kept secured in sealed evidence bags.</t>
        </is>
      </c>
      <c r="C121" s="23" t="inlineStr">
        <is>
          <t>[18] competition-inspections-25-jurisdictions--7_european_union.md
[3] 62018CC0606.md</t>
        </is>
      </c>
      <c r="D121" s="23" t="n"/>
      <c r="E121" s="23" t="inlineStr">
        <is>
          <t>[competition-inspections-25-jurisdictions--7_european_union.md l.797-807] 70.
As inspection teams always review more data, even a full week within the company
may not allow them to collect, index and review the data sets prepared for examination. In that case, they will propose continuing the examination of the data at
the Commission’s premises or returning to the inspected company’s premises for
that purpose. The continued inspection is merely intended to continue indexing,
searching and/or reviewing the data collected during the on-site inspection to
avoid extending the duration of the inspection for additional days. It is generally
organised by the Commission a few weeks from the end of the on-site inspection.
In the meantime, the data and documents collected are secured in evidence bags
on which seals are affixed.
[62018CC0606.md l.281-283] 92. In conclusion, therefore, the Commission is empowered under Article 20(1) and (2) of Regulation No 1/2003 to examine data copied during an inspection at the premises of an undertaking subsequently at its own premises, provided that appears appropriate for the conduct of the inspection concerned and the undertaking under inspection is accorded the same safeguards as for an examination at its own premises.
If that is ensured, there appears to be no need, moreover, to require the Commission to show that it would have been completely impossible to conduct the inspection at the premises of the undertaking.
93. Accordingly, the second ground of appeal must also be rejected as being unfounded.</t>
        </is>
      </c>
      <c r="F121" s="23" t="n"/>
      <c r="G121" s="40" t="n"/>
      <c r="H121" s="40" t="n"/>
    </row>
    <row r="122" ht="15.75" customHeight="1" s="41">
      <c r="A122" s="23" t="n">
        <v>11</v>
      </c>
      <c r="B122" s="23" t="inlineStr">
        <is>
          <t>Throughout the copying and off-site review, the company keeps further protections recognised in Commission practice: it may raise, and obtain provisional sealing of, any document it believes is covered by legal professional privilege or contains purely private or personal data of its employees pending resolution of the dispute, and it may record written reservations in the minutes or by email if it disagrees with how the inspectors are proceeding.</t>
        </is>
      </c>
      <c r="C122" s="23" t="inlineStr">
        <is>
          <t>[18] competition-inspections-25-jurisdictions--7_european_union.md</t>
        </is>
      </c>
      <c r="D122" s="23" t="n"/>
      <c r="E122" s="23" t="inlineStr">
        <is>
          <t>[competition-inspections-25-jurisdictions--7_european_union.md l.632-659] 54.
Legally privileged documents are protected under EU law. To benefit from this
protection, documents must have been established for the purposes of the rights
of defence and exchanged with an independent lawyer registered within the EU.
Therefore, exchanges with in-house lawyers do not necessarily qualify as legally
privileged in an EU inspection.
55.
In practice, where a document is likely to be legally privileged, the company should
immediately raise the point with inspectors before they examine it. The inspected
company has to evidence that the document or information should be granted legal
protection. In cases where inspectors maintain their intention to review these types
of documents, the inspected company may ask for a sealed envelope in which the
documents will be kept safe 
[competition-inspections-25-jurisdictions--7_european_union.md l.675-681] 59.
Should the inspected company have any doubt about the power of agents to
review or copy documents, this should be raised immediately with the inspection
team. In case the inspected company is not completely satisfied with the answers
provided, reservations should be made in writing either on the minutes (where
relevant) or via an email to the case team (see also para 68).</t>
        </is>
      </c>
      <c r="F122" s="23" t="n"/>
      <c r="G122" s="40" t="n"/>
      <c r="H122" s="40" t="n"/>
    </row>
    <row r="123" ht="15.75" customHeight="1" s="41">
      <c r="A123" s="23" t="n"/>
      <c r="B123" s="23" t="n"/>
      <c r="C123" s="23" t="n"/>
      <c r="D123" s="23" t="n"/>
      <c r="E123" s="23" t="n"/>
      <c r="F123" s="23" t="n"/>
      <c r="G123" s="40" t="n"/>
      <c r="H123" s="40" t="n"/>
    </row>
    <row r="124" ht="15.75" customHeight="1" s="41">
      <c r="A124" s="23" t="n"/>
      <c r="B124" s="23" t="n"/>
      <c r="C124" s="23" t="n"/>
      <c r="D124" s="23" t="n"/>
      <c r="E124" s="23" t="n"/>
      <c r="F124" s="23" t="n"/>
      <c r="G124" s="40" t="n"/>
      <c r="H124" s="40" t="n"/>
    </row>
    <row r="125" ht="15.75" customHeight="1" s="41">
      <c r="A125" s="23" t="n"/>
      <c r="B125" s="23" t="n"/>
      <c r="C125" s="23" t="n"/>
      <c r="D125" s="23" t="n"/>
      <c r="E125" s="23" t="n"/>
      <c r="F125" s="23" t="n"/>
      <c r="G125" s="40" t="n"/>
      <c r="H125" s="40" t="n"/>
    </row>
    <row r="126" ht="15.75" customHeight="1" s="41">
      <c r="A126" s="40" t="n"/>
      <c r="B126" s="40" t="n"/>
      <c r="C126" s="40" t="n"/>
      <c r="D126" s="40" t="n"/>
      <c r="E126" s="40" t="n"/>
      <c r="F126" s="40" t="n"/>
      <c r="G126" s="40" t="n"/>
      <c r="H126" s="40" t="n"/>
    </row>
    <row r="127" ht="15.75" customHeight="1" s="41">
      <c r="A127" s="44" t="inlineStr">
        <is>
          <t>Final expert verdict</t>
        </is>
      </c>
    </row>
    <row r="128" ht="15.75" customHeight="1" s="41">
      <c r="A128" s="28" t="inlineStr">
        <is>
          <t>Reviewer</t>
        </is>
      </c>
      <c r="B128" s="23" t="n"/>
      <c r="C128" s="28" t="n"/>
      <c r="D128" s="29" t="n"/>
      <c r="E128" s="23" t="n"/>
      <c r="F128" s="23" t="n"/>
      <c r="G128" s="23" t="n"/>
      <c r="H128" s="23" t="n"/>
    </row>
    <row r="129" ht="15.75" customHeight="1" s="41">
      <c r="A129" s="28" t="inlineStr">
        <is>
          <t>Is the answer acceptable?</t>
        </is>
      </c>
      <c r="B129" s="30" t="n"/>
      <c r="C129" s="28" t="n"/>
      <c r="D129" s="29" t="n"/>
      <c r="E129" s="23" t="n"/>
      <c r="F129" s="23" t="n"/>
      <c r="G129" s="23" t="n"/>
      <c r="H129" s="23" t="n"/>
    </row>
    <row r="130" ht="15.75" customHeight="1" s="41">
      <c r="A130" s="28" t="inlineStr">
        <is>
          <t>Overall comment / required fixes</t>
        </is>
      </c>
      <c r="B130" s="23" t="n"/>
      <c r="C130" s="45" t="n"/>
      <c r="D130" s="45" t="n"/>
      <c r="E130" s="45" t="n"/>
      <c r="F130" s="45" t="n"/>
      <c r="G130" s="45" t="n"/>
      <c r="H130" s="46" t="n"/>
    </row>
    <row r="131" ht="15.75" customHeight="1" s="41">
      <c r="A131" s="28" t="inlineStr">
        <is>
          <t>Review completed?</t>
        </is>
      </c>
      <c r="B131" s="30" t="n"/>
      <c r="C131" s="28" t="n"/>
      <c r="D131" s="29" t="n"/>
      <c r="E131" s="23" t="n"/>
      <c r="F131" s="23" t="n"/>
      <c r="G131" s="23" t="n"/>
      <c r="H131" s="23" t="n"/>
    </row>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c r="A160" s="44" t="inlineStr">
        <is>
          <t>Original source notes</t>
        </is>
      </c>
      <c r="I160" s="40" t="n"/>
      <c r="J160" s="40" t="n"/>
    </row>
    <row r="161" ht="15.75" customHeight="1" s="41">
      <c r="A161" s="28" t="inlineStr">
        <is>
          <t>WAB notes</t>
        </is>
      </c>
      <c r="B161" s="23" t="n"/>
      <c r="C161" s="45" t="n"/>
      <c r="D161" s="45" t="n"/>
      <c r="E161" s="45" t="n"/>
      <c r="F161" s="45" t="n"/>
      <c r="G161" s="45" t="n"/>
      <c r="H161" s="46" t="n"/>
      <c r="I161" s="40" t="n"/>
      <c r="J161" s="40" t="n"/>
    </row>
    <row r="162" ht="15.75" customHeight="1" s="41">
      <c r="A162" s="28" t="inlineStr">
        <is>
          <t>Reviewer notes from question approval</t>
        </is>
      </c>
      <c r="B162" s="23" t="inlineStr">
        <is>
          <t>agreed, let's keep it.</t>
        </is>
      </c>
      <c r="C162" s="47" t="n"/>
      <c r="D162" s="47" t="n"/>
      <c r="E162" s="47" t="n"/>
      <c r="F162" s="47" t="n"/>
      <c r="G162" s="47" t="n"/>
      <c r="H162" s="48" t="n"/>
      <c r="I162" s="40" t="n"/>
      <c r="J162" s="40" t="n"/>
    </row>
    <row r="163" ht="15.75" customHeight="1" s="41">
      <c r="A163" s="23" t="n"/>
      <c r="B163" s="49" t="n"/>
      <c r="C163" s="50" t="n"/>
      <c r="D163" s="50" t="n"/>
      <c r="E163" s="50" t="n"/>
      <c r="F163" s="50" t="n"/>
      <c r="G163" s="50" t="n"/>
      <c r="H163" s="51" t="n"/>
      <c r="I163" s="40" t="n"/>
      <c r="J163" s="40" t="n"/>
    </row>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Q38 — Expert Review</t>
        </is>
      </c>
    </row>
    <row r="2" hidden="1" s="41">
      <c r="A2" s="44" t="inlineStr">
        <is>
          <t>Question metadata</t>
        </is>
      </c>
    </row>
    <row r="3" hidden="1" s="41">
      <c r="A3" s="13" t="inlineStr">
        <is>
          <t>Question ID</t>
        </is>
      </c>
      <c r="B3" s="39" t="n">
        <v>38</v>
      </c>
    </row>
    <row r="4" hidden="1" s="41">
      <c r="A4" s="13" t="inlineStr">
        <is>
          <t>Topic</t>
        </is>
      </c>
      <c r="B4" s="40" t="inlineStr">
        <is>
          <t>Dawn raids — electronic data</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lets replace the question with the following one "Whose interests prevail when an inspection captures the private communications of employees who are not themselves under investigation — the Commission's investigative reach, or the privacy protected by Articles 7 and 8 of the Charter? And when does an undertaking's effort to shield that data become obstruction?"</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Q39 — Expert Review</t>
        </is>
      </c>
    </row>
    <row r="2" hidden="1" s="41">
      <c r="A2" s="44" t="inlineStr">
        <is>
          <t>Question metadata</t>
        </is>
      </c>
    </row>
    <row r="3" hidden="1" s="41">
      <c r="A3" s="13" t="inlineStr">
        <is>
          <t>Question ID</t>
        </is>
      </c>
      <c r="B3" s="39" t="n">
        <v>39</v>
      </c>
    </row>
    <row r="4" hidden="1" s="41">
      <c r="A4" s="13" t="inlineStr">
        <is>
          <t>Topic</t>
        </is>
      </c>
      <c r="B4" s="40" t="inlineStr">
        <is>
          <t>Dawn raids — electronic data</t>
        </is>
      </c>
    </row>
    <row r="5" hidden="1" s="41">
      <c r="A5" s="13" t="inlineStr">
        <is>
          <t>Scope</t>
        </is>
      </c>
      <c r="B5" s="40" t="inlineStr">
        <is>
          <t>France</t>
        </is>
      </c>
    </row>
    <row r="6" hidden="1" s="41">
      <c r="A6" s="13" t="inlineStr">
        <is>
          <t>Original reviewer</t>
        </is>
      </c>
      <c r="B6" s="40" t="inlineStr">
        <is>
          <t>Jeanne</t>
        </is>
      </c>
    </row>
    <row r="7" hidden="1" s="41">
      <c r="A7" s="13" t="inlineStr">
        <is>
          <t>Original status</t>
        </is>
      </c>
      <c r="B7" s="40" t="inlineStr">
        <is>
          <t>Approved</t>
        </is>
      </c>
    </row>
    <row r="8">
      <c r="A8" s="13" t="inlineStr">
        <is>
          <t>Question</t>
        </is>
      </c>
      <c r="B8" s="40" t="inlineStr">
        <is>
          <t>Under what conditions can French competition authorities seize entire mailboxes during a dawn raid rather than sorting them on-site, how is the in-scope material subsequently identified, and what happens to material found to be out of scope?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 xml:space="preserve">lets replace the question with the following one : Under what conditions can French competition authorities seize entire mailboxes during a dawn raid rather than sorting on-site, how is the in-scope material subsequently identified, and what happens to material found to be out of scope? The initial version presents the blanket seizure as a given fact, which invites the tool to simply describe it rather than to set out the conditions of its lawfulness precisely the point most disputed in case law (technical necessity, impossibility of on-site sorting, proportionality). </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Q40 — Expert Review</t>
        </is>
      </c>
    </row>
    <row r="2" hidden="1" s="41">
      <c r="A2" s="44" t="inlineStr">
        <is>
          <t>Question metadata</t>
        </is>
      </c>
    </row>
    <row r="3" hidden="1" s="41">
      <c r="A3" s="13" t="inlineStr">
        <is>
          <t>Question ID</t>
        </is>
      </c>
      <c r="B3" s="39" t="n">
        <v>40</v>
      </c>
    </row>
    <row r="4" hidden="1" s="41">
      <c r="A4" s="13" t="inlineStr">
        <is>
          <t>Topic</t>
        </is>
      </c>
      <c r="B4" s="40" t="inlineStr">
        <is>
          <t>Dawn raids — electronic data</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In a criminal U.S. antitrust investigation, when may electronic devices or electronically stored information be seized or copied for later off-site review, and what limits do the search warrant, Rule 41, the Fourth Amendment, and privilege-review procedures impose?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J163"/>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Q41 — Expert Review</t>
        </is>
      </c>
    </row>
    <row r="2" hidden="1" s="41">
      <c r="A2" s="44" t="inlineStr">
        <is>
          <t>Question metadata</t>
        </is>
      </c>
    </row>
    <row r="3" hidden="1" s="41">
      <c r="A3" s="13" t="inlineStr">
        <is>
          <t>Question ID</t>
        </is>
      </c>
      <c r="B3" s="39" t="n">
        <v>41</v>
      </c>
    </row>
    <row r="4" hidden="1" s="41">
      <c r="A4" s="13" t="inlineStr">
        <is>
          <t>Topic</t>
        </is>
      </c>
      <c r="B4" s="40" t="inlineStr">
        <is>
          <t>Dawn raids — evidence found by accident</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inspections-eu-law-2nd--3_chapter_1_-_inspections_upon_decision_regulation_1_2003_article_20_4.md</t>
        </is>
      </c>
      <c r="C14" s="23" t="inlineStr">
        <is>
          <t>Book (Livre)</t>
        </is>
      </c>
      <c r="D14" s="23" t="n"/>
      <c r="E14" s="23" t="inlineStr">
        <is>
          <t>d28b1d20-a2c6-425f-a401-498eab28d744</t>
        </is>
      </c>
      <c r="F14" s="23" t="n"/>
      <c r="G14" s="23" t="n"/>
      <c r="H14" s="23" t="inlineStr"/>
    </row>
    <row r="15">
      <c r="A15" s="23" t="n">
        <v>2</v>
      </c>
      <c r="B15" s="23" t="inlineStr">
        <is>
          <t>62013CC0583.md</t>
        </is>
      </c>
      <c r="C15" s="23" t="inlineStr">
        <is>
          <t>Bulletin article</t>
        </is>
      </c>
      <c r="D15" s="23" t="inlineStr">
        <is>
          <t>EU</t>
        </is>
      </c>
      <c r="E15" s="23" t="inlineStr">
        <is>
          <t>778d749c-48cb-405c-a58f-962dd3ceef0c</t>
        </is>
      </c>
      <c r="F15" s="23" t="n"/>
      <c r="G15" s="23" t="n"/>
      <c r="H15" s="23" t="inlineStr">
        <is>
          <t>Cited in answer: YES</t>
        </is>
      </c>
    </row>
    <row r="16">
      <c r="A16" s="23" t="n">
        <v>3</v>
      </c>
      <c r="B16" s="23" t="inlineStr">
        <is>
          <t>competition-case-law-digest-5th--p10.md</t>
        </is>
      </c>
      <c r="C16" s="23" t="inlineStr">
        <is>
          <t>Book (Livre)</t>
        </is>
      </c>
      <c r="D16" s="23" t="n"/>
      <c r="E16" s="23" t="inlineStr">
        <is>
          <t>65e060cb-bdeb-413d-b4e8-b9ffe0ed3995</t>
        </is>
      </c>
      <c r="F16" s="23" t="n"/>
      <c r="G16" s="23" t="n"/>
      <c r="H16" s="23" t="inlineStr">
        <is>
          <t>Cited in answer: YES</t>
        </is>
      </c>
    </row>
    <row r="17">
      <c r="A17" s="23" t="n">
        <v>4</v>
      </c>
      <c r="B17" s="23" t="inlineStr">
        <is>
          <t>62011TJ0289.md</t>
        </is>
      </c>
      <c r="C17" s="23" t="inlineStr">
        <is>
          <t>Court Decision</t>
        </is>
      </c>
      <c r="D17" s="23" t="inlineStr">
        <is>
          <t>EU</t>
        </is>
      </c>
      <c r="E17" s="23" t="inlineStr">
        <is>
          <t>7ecb1eda-828c-4ed1-831c-9ba3cd309425</t>
        </is>
      </c>
      <c r="F17" s="23" t="n"/>
      <c r="G17" s="23" t="n"/>
      <c r="H17" s="23" t="inlineStr"/>
    </row>
    <row r="18">
      <c r="A18" s="23" t="n">
        <v>5</v>
      </c>
      <c r="B18" s="23" t="inlineStr">
        <is>
          <t>131688-30-inspections-the-general-court-of-the-european-union-upholds-the-european-comm.md</t>
        </is>
      </c>
      <c r="C18" s="23" t="inlineStr">
        <is>
          <t>Bulletin article</t>
        </is>
      </c>
      <c r="D18" s="23" t="n"/>
      <c r="E18" s="23" t="inlineStr">
        <is>
          <t>7de191c9-0221-423b-b670-ef1e047a0196</t>
        </is>
      </c>
      <c r="F18" s="23" t="n"/>
      <c r="G18" s="23" t="n"/>
      <c r="H18" s="23" t="inlineStr"/>
    </row>
    <row r="19">
      <c r="A19" s="23" t="n">
        <v>6</v>
      </c>
      <c r="B19" s="23" t="inlineStr">
        <is>
          <t>128250-35-dawn-raids-the-general-court-of-the-european-union-partially-upholds-the-lega.md</t>
        </is>
      </c>
      <c r="C19" s="23" t="inlineStr">
        <is>
          <t>Bulletin article</t>
        </is>
      </c>
      <c r="D19" s="23" t="n"/>
      <c r="E19" s="23" t="inlineStr">
        <is>
          <t>e34c0e6d-2771-4073-8165-4a73eff42d4c</t>
        </is>
      </c>
      <c r="F19" s="23" t="n"/>
      <c r="G19" s="23" t="n"/>
      <c r="H19" s="23" t="inlineStr"/>
    </row>
    <row r="20">
      <c r="A20" s="23" t="n">
        <v>7</v>
      </c>
      <c r="B20" s="23" t="inlineStr">
        <is>
          <t>eu-antitrust-enforcement--10_ix_the_compatibility_with_fundamental_rights_of_the_eu_antitrust_enforcement_system_in_which_the_european_commission_acts_both_as_investigator_and_as_first_instance_decision_maker.md</t>
        </is>
      </c>
      <c r="C20" s="23" t="inlineStr">
        <is>
          <t>Article (Review)</t>
        </is>
      </c>
      <c r="D20" s="23" t="n"/>
      <c r="E20" s="23" t="inlineStr">
        <is>
          <t>2c996db6-dd0f-46f5-be34-12be8f73b817</t>
        </is>
      </c>
      <c r="F20" s="23" t="n"/>
      <c r="G20" s="23" t="n"/>
      <c r="H20" s="23" t="inlineStr"/>
    </row>
    <row r="21">
      <c r="A21" s="23" t="n">
        <v>8</v>
      </c>
      <c r="B21" s="23" t="inlineStr">
        <is>
          <t>97110-2850-inspection-the-general-court-of-the-european-union-partially-annuls-decisio.md</t>
        </is>
      </c>
      <c r="C21" s="23" t="inlineStr">
        <is>
          <t>Bulletin article</t>
        </is>
      </c>
      <c r="D21" s="23" t="n"/>
      <c r="E21" s="23" t="inlineStr">
        <is>
          <t>0ff86075-a215-4bce-ac53-21a9aa21cd71</t>
        </is>
      </c>
      <c r="F21" s="23" t="n"/>
      <c r="G21" s="23" t="n"/>
      <c r="H21" s="23" t="inlineStr"/>
    </row>
    <row r="22">
      <c r="A22" s="23" t="n">
        <v>9</v>
      </c>
      <c r="B22" s="23" t="inlineStr">
        <is>
          <t>125471-20-dawn-raids-the-general-court-upholds-the-european-commissions-overall-assessm.md</t>
        </is>
      </c>
      <c r="C22" s="23" t="inlineStr">
        <is>
          <t>Bulletin article</t>
        </is>
      </c>
      <c r="D22" s="23" t="n"/>
      <c r="E22" s="23" t="inlineStr">
        <is>
          <t>e97ed81a-60ca-4112-9207-21a8613078bd</t>
        </is>
      </c>
      <c r="F22" s="23" t="n"/>
      <c r="G22" s="23" t="n"/>
      <c r="H22" s="23" t="inlineStr"/>
    </row>
    <row r="23" s="41">
      <c r="A23" s="40" t="n">
        <v>10</v>
      </c>
      <c r="B23" s="40" t="inlineStr">
        <is>
          <t>93706-0060-dawn-raids-advocate-general-kokott-calls-on-the-court-of-justice-to-uphold.md</t>
        </is>
      </c>
      <c r="C23" s="40" t="inlineStr">
        <is>
          <t>Bulletin article</t>
        </is>
      </c>
      <c r="D23" s="40" t="n"/>
      <c r="E23" s="40" t="inlineStr">
        <is>
          <t>42a1613c-b25b-476e-a3b4-e1cac9b5add2</t>
        </is>
      </c>
      <c r="F23" s="40" t="n"/>
      <c r="G23" s="40" t="n"/>
      <c r="H23" s="40" t="inlineStr"/>
    </row>
    <row r="24" s="41">
      <c r="A24" s="52" t="n">
        <v>11</v>
      </c>
      <c r="B24" s="52" t="inlineStr">
        <is>
          <t>57935-361-decisions-adopted-during-an-inspection-the-general-court-reminds-the-commiss.md</t>
        </is>
      </c>
      <c r="C24" s="52" t="inlineStr">
        <is>
          <t>Bulletin article</t>
        </is>
      </c>
      <c r="D24" s="52" t="n"/>
      <c r="E24" s="52" t="inlineStr">
        <is>
          <t>882aa354-e6cf-464a-b1e2-9486b1cca48f</t>
        </is>
      </c>
      <c r="F24" s="52" t="n"/>
      <c r="G24" s="52" t="n"/>
      <c r="H24" s="52" t="inlineStr">
        <is>
          <t>Cited in answer: YES</t>
        </is>
      </c>
    </row>
    <row r="25" s="41">
      <c r="A25" s="52" t="n">
        <v>12</v>
      </c>
      <c r="B25" s="52" t="inlineStr">
        <is>
          <t>91835.md</t>
        </is>
      </c>
      <c r="C25" s="52" t="inlineStr">
        <is>
          <t>Article (Review)</t>
        </is>
      </c>
      <c r="D25" s="52" t="n"/>
      <c r="E25" s="52" t="inlineStr">
        <is>
          <t>f6ec0179-d152-4059-9a3f-81d669d422b0</t>
        </is>
      </c>
      <c r="F25" s="52" t="n"/>
      <c r="G25" s="52" t="n"/>
      <c r="H25" s="52" t="inlineStr"/>
    </row>
    <row r="26" s="41">
      <c r="A26" s="52" t="n">
        <v>13</v>
      </c>
      <c r="B26" s="52" t="inlineStr">
        <is>
          <t>competition-case-law-digest-5th--p11.md</t>
        </is>
      </c>
      <c r="C26" s="52" t="inlineStr">
        <is>
          <t>Book (Livre)</t>
        </is>
      </c>
      <c r="D26" s="52" t="n"/>
      <c r="E26" s="52" t="inlineStr">
        <is>
          <t>40351206-cbf5-40d8-a127-173a24162f6e</t>
        </is>
      </c>
      <c r="F26" s="52" t="n"/>
      <c r="G26" s="52" t="n"/>
      <c r="H26" s="52" t="inlineStr"/>
    </row>
    <row r="27" s="41">
      <c r="A27" s="52" t="n">
        <v>14</v>
      </c>
      <c r="B27" s="52" t="inlineStr">
        <is>
          <t>95849-3360-inspections-the-court-of-justice-of-the-european-union-gives-the-commission.md</t>
        </is>
      </c>
      <c r="C27" s="52" t="inlineStr">
        <is>
          <t>Bulletin article</t>
        </is>
      </c>
      <c r="D27" s="52" t="n"/>
      <c r="E27" s="52" t="inlineStr">
        <is>
          <t>afe07022-9e8e-4270-a8d4-2c0aaa70652f</t>
        </is>
      </c>
      <c r="F27" s="52" t="n"/>
      <c r="G27" s="52" t="n"/>
      <c r="H27" s="52" t="inlineStr"/>
    </row>
    <row r="28" s="41">
      <c r="A28" s="52" t="n">
        <v>15</v>
      </c>
      <c r="B28" s="52" t="inlineStr">
        <is>
          <t>127929-the-eu-general-court-upholds-the-commissions-inspection-methodology-based-on-pub.md</t>
        </is>
      </c>
      <c r="C28" s="52" t="inlineStr">
        <is>
          <t>Bulletin article</t>
        </is>
      </c>
      <c r="D28" s="52" t="n"/>
      <c r="E28" s="52" t="inlineStr">
        <is>
          <t>af2e8c94-00c3-40d4-8e35-233542ca536d</t>
        </is>
      </c>
      <c r="F28" s="52" t="n"/>
      <c r="G28" s="52" t="n"/>
      <c r="H28" s="52" t="inlineStr"/>
    </row>
    <row r="29" s="41">
      <c r="A29" s="52" t="n">
        <v>16</v>
      </c>
      <c r="B29" s="52" t="inlineStr">
        <is>
          <t>judicial-review-competition-cases--6_european_union_-_judicial_review_of_inspection_decisions.md</t>
        </is>
      </c>
      <c r="C29" s="52" t="inlineStr">
        <is>
          <t>Article (Review)</t>
        </is>
      </c>
      <c r="D29" s="52" t="n"/>
      <c r="E29" s="52" t="inlineStr">
        <is>
          <t>21a3ec2e-1c42-4307-ab97-e45011d6660a</t>
        </is>
      </c>
      <c r="F29" s="52" t="n"/>
      <c r="G29" s="52" t="n"/>
      <c r="H29" s="52" t="inlineStr"/>
    </row>
    <row r="30" s="41">
      <c r="A30" s="52" t="n">
        <v>17</v>
      </c>
      <c r="B30" s="52" t="inlineStr">
        <is>
          <t>81215.md</t>
        </is>
      </c>
      <c r="C30" s="52" t="inlineStr">
        <is>
          <t>Article (Review)</t>
        </is>
      </c>
      <c r="D30" s="52" t="n"/>
      <c r="E30" s="52" t="inlineStr">
        <is>
          <t>1326c749-4c6d-42ec-974e-b228dd1bf722</t>
        </is>
      </c>
      <c r="F30" s="52" t="n"/>
      <c r="G30" s="52" t="n"/>
      <c r="H30" s="52" t="inlineStr"/>
    </row>
    <row r="31" s="41">
      <c r="A31" s="52" t="n">
        <v>18</v>
      </c>
      <c r="B31" s="52" t="inlineStr">
        <is>
          <t>105103.md</t>
        </is>
      </c>
      <c r="C31" s="52" t="inlineStr">
        <is>
          <t>Bulletin article</t>
        </is>
      </c>
      <c r="D31" s="52" t="n"/>
      <c r="E31" s="52" t="inlineStr">
        <is>
          <t>f10e4cc4-d036-4949-b9be-86b79b54fa7d</t>
        </is>
      </c>
      <c r="F31" s="52" t="n"/>
      <c r="G31" s="52" t="n"/>
      <c r="H31" s="52" t="inlineStr"/>
    </row>
    <row r="32" s="41">
      <c r="A32" s="52" t="n">
        <v>19</v>
      </c>
      <c r="B32" s="52" t="inlineStr">
        <is>
          <t>103260-35-necessary-limits-to-the-commission-s-inspection-powers.md</t>
        </is>
      </c>
      <c r="C32" s="52" t="inlineStr">
        <is>
          <t>Article (Review)</t>
        </is>
      </c>
      <c r="D32" s="52" t="n"/>
      <c r="E32" s="52" t="inlineStr">
        <is>
          <t>bef18b4b-bb03-49c0-a7aa-afed485ec5d2</t>
        </is>
      </c>
      <c r="F32" s="52" t="n"/>
      <c r="G32" s="52" t="n"/>
      <c r="H32" s="52" t="inlineStr"/>
    </row>
    <row r="33" s="41">
      <c r="A33" s="52" t="n">
        <v>20</v>
      </c>
      <c r="B33" s="52" t="inlineStr">
        <is>
          <t>127186-20-inspection-the-general-court-of-the-european-union-considers-that-the-commiss.md</t>
        </is>
      </c>
      <c r="C33" s="52" t="inlineStr">
        <is>
          <t>Bulletin article</t>
        </is>
      </c>
      <c r="D33" s="52" t="n"/>
      <c r="E33" s="52" t="inlineStr">
        <is>
          <t>329bd68b-1104-4f5c-b636-e9925175dbc6</t>
        </is>
      </c>
      <c r="F33" s="52" t="n"/>
      <c r="G33" s="52" t="n"/>
      <c r="H33" s="52" t="inlineStr"/>
    </row>
    <row r="34" s="41">
      <c r="A34" s="52" t="n">
        <v>21</v>
      </c>
      <c r="B34" s="52" t="inlineStr">
        <is>
          <t>62013CC0037.md</t>
        </is>
      </c>
      <c r="C34" s="52" t="inlineStr">
        <is>
          <t>Bulletin article</t>
        </is>
      </c>
      <c r="D34" s="52" t="inlineStr">
        <is>
          <t>EU</t>
        </is>
      </c>
      <c r="E34" s="52" t="inlineStr">
        <is>
          <t>632273f6-990f-4cc6-85ff-77f86f45c537</t>
        </is>
      </c>
      <c r="F34" s="52" t="n"/>
      <c r="G34" s="52" t="n"/>
      <c r="H34" s="52" t="inlineStr"/>
    </row>
    <row r="35" s="41">
      <c r="A35" s="52" t="n">
        <v>22</v>
      </c>
      <c r="B35" s="52" t="inlineStr">
        <is>
          <t>62018CJ0403.md</t>
        </is>
      </c>
      <c r="C35" s="52" t="inlineStr">
        <is>
          <t>Court Decision</t>
        </is>
      </c>
      <c r="D35" s="52" t="inlineStr">
        <is>
          <t>EU</t>
        </is>
      </c>
      <c r="E35" s="52" t="inlineStr">
        <is>
          <t>5b155c4b-0345-4afa-8dee-d56351895c8f</t>
        </is>
      </c>
      <c r="F35" s="52" t="n"/>
      <c r="G35" s="52" t="n"/>
      <c r="H35" s="52" t="inlineStr"/>
    </row>
    <row r="36" s="41">
      <c r="A36" s="52" t="n">
        <v>23</v>
      </c>
      <c r="B36" s="52" t="inlineStr">
        <is>
          <t>62018CC0606.md</t>
        </is>
      </c>
      <c r="C36" s="52" t="inlineStr">
        <is>
          <t>Article (Review)</t>
        </is>
      </c>
      <c r="D36" s="52" t="inlineStr">
        <is>
          <t>EU</t>
        </is>
      </c>
      <c r="E36" s="52" t="inlineStr">
        <is>
          <t>0655b4ec-4821-4b46-91b6-b6ddaebd8d5d</t>
        </is>
      </c>
      <c r="F36" s="52" t="n"/>
      <c r="G36" s="52" t="n"/>
      <c r="H36" s="52" t="inlineStr"/>
    </row>
    <row r="37" s="41">
      <c r="A37" s="52" t="n">
        <v>24</v>
      </c>
      <c r="B37" s="52" t="inlineStr">
        <is>
          <t>92103.md</t>
        </is>
      </c>
      <c r="C37" s="52" t="inlineStr">
        <is>
          <t>Article (Review)</t>
        </is>
      </c>
      <c r="D37" s="52" t="n"/>
      <c r="E37" s="52" t="inlineStr">
        <is>
          <t>f12761a7-4a04-47fb-aa09-a2155912c60c</t>
        </is>
      </c>
      <c r="F37" s="52" t="n"/>
      <c r="G37" s="52" t="n"/>
      <c r="H37" s="52" t="inlineStr"/>
    </row>
    <row r="38" s="41">
      <c r="A38" s="52" t="n">
        <v>25</v>
      </c>
      <c r="B38" s="52" t="inlineStr">
        <is>
          <t>62017TJ0249.md</t>
        </is>
      </c>
      <c r="C38" s="52" t="inlineStr">
        <is>
          <t>Court Decision</t>
        </is>
      </c>
      <c r="D38" s="52" t="inlineStr">
        <is>
          <t>EU</t>
        </is>
      </c>
      <c r="E38" s="52" t="inlineStr">
        <is>
          <t>dbf7bda8-39fa-4eb5-a6e2-f02b0787cb54</t>
        </is>
      </c>
      <c r="F38" s="52" t="n"/>
      <c r="G38" s="52" t="n"/>
      <c r="H38" s="52" t="inlineStr"/>
    </row>
    <row r="39" s="41">
      <c r="A39" s="52" t="n">
        <v>26</v>
      </c>
      <c r="B39" s="52" t="inlineStr">
        <is>
          <t>96586.md</t>
        </is>
      </c>
      <c r="C39" s="52" t="inlineStr">
        <is>
          <t>Article (Review)</t>
        </is>
      </c>
      <c r="D39" s="52" t="n"/>
      <c r="E39" s="52" t="inlineStr">
        <is>
          <t>4cb5c154-4d3a-46c3-8bca-8f09c7e6c562</t>
        </is>
      </c>
      <c r="F39" s="52" t="n"/>
      <c r="G39" s="52" t="n"/>
      <c r="H39" s="52" t="inlineStr"/>
    </row>
    <row r="40" s="41">
      <c r="A40" s="52" t="n">
        <v>27</v>
      </c>
      <c r="B40" s="52" t="inlineStr">
        <is>
          <t>79963.md</t>
        </is>
      </c>
      <c r="C40" s="52" t="inlineStr">
        <is>
          <t>Article (Review)</t>
        </is>
      </c>
      <c r="D40" s="52" t="n"/>
      <c r="E40" s="52" t="inlineStr">
        <is>
          <t>b0c5f913-948d-4dcc-9ea4-98f6136ca5a7</t>
        </is>
      </c>
      <c r="F40" s="52" t="n"/>
      <c r="G40" s="52" t="n"/>
      <c r="H40" s="52" t="inlineStr">
        <is>
          <t>Cited in answer: YES</t>
        </is>
      </c>
    </row>
    <row r="41" s="41">
      <c r="A41" s="52" t="n">
        <v>28</v>
      </c>
      <c r="B41" s="52" t="inlineStr">
        <is>
          <t>eu-antitrust-enforcement--12_xi_the_role_of_the_hearing_officer_in_antitrust_proceedings_before_the_european_commission.md</t>
        </is>
      </c>
      <c r="C41" s="52" t="inlineStr">
        <is>
          <t>Book (Livre)</t>
        </is>
      </c>
      <c r="D41" s="52" t="n"/>
      <c r="E41" s="52" t="inlineStr">
        <is>
          <t>27d55d8c-5b59-43c1-8576-7a718bd009d4</t>
        </is>
      </c>
      <c r="F41" s="52" t="n"/>
      <c r="G41" s="52" t="n"/>
      <c r="H41" s="52" t="inlineStr"/>
    </row>
    <row r="42" s="41">
      <c r="A42" s="52" t="n">
        <v>29</v>
      </c>
      <c r="B42" s="52" t="inlineStr">
        <is>
          <t>62013CJ0583.md</t>
        </is>
      </c>
      <c r="C42" s="52" t="inlineStr">
        <is>
          <t>Court Decision</t>
        </is>
      </c>
      <c r="D42" s="52" t="inlineStr">
        <is>
          <t>EU</t>
        </is>
      </c>
      <c r="E42" s="52" t="inlineStr">
        <is>
          <t>7b8f60ed-1acc-484e-b298-5a745b6b18f3</t>
        </is>
      </c>
      <c r="F42" s="52" t="n"/>
      <c r="G42" s="52" t="n"/>
      <c r="H42" s="52" t="inlineStr">
        <is>
          <t>Cited in answer: YES</t>
        </is>
      </c>
    </row>
    <row r="43" s="41">
      <c r="A43" s="52" t="n">
        <v>30</v>
      </c>
      <c r="B43" s="52" t="inlineStr">
        <is>
          <t>97568-3340-investigation-the-court-of-justice-of-the-european-union-recognizes-the-eur.md</t>
        </is>
      </c>
      <c r="C43" s="52" t="inlineStr">
        <is>
          <t>Bulletin article</t>
        </is>
      </c>
      <c r="D43" s="52" t="n"/>
      <c r="E43" s="52" t="inlineStr">
        <is>
          <t>0a9a6620-916c-4d26-8e97-e91a08871183</t>
        </is>
      </c>
      <c r="F43" s="52" t="n"/>
      <c r="G43" s="52" t="n"/>
      <c r="H43" s="52" t="inlineStr"/>
    </row>
    <row r="44" s="41">
      <c r="A44" s="52" t="n">
        <v>31</v>
      </c>
      <c r="B44" s="52" t="inlineStr">
        <is>
          <t>judicial-review-competition-cases--7_european_union_-_are_there_any_limits_to_unlimited_jurisdiction_judicial_review_of_commission_discretion_in_setting_fines_for_breaches_of_eu_competition_rules.md</t>
        </is>
      </c>
      <c r="C44" s="52" t="inlineStr">
        <is>
          <t>Article (Review)</t>
        </is>
      </c>
      <c r="D44" s="52" t="n"/>
      <c r="E44" s="52" t="inlineStr">
        <is>
          <t>db161723-dcab-4880-a411-5ede0c406c3a</t>
        </is>
      </c>
      <c r="F44" s="52" t="n"/>
      <c r="G44" s="52" t="n"/>
      <c r="H44" s="52" t="inlineStr"/>
    </row>
    <row r="45" s="41">
      <c r="A45" s="52" t="n">
        <v>32</v>
      </c>
      <c r="B45" s="52" t="inlineStr">
        <is>
          <t>eu-antitrust-enforcement--15_xiv_procedural_rights_and_obligations_of_third_parties_in_antitrust_investigations_and_proceedings_by_the_european_commission.md</t>
        </is>
      </c>
      <c r="C45" s="52" t="inlineStr">
        <is>
          <t>Book (Livre)</t>
        </is>
      </c>
      <c r="D45" s="52" t="n"/>
      <c r="E45" s="52" t="inlineStr">
        <is>
          <t>b2429dd2-ef75-4f34-8bf2-95b08c3a4de5</t>
        </is>
      </c>
      <c r="F45" s="52" t="n"/>
      <c r="G45" s="52" t="n"/>
      <c r="H45" s="52" t="inlineStr"/>
    </row>
    <row r="46" s="41">
      <c r="A46" s="52" t="n">
        <v>33</v>
      </c>
      <c r="B46" s="52" t="inlineStr">
        <is>
          <t>competition-case-law-digest-5th--p09.md</t>
        </is>
      </c>
      <c r="C46" s="52" t="inlineStr">
        <is>
          <t>Book (Livre)</t>
        </is>
      </c>
      <c r="D46" s="52" t="n"/>
      <c r="E46" s="52" t="inlineStr">
        <is>
          <t>2f0afdb0-43c8-41b3-99e2-c3003ab906c1</t>
        </is>
      </c>
      <c r="F46" s="52" t="n"/>
      <c r="G46" s="52" t="n"/>
      <c r="H46" s="52" t="inlineStr"/>
    </row>
    <row r="47" s="41">
      <c r="A47" s="52" t="n">
        <v>34</v>
      </c>
      <c r="B47" s="52" t="inlineStr">
        <is>
          <t>AT.38823-DEC_F66ED65C-2649-42E8-A2B2-0540E4650925_-ATT1340.md</t>
        </is>
      </c>
      <c r="C47" s="52" t="inlineStr">
        <is>
          <t>Regulatory Decision</t>
        </is>
      </c>
      <c r="D47" s="52" t="inlineStr">
        <is>
          <t>EU</t>
        </is>
      </c>
      <c r="E47" s="52" t="inlineStr">
        <is>
          <t>7dce14d9-8a1f-49fd-84f4-e04e86fb3760</t>
        </is>
      </c>
      <c r="F47" s="52" t="n"/>
      <c r="G47" s="52" t="n"/>
      <c r="H47" s="52" t="inlineStr"/>
    </row>
    <row r="48" s="41">
      <c r="A48" s="52" t="n">
        <v>35</v>
      </c>
      <c r="B48" s="52" t="inlineStr">
        <is>
          <t>62012CJ0365.md</t>
        </is>
      </c>
      <c r="C48" s="52" t="inlineStr">
        <is>
          <t>Court Decision</t>
        </is>
      </c>
      <c r="D48" s="52" t="inlineStr">
        <is>
          <t>EU</t>
        </is>
      </c>
      <c r="E48" s="52" t="inlineStr">
        <is>
          <t>26887c6b-0bac-4894-86e5-157231b4f370</t>
        </is>
      </c>
      <c r="F48" s="52" t="n"/>
      <c r="G48" s="52" t="n"/>
      <c r="H48" s="52" t="inlineStr"/>
    </row>
    <row r="49" s="41">
      <c r="A49" s="52" t="n">
        <v>36</v>
      </c>
      <c r="B49" s="52" t="inlineStr">
        <is>
          <t>96910-3420-dawn-raids-the-court-of-justice-of-the-european-union-confirms-the-power-of.md</t>
        </is>
      </c>
      <c r="C49" s="52" t="inlineStr">
        <is>
          <t>Bulletin article</t>
        </is>
      </c>
      <c r="D49" s="52" t="n"/>
      <c r="E49" s="52" t="inlineStr">
        <is>
          <t>a95ca40b-ceae-4436-8de6-a7a126b177e3</t>
        </is>
      </c>
      <c r="F49" s="52" t="n"/>
      <c r="G49" s="52" t="n"/>
      <c r="H49" s="52" t="inlineStr"/>
    </row>
    <row r="50" s="41">
      <c r="A50" s="52" t="n">
        <v>37</v>
      </c>
      <c r="B50" s="52" t="inlineStr">
        <is>
          <t>62018CJ0606.md</t>
        </is>
      </c>
      <c r="C50" s="52" t="inlineStr">
        <is>
          <t>Court Decision</t>
        </is>
      </c>
      <c r="D50" s="52" t="inlineStr">
        <is>
          <t>EU</t>
        </is>
      </c>
      <c r="E50" s="52" t="inlineStr">
        <is>
          <t>2d074327-045b-484e-8bbc-1a0f9c7ed660</t>
        </is>
      </c>
      <c r="F50" s="52" t="n"/>
      <c r="G50" s="52" t="n"/>
      <c r="H50" s="52" t="inlineStr"/>
    </row>
    <row r="51" s="41">
      <c r="A51" s="52" t="n">
        <v>38</v>
      </c>
      <c r="B51" s="52" t="inlineStr">
        <is>
          <t>eu-antitrust-enforcement--13_xii_the_oral_hearing_in_antitrust_proceedings_before_the_european_commission.md</t>
        </is>
      </c>
      <c r="C51" s="52" t="inlineStr">
        <is>
          <t>Article (Review)</t>
        </is>
      </c>
      <c r="D51" s="52" t="n"/>
      <c r="E51" s="52" t="inlineStr">
        <is>
          <t>8edbd753-7757-4163-9662-1b5feeeadeb4</t>
        </is>
      </c>
      <c r="F51" s="52" t="n"/>
      <c r="G51" s="52" t="n"/>
      <c r="H51" s="52" t="inlineStr"/>
    </row>
    <row r="52" s="41">
      <c r="A52" s="52" t="n">
        <v>39</v>
      </c>
      <c r="B52" s="52" t="inlineStr">
        <is>
          <t>96291-the-eu-court-of-justice-upholds-the-commissions-right-to-continue-inspection-at.md</t>
        </is>
      </c>
      <c r="C52" s="52" t="inlineStr">
        <is>
          <t>Bulletin article</t>
        </is>
      </c>
      <c r="D52" s="52" t="n"/>
      <c r="E52" s="52" t="inlineStr">
        <is>
          <t>b5945681-864a-4470-b1bb-33978a2016ed</t>
        </is>
      </c>
      <c r="F52" s="52" t="n"/>
      <c r="G52" s="52" t="n"/>
      <c r="H52" s="52" t="inlineStr"/>
    </row>
    <row r="53" s="41">
      <c r="A53" s="52" t="n">
        <v>40</v>
      </c>
      <c r="B53" s="52" t="inlineStr">
        <is>
          <t>62020CC0682.md</t>
        </is>
      </c>
      <c r="C53" s="52" t="inlineStr">
        <is>
          <t>Article (Review)</t>
        </is>
      </c>
      <c r="D53" s="52" t="inlineStr">
        <is>
          <t>EU</t>
        </is>
      </c>
      <c r="E53" s="52" t="inlineStr">
        <is>
          <t>f6fc977b-8c8d-467b-a5f7-04beb77f1b93</t>
        </is>
      </c>
      <c r="F53" s="52" t="n"/>
      <c r="G53" s="52" t="n"/>
      <c r="H53" s="52" t="inlineStr"/>
    </row>
    <row r="54" s="41">
      <c r="A54" s="52" t="n">
        <v>41</v>
      </c>
      <c r="B54" s="52" t="inlineStr">
        <is>
          <t>62020CJ0682.md</t>
        </is>
      </c>
      <c r="C54" s="52" t="inlineStr">
        <is>
          <t>Court Decision</t>
        </is>
      </c>
      <c r="D54" s="52" t="inlineStr">
        <is>
          <t>EU</t>
        </is>
      </c>
      <c r="E54" s="52" t="inlineStr">
        <is>
          <t>408cfe67-7fe4-45a8-9c3e-de39d86d56cb</t>
        </is>
      </c>
      <c r="F54" s="52" t="n"/>
      <c r="G54" s="52" t="n"/>
      <c r="H54" s="52" t="inlineStr"/>
    </row>
    <row r="55" s="41">
      <c r="A55" s="52" t="n">
        <v>42</v>
      </c>
      <c r="B55" s="52" t="inlineStr">
        <is>
          <t>62013TJ0402.md</t>
        </is>
      </c>
      <c r="C55" s="52" t="inlineStr">
        <is>
          <t>Court Decision</t>
        </is>
      </c>
      <c r="D55" s="52" t="inlineStr">
        <is>
          <t>EU</t>
        </is>
      </c>
      <c r="E55" s="52" t="inlineStr">
        <is>
          <t>d193f5d4-ad74-4d17-8105-30b02e493c35</t>
        </is>
      </c>
      <c r="F55" s="52" t="n"/>
      <c r="G55" s="52" t="n"/>
      <c r="H55" s="52" t="inlineStr"/>
    </row>
    <row r="56" s="41">
      <c r="A56" s="52" t="n">
        <v>43</v>
      </c>
      <c r="B56" s="52" t="inlineStr">
        <is>
          <t>eu-antitrust-enforcement--2_i_regulation_1_2003_an_assessment_after_twenty_years.md</t>
        </is>
      </c>
      <c r="C56" s="52" t="inlineStr">
        <is>
          <t>Article (Review)</t>
        </is>
      </c>
      <c r="D56" s="52" t="n"/>
      <c r="E56" s="52" t="inlineStr">
        <is>
          <t>55871bec-fbf6-4f9f-9931-66f8481120f2</t>
        </is>
      </c>
      <c r="F56" s="52" t="n"/>
      <c r="G56" s="52" t="n"/>
      <c r="H56" s="52" t="inlineStr"/>
    </row>
    <row r="57" s="41">
      <c r="A57" s="52" t="n">
        <v>44</v>
      </c>
      <c r="B57" s="52" t="inlineStr">
        <is>
          <t>93368-2520-investigations-the-court-of-justice-of-the-european-union-rules-that-an-act.md</t>
        </is>
      </c>
      <c r="C57" s="52" t="inlineStr">
        <is>
          <t>Bulletin article</t>
        </is>
      </c>
      <c r="D57" s="52" t="n"/>
      <c r="E57" s="52" t="inlineStr">
        <is>
          <t>eb4af447-a8d7-4102-8c9b-20f8865d5fea</t>
        </is>
      </c>
      <c r="F57" s="52" t="n"/>
      <c r="G57" s="52" t="n"/>
      <c r="H57" s="52" t="inlineStr"/>
    </row>
    <row r="58" s="41">
      <c r="A58" s="52" t="n">
        <v>45</v>
      </c>
      <c r="B58" s="52" t="inlineStr">
        <is>
          <t>94920-2150-inquiries-the-court-of-justice-of-the-european-union-dismisses-appeals-brou.md</t>
        </is>
      </c>
      <c r="C58" s="52" t="inlineStr">
        <is>
          <t>Bulletin article</t>
        </is>
      </c>
      <c r="D58" s="52" t="n"/>
      <c r="E58" s="52" t="inlineStr">
        <is>
          <t>e7e462f6-8d3e-4f46-92a9-57edcae44fd8</t>
        </is>
      </c>
      <c r="F58" s="52" t="n"/>
      <c r="G58" s="52" t="n"/>
      <c r="H58" s="52" t="inlineStr"/>
    </row>
    <row r="59" s="41">
      <c r="A59" s="52" t="n">
        <v>46</v>
      </c>
      <c r="B59" s="52" t="inlineStr">
        <is>
          <t>62018CJ0601.md</t>
        </is>
      </c>
      <c r="C59" s="52" t="inlineStr">
        <is>
          <t>Court Decision</t>
        </is>
      </c>
      <c r="D59" s="52" t="inlineStr">
        <is>
          <t>EU</t>
        </is>
      </c>
      <c r="E59" s="52" t="inlineStr">
        <is>
          <t>d94571df-d56d-45c1-a02e-834714984963</t>
        </is>
      </c>
      <c r="F59" s="52" t="n"/>
      <c r="G59" s="52" t="n"/>
      <c r="H59" s="52" t="inlineStr"/>
    </row>
    <row r="60" s="41">
      <c r="A60" s="52" t="n">
        <v>47</v>
      </c>
      <c r="B60" s="52" t="inlineStr">
        <is>
          <t>62016CJ0123.md</t>
        </is>
      </c>
      <c r="C60" s="52" t="inlineStr">
        <is>
          <t>Court Decision</t>
        </is>
      </c>
      <c r="D60" s="52" t="inlineStr">
        <is>
          <t>EU</t>
        </is>
      </c>
      <c r="E60" s="52" t="inlineStr">
        <is>
          <t>22252c77-2086-4d9e-94b7-b7219394e299</t>
        </is>
      </c>
      <c r="F60" s="52" t="n"/>
      <c r="G60" s="52" t="n"/>
      <c r="H60" s="52" t="inlineStr"/>
    </row>
    <row r="61" s="41">
      <c r="A61" s="52" t="n">
        <v>48</v>
      </c>
      <c r="B61" s="52" t="inlineStr">
        <is>
          <t>62014CJ0413.md</t>
        </is>
      </c>
      <c r="C61" s="52" t="inlineStr">
        <is>
          <t>Court Decision</t>
        </is>
      </c>
      <c r="D61" s="52" t="inlineStr">
        <is>
          <t>EU</t>
        </is>
      </c>
      <c r="E61" s="52" t="inlineStr">
        <is>
          <t>72ccc95a-3fea-4dbb-b7f6-3d6b4b3fd958</t>
        </is>
      </c>
      <c r="F61" s="52" t="n"/>
      <c r="G61" s="52" t="n"/>
      <c r="H61" s="52" t="inlineStr"/>
    </row>
    <row r="62" s="41">
      <c r="A62" s="52" t="n">
        <v>49</v>
      </c>
      <c r="B62" s="52" t="inlineStr">
        <is>
          <t>123082.md</t>
        </is>
      </c>
      <c r="C62" s="52" t="inlineStr">
        <is>
          <t>Bulletin article</t>
        </is>
      </c>
      <c r="D62" s="52" t="n"/>
      <c r="E62" s="52" t="inlineStr">
        <is>
          <t>18ab192b-10fe-48eb-95a5-bfcc61cd2c9d</t>
        </is>
      </c>
      <c r="F62" s="52" t="n"/>
      <c r="G62" s="52" t="n"/>
      <c r="H62" s="52" t="inlineStr"/>
    </row>
    <row r="63" s="41">
      <c r="A63" s="52" t="n">
        <v>50</v>
      </c>
      <c r="B63" s="52" t="inlineStr">
        <is>
          <t>62020TJ0312.md</t>
        </is>
      </c>
      <c r="C63" s="52" t="inlineStr">
        <is>
          <t>Court Decision</t>
        </is>
      </c>
      <c r="D63" s="52" t="inlineStr">
        <is>
          <t>EU</t>
        </is>
      </c>
      <c r="E63" s="52" t="inlineStr">
        <is>
          <t>30e60d1c-01b4-48f2-927c-8817ef32a545</t>
        </is>
      </c>
      <c r="F63" s="52" t="n"/>
      <c r="G63" s="52" t="n"/>
      <c r="H63" s="52" t="inlineStr"/>
    </row>
    <row r="64" s="41">
      <c r="A64" s="52" t="n">
        <v>51</v>
      </c>
      <c r="B64" s="52" t="inlineStr">
        <is>
          <t>62019CJ0697.md</t>
        </is>
      </c>
      <c r="C64" s="52" t="inlineStr">
        <is>
          <t>Court Decision</t>
        </is>
      </c>
      <c r="D64" s="52" t="inlineStr">
        <is>
          <t>EU</t>
        </is>
      </c>
      <c r="E64" s="52" t="inlineStr">
        <is>
          <t>78e44658-9979-4418-94c6-4c9429b2b966</t>
        </is>
      </c>
      <c r="F64" s="52" t="n"/>
      <c r="G64" s="52" t="n"/>
      <c r="H64" s="52" t="inlineStr"/>
    </row>
    <row r="65" s="41">
      <c r="A65" s="52" t="n">
        <v>52</v>
      </c>
      <c r="B65" s="52" t="inlineStr">
        <is>
          <t>62015CO0523.md</t>
        </is>
      </c>
      <c r="C65" s="52" t="inlineStr">
        <is>
          <t>Court Decision</t>
        </is>
      </c>
      <c r="D65" s="52" t="inlineStr">
        <is>
          <t>EU</t>
        </is>
      </c>
      <c r="E65" s="52" t="inlineStr">
        <is>
          <t>b66f8514-c7d7-4322-9e3d-b85b2b24d658</t>
        </is>
      </c>
      <c r="F65" s="52" t="n"/>
      <c r="G65" s="52" t="n"/>
      <c r="H65" s="52" t="inlineStr"/>
    </row>
    <row r="66" s="41">
      <c r="A66" s="52" t="n">
        <v>53</v>
      </c>
      <c r="B66" s="52" t="inlineStr">
        <is>
          <t>62016CJ0611.md</t>
        </is>
      </c>
      <c r="C66" s="52" t="inlineStr">
        <is>
          <t>Court Decision</t>
        </is>
      </c>
      <c r="D66" s="52" t="inlineStr">
        <is>
          <t>EU</t>
        </is>
      </c>
      <c r="E66" s="52" t="inlineStr">
        <is>
          <t>3db04834-4025-49ed-ae15-42e6d03d00b0</t>
        </is>
      </c>
      <c r="F66" s="52" t="n"/>
      <c r="G66" s="52" t="n"/>
      <c r="H66" s="52" t="inlineStr"/>
    </row>
    <row r="67" s="41">
      <c r="A67" s="52" t="n">
        <v>54</v>
      </c>
      <c r="B67" s="52" t="inlineStr">
        <is>
          <t>62020CC0690.md</t>
        </is>
      </c>
      <c r="C67" s="52" t="inlineStr">
        <is>
          <t>Bulletin article</t>
        </is>
      </c>
      <c r="D67" s="52" t="inlineStr">
        <is>
          <t>EU</t>
        </is>
      </c>
      <c r="E67" s="52" t="inlineStr">
        <is>
          <t>349cac6b-c1bd-4e7c-a092-8bef2db77ad2</t>
        </is>
      </c>
      <c r="F67" s="52" t="n"/>
      <c r="G67" s="52" t="n"/>
      <c r="H67" s="52" t="inlineStr"/>
    </row>
    <row r="68" s="41">
      <c r="A68" s="52" t="n">
        <v>55</v>
      </c>
      <c r="B68" s="52" t="inlineStr">
        <is>
          <t>62014CJ0033.md</t>
        </is>
      </c>
      <c r="C68" s="52" t="inlineStr">
        <is>
          <t>Court Decision</t>
        </is>
      </c>
      <c r="D68" s="52" t="inlineStr">
        <is>
          <t>EU</t>
        </is>
      </c>
      <c r="E68" s="52" t="inlineStr">
        <is>
          <t>416f824d-8129-498b-86b2-330a30a0f664</t>
        </is>
      </c>
      <c r="F68" s="52" t="n"/>
      <c r="G68" s="52" t="n"/>
      <c r="H68" s="52" t="inlineStr"/>
    </row>
    <row r="69" s="41">
      <c r="A69" s="52" t="n">
        <v>56</v>
      </c>
      <c r="B69" s="52" t="inlineStr">
        <is>
          <t>62020CC0376.md</t>
        </is>
      </c>
      <c r="C69" s="52" t="inlineStr">
        <is>
          <t>Court Decision</t>
        </is>
      </c>
      <c r="D69" s="52" t="inlineStr">
        <is>
          <t>EU</t>
        </is>
      </c>
      <c r="E69" s="52" t="inlineStr">
        <is>
          <t>cebd4962-06e0-43a6-ac13-b9cc9b05c9e7</t>
        </is>
      </c>
      <c r="F69" s="52" t="n"/>
      <c r="G69" s="52" t="n"/>
      <c r="H69" s="52" t="inlineStr"/>
    </row>
    <row r="70" s="41">
      <c r="A70" s="52" t="n">
        <v>57</v>
      </c>
      <c r="B70" s="52" t="inlineStr">
        <is>
          <t>62016TJ0640(01).md</t>
        </is>
      </c>
      <c r="C70" s="52" t="inlineStr">
        <is>
          <t>Court Decision</t>
        </is>
      </c>
      <c r="D70" s="52" t="inlineStr">
        <is>
          <t>EU</t>
        </is>
      </c>
      <c r="E70" s="52" t="inlineStr">
        <is>
          <t>1880a767-4e18-44da-ae27-47011320e498</t>
        </is>
      </c>
      <c r="F70" s="52" t="n"/>
      <c r="G70" s="52" t="n"/>
      <c r="H70" s="52" t="inlineStr"/>
    </row>
    <row r="71" s="41">
      <c r="A71" s="52" t="n">
        <v>58</v>
      </c>
      <c r="B71" s="52" t="inlineStr">
        <is>
          <t>62015TJ0274.md</t>
        </is>
      </c>
      <c r="C71" s="52" t="inlineStr">
        <is>
          <t>Court Decision</t>
        </is>
      </c>
      <c r="D71" s="52" t="inlineStr">
        <is>
          <t>EU</t>
        </is>
      </c>
      <c r="E71" s="52" t="inlineStr">
        <is>
          <t>d42f923b-c267-4df9-acb3-5abda361a0d6</t>
        </is>
      </c>
      <c r="F71" s="52" t="n"/>
      <c r="G71" s="52" t="n"/>
      <c r="H71" s="52" t="inlineStr"/>
    </row>
    <row r="72" s="41">
      <c r="A72" s="52" t="n">
        <v>59</v>
      </c>
      <c r="B72" s="52" t="inlineStr">
        <is>
          <t>competition-inspections-25-jurisdictions--7_european_union.md</t>
        </is>
      </c>
      <c r="C72" s="52" t="inlineStr">
        <is>
          <t>Article (Review)</t>
        </is>
      </c>
      <c r="D72" s="52" t="n"/>
      <c r="E72" s="52" t="inlineStr">
        <is>
          <t>1c2fa592-34f0-4656-96c2-024c5ea88b1e</t>
        </is>
      </c>
      <c r="F72" s="52" t="n"/>
      <c r="G72" s="52" t="n"/>
      <c r="H72" s="52" t="inlineStr"/>
    </row>
    <row r="73" s="41">
      <c r="A73" s="52" t="n">
        <v>60</v>
      </c>
      <c r="B73" s="52" t="inlineStr">
        <is>
          <t>62014TJ0639(01).md</t>
        </is>
      </c>
      <c r="C73" s="52" t="inlineStr">
        <is>
          <t>Court Decision</t>
        </is>
      </c>
      <c r="D73" s="52" t="inlineStr">
        <is>
          <t>EU</t>
        </is>
      </c>
      <c r="E73" s="52" t="inlineStr">
        <is>
          <t>cf1d6ba5-9892-4d66-a0d2-60e0ebf5e920</t>
        </is>
      </c>
      <c r="F73" s="52" t="n"/>
      <c r="G73" s="52" t="n"/>
      <c r="H73" s="52" t="inlineStr"/>
    </row>
    <row r="74" s="41">
      <c r="A74" s="52" t="n">
        <v>61</v>
      </c>
      <c r="B74" s="52" t="inlineStr">
        <is>
          <t>62019CJ0563.md</t>
        </is>
      </c>
      <c r="C74" s="52" t="inlineStr">
        <is>
          <t>Court Decision</t>
        </is>
      </c>
      <c r="D74" s="52" t="inlineStr">
        <is>
          <t>EU</t>
        </is>
      </c>
      <c r="E74" s="52" t="inlineStr">
        <is>
          <t>e913f312-653c-49c1-b77a-4a633a3b4bfc</t>
        </is>
      </c>
      <c r="F74" s="52" t="n"/>
      <c r="G74" s="52" t="n"/>
      <c r="H74" s="52" t="inlineStr"/>
    </row>
    <row r="75" s="41">
      <c r="A75" s="52" t="n">
        <v>62</v>
      </c>
      <c r="B75" s="52" t="inlineStr">
        <is>
          <t>62015CJ0088.md</t>
        </is>
      </c>
      <c r="C75" s="52" t="inlineStr">
        <is>
          <t>Court Decision</t>
        </is>
      </c>
      <c r="D75" s="52" t="inlineStr">
        <is>
          <t>EU</t>
        </is>
      </c>
      <c r="E75" s="52" t="inlineStr">
        <is>
          <t>80f4c149-8f30-416e-b690-ada942e3745a</t>
        </is>
      </c>
      <c r="F75" s="52" t="n"/>
      <c r="G75" s="52" t="n"/>
      <c r="H75" s="52" t="inlineStr"/>
    </row>
    <row r="76" s="41">
      <c r="A76" s="52" t="n">
        <v>63</v>
      </c>
      <c r="B76" s="52" t="inlineStr">
        <is>
          <t>62023TJ0263.md</t>
        </is>
      </c>
      <c r="C76" s="52" t="inlineStr">
        <is>
          <t>Court Decision</t>
        </is>
      </c>
      <c r="D76" s="52" t="inlineStr">
        <is>
          <t>EU</t>
        </is>
      </c>
      <c r="E76" s="52" t="inlineStr">
        <is>
          <t>16791fea-a958-4950-92a6-5a1b65fb3a04</t>
        </is>
      </c>
      <c r="F76" s="52" t="n"/>
      <c r="G76" s="52" t="n"/>
      <c r="H76" s="52" t="inlineStr"/>
    </row>
    <row r="77" s="41">
      <c r="A77" s="52" t="n">
        <v>64</v>
      </c>
      <c r="B77" s="52" t="inlineStr">
        <is>
          <t>62013CJ0037.md</t>
        </is>
      </c>
      <c r="C77" s="52" t="inlineStr">
        <is>
          <t>Court Decision</t>
        </is>
      </c>
      <c r="D77" s="52" t="inlineStr">
        <is>
          <t>EU</t>
        </is>
      </c>
      <c r="E77" s="52" t="inlineStr">
        <is>
          <t>2426e61d-f1e3-4fe6-a1e7-1b0d6d4deb24</t>
        </is>
      </c>
      <c r="F77" s="52" t="n"/>
      <c r="G77" s="52" t="n"/>
      <c r="H77" s="52" t="inlineStr"/>
    </row>
    <row r="78" s="41">
      <c r="A78" s="52" t="n">
        <v>65</v>
      </c>
      <c r="B78" s="52" t="inlineStr">
        <is>
          <t>62019CJ0699.md</t>
        </is>
      </c>
      <c r="C78" s="52" t="inlineStr">
        <is>
          <t>Court Decision</t>
        </is>
      </c>
      <c r="D78" s="52" t="inlineStr">
        <is>
          <t>EU</t>
        </is>
      </c>
      <c r="E78" s="52" t="inlineStr">
        <is>
          <t>75b09e77-929c-4a7a-b100-8fd1f054e367</t>
        </is>
      </c>
      <c r="F78" s="52" t="n"/>
      <c r="G78" s="52" t="n"/>
      <c r="H78" s="52" t="inlineStr"/>
    </row>
    <row r="79" s="41">
      <c r="A79" s="52" t="n">
        <v>66</v>
      </c>
      <c r="B79" s="52" t="inlineStr">
        <is>
          <t>62016CJ0586.md</t>
        </is>
      </c>
      <c r="C79" s="52" t="inlineStr">
        <is>
          <t>Court Decision</t>
        </is>
      </c>
      <c r="D79" s="52" t="inlineStr">
        <is>
          <t>EU</t>
        </is>
      </c>
      <c r="E79" s="52" t="inlineStr">
        <is>
          <t>e5c9a320-8674-4436-ab55-a45fb5d4fd8b</t>
        </is>
      </c>
      <c r="F79" s="52" t="n"/>
      <c r="G79" s="52" t="n"/>
      <c r="H79" s="52" t="inlineStr"/>
    </row>
    <row r="80" s="41">
      <c r="A80" s="52" t="n">
        <v>67</v>
      </c>
      <c r="B80" s="52" t="inlineStr">
        <is>
          <t>eu-antitrust-enforcement--16_xv_publication_of_antitrust_decisions_of_the_european_commission.md</t>
        </is>
      </c>
      <c r="C80" s="52" t="inlineStr">
        <is>
          <t>Book (Livre)</t>
        </is>
      </c>
      <c r="D80" s="52" t="n"/>
      <c r="E80" s="52" t="inlineStr">
        <is>
          <t>3c9799ff-7e91-4daf-9fef-671444f16757</t>
        </is>
      </c>
      <c r="F80" s="52" t="n"/>
      <c r="G80" s="52" t="n"/>
      <c r="H80" s="52" t="inlineStr"/>
    </row>
    <row r="81" s="41">
      <c r="A81" s="52" t="n">
        <v>68</v>
      </c>
      <c r="B81" s="52" t="inlineStr">
        <is>
          <t>eu-antitrust-enforcement--17_xvi_re_adoption_by_the_european_commission_of_cartel_decisions_annulled_on_procedural_grounds_by_the_eu_courts.md</t>
        </is>
      </c>
      <c r="C81" s="52" t="inlineStr">
        <is>
          <t>Article (Review)</t>
        </is>
      </c>
      <c r="D81" s="52" t="n"/>
      <c r="E81" s="52" t="inlineStr">
        <is>
          <t>71ba5e7f-b51e-4068-b010-b7e7f422add9</t>
        </is>
      </c>
      <c r="F81" s="52" t="n"/>
      <c r="G81" s="52" t="n"/>
      <c r="H81" s="52" t="inlineStr"/>
    </row>
    <row r="82" s="41">
      <c r="A82" s="52" t="n">
        <v>69</v>
      </c>
      <c r="B82" s="52" t="inlineStr">
        <is>
          <t>131258-the-eu-general-court-dismisses-an-action-challenging-commission-s-inspection-pow.md</t>
        </is>
      </c>
      <c r="C82" s="52" t="inlineStr">
        <is>
          <t>Bulletin article</t>
        </is>
      </c>
      <c r="D82" s="52" t="n"/>
      <c r="E82" s="52" t="inlineStr">
        <is>
          <t>b5e40090-4f79-422a-997e-8eaa7a359c88</t>
        </is>
      </c>
      <c r="F82" s="52" t="n"/>
      <c r="G82" s="52" t="n"/>
      <c r="H82" s="52" t="inlineStr"/>
    </row>
    <row r="83" s="41">
      <c r="A83" s="52" t="n">
        <v>70</v>
      </c>
      <c r="B83" s="52" t="inlineStr">
        <is>
          <t>62019CJ0698.md</t>
        </is>
      </c>
      <c r="C83" s="52" t="inlineStr">
        <is>
          <t>Court Decision</t>
        </is>
      </c>
      <c r="D83" s="52" t="inlineStr">
        <is>
          <t>EU</t>
        </is>
      </c>
      <c r="E83" s="52" t="inlineStr">
        <is>
          <t>ad8e8c6c-9d66-45d9-bc05-6962f20d0bf7</t>
        </is>
      </c>
      <c r="F83" s="52" t="n"/>
      <c r="G83" s="52" t="n"/>
      <c r="H83" s="52" t="inlineStr"/>
    </row>
    <row r="84" s="41">
      <c r="A84" s="52" t="n">
        <v>71</v>
      </c>
      <c r="B84" s="52" t="inlineStr">
        <is>
          <t>62018CJ0312.md</t>
        </is>
      </c>
      <c r="C84" s="52" t="inlineStr">
        <is>
          <t>Court Decision</t>
        </is>
      </c>
      <c r="D84" s="52" t="inlineStr">
        <is>
          <t>EU</t>
        </is>
      </c>
      <c r="E84" s="52" t="inlineStr">
        <is>
          <t>08dfceb2-3d7f-4ffa-9cfb-5b557d7cae14</t>
        </is>
      </c>
      <c r="F84" s="52" t="n"/>
      <c r="G84" s="52" t="n"/>
      <c r="H84" s="52" t="inlineStr"/>
    </row>
    <row r="85" s="41">
      <c r="A85" s="52" t="n">
        <v>72</v>
      </c>
      <c r="B85" s="52" t="inlineStr">
        <is>
          <t>62014CC0033.md</t>
        </is>
      </c>
      <c r="C85" s="52" t="inlineStr">
        <is>
          <t>Bulletin article</t>
        </is>
      </c>
      <c r="D85" s="52" t="inlineStr">
        <is>
          <t>EU</t>
        </is>
      </c>
      <c r="E85" s="52" t="inlineStr">
        <is>
          <t>1dfad74b-fd57-47bb-bfab-18e86ff8d695</t>
        </is>
      </c>
      <c r="F85" s="52" t="n"/>
      <c r="G85" s="52" t="n"/>
      <c r="H85" s="52" t="inlineStr"/>
    </row>
    <row r="86" s="41">
      <c r="A86" s="52" t="n">
        <v>73</v>
      </c>
      <c r="B86" s="52" t="inlineStr">
        <is>
          <t>62017CJ0114.md</t>
        </is>
      </c>
      <c r="C86" s="52" t="inlineStr">
        <is>
          <t>Court Decision</t>
        </is>
      </c>
      <c r="D86" s="52" t="inlineStr">
        <is>
          <t>EU</t>
        </is>
      </c>
      <c r="E86" s="52" t="inlineStr">
        <is>
          <t>3a7152cd-6afa-4e4f-8c45-eaaf4bc248a6</t>
        </is>
      </c>
      <c r="F86" s="52" t="n"/>
      <c r="G86" s="52" t="n"/>
      <c r="H86" s="52" t="inlineStr"/>
    </row>
    <row r="87" s="41">
      <c r="A87" s="52" t="n">
        <v>74</v>
      </c>
      <c r="B87" s="52" t="inlineStr">
        <is>
          <t>62016CJ0128.md</t>
        </is>
      </c>
      <c r="C87" s="52" t="inlineStr">
        <is>
          <t>Court Decision</t>
        </is>
      </c>
      <c r="D87" s="52" t="inlineStr">
        <is>
          <t>EU</t>
        </is>
      </c>
      <c r="E87" s="52" t="inlineStr">
        <is>
          <t>59490de3-8af2-4a5c-aa9b-14f059c7301f</t>
        </is>
      </c>
      <c r="F87" s="52" t="n"/>
      <c r="G87" s="52" t="n"/>
      <c r="H87" s="52" t="inlineStr"/>
    </row>
    <row r="88" s="41">
      <c r="A88" s="52" t="n">
        <v>75</v>
      </c>
      <c r="B88" s="52" t="inlineStr">
        <is>
          <t>62024CO0089(01).md</t>
        </is>
      </c>
      <c r="C88" s="52" t="inlineStr">
        <is>
          <t>Court Decision</t>
        </is>
      </c>
      <c r="D88" s="52" t="inlineStr">
        <is>
          <t>EU</t>
        </is>
      </c>
      <c r="E88" s="52" t="inlineStr">
        <is>
          <t>c937b817-5c56-4e36-8458-4a937aa0c4a4</t>
        </is>
      </c>
      <c r="F88" s="52" t="n"/>
      <c r="G88" s="52" t="n"/>
      <c r="H88" s="52" t="inlineStr"/>
    </row>
    <row r="89" s="41">
      <c r="A89" s="52" t="n">
        <v>76</v>
      </c>
      <c r="B89" s="52" t="inlineStr">
        <is>
          <t>62016CJ0579.md</t>
        </is>
      </c>
      <c r="C89" s="52" t="inlineStr">
        <is>
          <t>Court Decision</t>
        </is>
      </c>
      <c r="D89" s="52" t="inlineStr">
        <is>
          <t>EU</t>
        </is>
      </c>
      <c r="E89" s="52" t="inlineStr">
        <is>
          <t>eaf6f2fd-63a3-4636-b157-ce4c8e58127e</t>
        </is>
      </c>
      <c r="F89" s="52" t="n"/>
      <c r="G89" s="52" t="n"/>
      <c r="H89" s="52" t="inlineStr"/>
    </row>
    <row r="90" s="41">
      <c r="A90" s="52" t="n">
        <v>77</v>
      </c>
      <c r="B90" s="52" t="inlineStr">
        <is>
          <t>62014CC0268.md</t>
        </is>
      </c>
      <c r="C90" s="52" t="inlineStr">
        <is>
          <t>Bulletin article</t>
        </is>
      </c>
      <c r="D90" s="52" t="inlineStr">
        <is>
          <t>EU</t>
        </is>
      </c>
      <c r="E90" s="52" t="inlineStr">
        <is>
          <t>70d6a636-85b1-4767-8035-ab01f7ceae06</t>
        </is>
      </c>
      <c r="F90" s="52" t="n"/>
      <c r="G90" s="52" t="n"/>
      <c r="H90" s="52" t="inlineStr"/>
    </row>
    <row r="91" s="41">
      <c r="A91" s="52" t="n">
        <v>78</v>
      </c>
      <c r="B91" s="52" t="inlineStr">
        <is>
          <t>62014CC0267.md</t>
        </is>
      </c>
      <c r="C91" s="52" t="inlineStr">
        <is>
          <t>Bulletin article</t>
        </is>
      </c>
      <c r="D91" s="52" t="inlineStr">
        <is>
          <t>EU</t>
        </is>
      </c>
      <c r="E91" s="52" t="inlineStr">
        <is>
          <t>4e120783-7054-40f4-9568-0136a08681b0</t>
        </is>
      </c>
      <c r="F91" s="52" t="n"/>
      <c r="G91" s="52" t="n"/>
      <c r="H91" s="52" t="inlineStr"/>
    </row>
    <row r="92" s="41">
      <c r="A92" s="52" t="n">
        <v>79</v>
      </c>
      <c r="B92" s="52" t="inlineStr">
        <is>
          <t>62019CJ0638.md</t>
        </is>
      </c>
      <c r="C92" s="52" t="inlineStr">
        <is>
          <t>Court Decision</t>
        </is>
      </c>
      <c r="D92" s="52" t="inlineStr">
        <is>
          <t>EU</t>
        </is>
      </c>
      <c r="E92" s="52" t="inlineStr">
        <is>
          <t>39fe21f4-d9f9-46ee-8007-6acb00688f30</t>
        </is>
      </c>
      <c r="F92" s="52" t="n"/>
      <c r="G92" s="52" t="n"/>
      <c r="H92" s="52" t="inlineStr"/>
    </row>
    <row r="93" s="41">
      <c r="A93" s="52" t="n">
        <v>80</v>
      </c>
      <c r="B93" s="52" t="inlineStr">
        <is>
          <t>62020CJ0690.md</t>
        </is>
      </c>
      <c r="C93" s="52" t="inlineStr">
        <is>
          <t>Court Decision</t>
        </is>
      </c>
      <c r="D93" s="52" t="inlineStr">
        <is>
          <t>EU</t>
        </is>
      </c>
      <c r="E93" s="52" t="inlineStr">
        <is>
          <t>75c2da13-00ee-43b2-baa4-a6f2e5a71e73</t>
        </is>
      </c>
      <c r="F93" s="52" t="n"/>
      <c r="G93" s="52" t="n"/>
      <c r="H93" s="52" t="inlineStr"/>
    </row>
    <row r="94" s="41">
      <c r="A94" s="52" t="n">
        <v>81</v>
      </c>
      <c r="B94" s="52" t="inlineStr">
        <is>
          <t>62020CJ0693.md</t>
        </is>
      </c>
      <c r="C94" s="52" t="inlineStr">
        <is>
          <t>Court Decision</t>
        </is>
      </c>
      <c r="D94" s="52" t="inlineStr">
        <is>
          <t>EU</t>
        </is>
      </c>
      <c r="E94" s="52" t="inlineStr">
        <is>
          <t>74ccf3f4-5d27-4c74-9208-62829cc5bcf1</t>
        </is>
      </c>
      <c r="F94" s="52" t="n"/>
      <c r="G94" s="52" t="n"/>
      <c r="H94" s="52" t="inlineStr"/>
    </row>
    <row r="95" s="41">
      <c r="A95" s="52" t="n">
        <v>82</v>
      </c>
      <c r="B95" s="52" t="inlineStr">
        <is>
          <t>62018CJ0538.md</t>
        </is>
      </c>
      <c r="C95" s="52" t="inlineStr">
        <is>
          <t>Court Decision</t>
        </is>
      </c>
      <c r="D95" s="52" t="inlineStr">
        <is>
          <t>EU</t>
        </is>
      </c>
      <c r="E95" s="52" t="inlineStr">
        <is>
          <t>aeddddae-2bb4-43b2-812c-37431b53023f</t>
        </is>
      </c>
      <c r="F95" s="52" t="n"/>
      <c r="G95" s="52" t="n"/>
      <c r="H95" s="52" t="inlineStr"/>
    </row>
    <row r="96" s="41">
      <c r="A96" s="52" t="n">
        <v>83</v>
      </c>
      <c r="B96" s="52" t="inlineStr">
        <is>
          <t>62022CJ0381.md</t>
        </is>
      </c>
      <c r="C96" s="52" t="inlineStr">
        <is>
          <t>Court Decision</t>
        </is>
      </c>
      <c r="D96" s="52" t="inlineStr">
        <is>
          <t>EU</t>
        </is>
      </c>
      <c r="E96" s="52" t="inlineStr">
        <is>
          <t>71722674-1979-43b0-b9fb-45efc66190fe</t>
        </is>
      </c>
      <c r="F96" s="52" t="n"/>
      <c r="G96" s="52" t="n"/>
      <c r="H96" s="52" t="inlineStr"/>
    </row>
    <row r="97" s="41">
      <c r="A97" s="52" t="n">
        <v>84</v>
      </c>
      <c r="B97" s="52" t="inlineStr">
        <is>
          <t>62011CJ0231.md</t>
        </is>
      </c>
      <c r="C97" s="52" t="inlineStr">
        <is>
          <t>Court Decision</t>
        </is>
      </c>
      <c r="D97" s="52" t="inlineStr">
        <is>
          <t>EU</t>
        </is>
      </c>
      <c r="E97" s="52" t="inlineStr">
        <is>
          <t>63e4c1d6-f392-4996-9b6c-604d42048594</t>
        </is>
      </c>
      <c r="F97" s="52" t="n"/>
      <c r="G97" s="52" t="n"/>
      <c r="H97" s="52" t="inlineStr"/>
    </row>
    <row r="98" s="41">
      <c r="A98" s="52" t="n">
        <v>85</v>
      </c>
      <c r="B98" s="52" t="inlineStr">
        <is>
          <t>62019CJ0466.md</t>
        </is>
      </c>
      <c r="C98" s="52" t="inlineStr">
        <is>
          <t>Court Decision</t>
        </is>
      </c>
      <c r="D98" s="52" t="inlineStr">
        <is>
          <t>EU</t>
        </is>
      </c>
      <c r="E98" s="52" t="inlineStr">
        <is>
          <t>d689bd0f-f033-4a3f-b10f-6ff4843115fe</t>
        </is>
      </c>
      <c r="F98" s="52" t="n"/>
      <c r="G98" s="52" t="n"/>
      <c r="H98" s="52" t="inlineStr"/>
    </row>
    <row r="99" s="41">
      <c r="A99" s="52" t="n">
        <v>86</v>
      </c>
      <c r="B99" s="52" t="inlineStr">
        <is>
          <t>62022CJ0588.md</t>
        </is>
      </c>
      <c r="C99" s="52" t="inlineStr">
        <is>
          <t>Court Decision</t>
        </is>
      </c>
      <c r="D99" s="52" t="inlineStr">
        <is>
          <t>EU</t>
        </is>
      </c>
      <c r="E99" s="52" t="inlineStr">
        <is>
          <t>0979c7ef-861a-452d-8976-0e0c34984b26</t>
        </is>
      </c>
      <c r="F99" s="52" t="n"/>
      <c r="G99" s="52" t="n"/>
      <c r="H99" s="52" t="inlineStr"/>
    </row>
    <row r="100" s="41">
      <c r="A100" s="52" t="n">
        <v>87</v>
      </c>
      <c r="B100" s="52" t="inlineStr">
        <is>
          <t>62023CC0070.md</t>
        </is>
      </c>
      <c r="C100" s="52" t="inlineStr">
        <is>
          <t>Bulletin article</t>
        </is>
      </c>
      <c r="D100" s="52" t="inlineStr">
        <is>
          <t>EU</t>
        </is>
      </c>
      <c r="E100" s="52" t="inlineStr">
        <is>
          <t>2a493229-62c6-48e3-be4c-c06477e996fc</t>
        </is>
      </c>
      <c r="F100" s="52" t="n"/>
      <c r="G100" s="52" t="n"/>
      <c r="H100" s="52" t="inlineStr"/>
    </row>
    <row r="101" s="41">
      <c r="A101" s="52" t="n">
        <v>88</v>
      </c>
      <c r="B101" s="52" t="inlineStr">
        <is>
          <t>129745.md</t>
        </is>
      </c>
      <c r="C101" s="52" t="inlineStr">
        <is>
          <t>Bulletin article</t>
        </is>
      </c>
      <c r="D101" s="52" t="n"/>
      <c r="E101" s="52" t="inlineStr">
        <is>
          <t>d77ab0a2-b289-4ca9-981f-ff910bb4451b</t>
        </is>
      </c>
      <c r="F101" s="52" t="n"/>
      <c r="G101" s="52" t="n"/>
      <c r="H101" s="52" t="inlineStr"/>
    </row>
    <row r="102" s="41">
      <c r="A102" s="52" t="n">
        <v>89</v>
      </c>
      <c r="B102" s="52" t="inlineStr">
        <is>
          <t>123380-the-eu-court-of-justice-issues-2-judgments-defining-the-scope-of-the-commission.md</t>
        </is>
      </c>
      <c r="C102" s="52" t="inlineStr">
        <is>
          <t>Bulletin article</t>
        </is>
      </c>
      <c r="D102" s="52" t="n"/>
      <c r="E102" s="52" t="inlineStr">
        <is>
          <t>ae379537-4ebe-4c1e-a2a4-dd2a0f8af464</t>
        </is>
      </c>
      <c r="F102" s="52" t="n"/>
      <c r="G102" s="52" t="n"/>
      <c r="H102" s="52" t="inlineStr">
        <is>
          <t>Cited in answer: YES</t>
        </is>
      </c>
    </row>
    <row r="103" s="41">
      <c r="A103" s="52" t="n">
        <v>90</v>
      </c>
      <c r="B103" s="52" t="inlineStr">
        <is>
          <t>62019CC0883.md</t>
        </is>
      </c>
      <c r="C103" s="52" t="inlineStr">
        <is>
          <t>Court Decision</t>
        </is>
      </c>
      <c r="D103" s="52" t="inlineStr">
        <is>
          <t>EU</t>
        </is>
      </c>
      <c r="E103" s="52" t="inlineStr">
        <is>
          <t>d0b07834-6630-4196-a01e-66dbde751361</t>
        </is>
      </c>
      <c r="F103" s="52" t="n"/>
      <c r="G103" s="52" t="n"/>
      <c r="H103" s="52" t="inlineStr"/>
    </row>
    <row r="104" s="41">
      <c r="A104" s="52" t="n">
        <v>91</v>
      </c>
      <c r="B104" s="52" t="inlineStr">
        <is>
          <t>62014TJ0827.md</t>
        </is>
      </c>
      <c r="C104" s="52" t="inlineStr">
        <is>
          <t>Court Decision</t>
        </is>
      </c>
      <c r="D104" s="52" t="inlineStr">
        <is>
          <t>EU</t>
        </is>
      </c>
      <c r="E104" s="52" t="inlineStr">
        <is>
          <t>14ea7734-2bf8-475d-9a43-08b64218d89f</t>
        </is>
      </c>
      <c r="F104" s="52" t="n"/>
      <c r="G104" s="52" t="n"/>
      <c r="H104" s="52" t="inlineStr"/>
    </row>
    <row r="105" s="41">
      <c r="A105" s="52" t="n">
        <v>92</v>
      </c>
      <c r="B105" s="52" t="inlineStr">
        <is>
          <t>62015CJ0086.md</t>
        </is>
      </c>
      <c r="C105" s="52" t="inlineStr">
        <is>
          <t>Court Decision</t>
        </is>
      </c>
      <c r="D105" s="52" t="inlineStr">
        <is>
          <t>EU</t>
        </is>
      </c>
      <c r="E105" s="52" t="inlineStr">
        <is>
          <t>ff68b6da-b4b5-43cc-ac9a-d1c8ef082f67</t>
        </is>
      </c>
      <c r="F105" s="52" t="n"/>
      <c r="G105" s="52" t="n"/>
      <c r="H105" s="52" t="inlineStr"/>
    </row>
    <row r="106" s="41">
      <c r="A106" s="52" t="n">
        <v>93</v>
      </c>
      <c r="B106" s="52" t="inlineStr">
        <is>
          <t>62019CJ0152.md</t>
        </is>
      </c>
      <c r="C106" s="52" t="inlineStr">
        <is>
          <t>Court Decision</t>
        </is>
      </c>
      <c r="D106" s="52" t="inlineStr">
        <is>
          <t>EU</t>
        </is>
      </c>
      <c r="E106" s="52" t="inlineStr">
        <is>
          <t>c20ed621-696c-46d8-8f57-7668f6e1913e</t>
        </is>
      </c>
      <c r="F106" s="52" t="n"/>
      <c r="G106" s="52" t="n"/>
      <c r="H106" s="52" t="inlineStr"/>
    </row>
    <row r="107" s="41">
      <c r="A107" s="52" t="n">
        <v>94</v>
      </c>
      <c r="B107" s="52" t="inlineStr">
        <is>
          <t>62004TJ0340.md</t>
        </is>
      </c>
      <c r="C107" s="52" t="inlineStr">
        <is>
          <t>Court Decision</t>
        </is>
      </c>
      <c r="D107" s="52" t="inlineStr">
        <is>
          <t>EU</t>
        </is>
      </c>
      <c r="E107" s="52" t="inlineStr">
        <is>
          <t>d9fb7f73-952b-4b71-a502-6f63b7f95073</t>
        </is>
      </c>
      <c r="F107" s="52" t="n"/>
      <c r="G107" s="52" t="n"/>
      <c r="H107" s="52" t="inlineStr"/>
    </row>
    <row r="108" s="41">
      <c r="A108" s="52" t="n">
        <v>95</v>
      </c>
      <c r="B108" s="52" t="inlineStr">
        <is>
          <t>62023CJ0469.md</t>
        </is>
      </c>
      <c r="C108" s="52" t="inlineStr">
        <is>
          <t>Court Decision</t>
        </is>
      </c>
      <c r="D108" s="52" t="inlineStr">
        <is>
          <t>EU</t>
        </is>
      </c>
      <c r="E108" s="52" t="inlineStr">
        <is>
          <t>a84d24e9-3bea-4652-8dc3-644d6a4adcea</t>
        </is>
      </c>
      <c r="F108" s="52" t="n"/>
      <c r="G108" s="52" t="n"/>
      <c r="H108" s="52" t="inlineStr"/>
    </row>
    <row r="109" s="41">
      <c r="A109" s="52" t="n">
        <v>96</v>
      </c>
      <c r="B109" s="52" t="inlineStr">
        <is>
          <t>62022CC0710.md</t>
        </is>
      </c>
      <c r="C109" s="52" t="inlineStr">
        <is>
          <t>Bulletin article</t>
        </is>
      </c>
      <c r="D109" s="52" t="inlineStr">
        <is>
          <t>EU</t>
        </is>
      </c>
      <c r="E109" s="52" t="inlineStr">
        <is>
          <t>80298346-8dbb-46c6-a5bb-6cef92615f48</t>
        </is>
      </c>
      <c r="F109" s="52" t="n"/>
      <c r="G109" s="52" t="n"/>
      <c r="H109" s="52" t="inlineStr"/>
    </row>
    <row r="110" s="41">
      <c r="A110" s="52" t="n">
        <v>97</v>
      </c>
      <c r="B110" s="52" t="inlineStr">
        <is>
          <t>62013CC0037.md</t>
        </is>
      </c>
      <c r="C110" s="52" t="inlineStr">
        <is>
          <t>Bulletin article</t>
        </is>
      </c>
      <c r="D110" s="52" t="inlineStr">
        <is>
          <t>EU</t>
        </is>
      </c>
      <c r="E110" s="52" t="inlineStr">
        <is>
          <t>9d414372-2e27-469f-840e-aafabecf3cc1</t>
        </is>
      </c>
      <c r="F110" s="52" t="n"/>
      <c r="G110" s="52" t="n"/>
      <c r="H110" s="52" t="inlineStr"/>
    </row>
    <row r="111" s="41">
      <c r="A111" s="52" t="n">
        <v>98</v>
      </c>
      <c r="B111" s="52" t="inlineStr">
        <is>
          <t>62015CC0085.md</t>
        </is>
      </c>
      <c r="C111" s="52" t="inlineStr">
        <is>
          <t>Bulletin article</t>
        </is>
      </c>
      <c r="D111" s="52" t="inlineStr">
        <is>
          <t>EU</t>
        </is>
      </c>
      <c r="E111" s="52" t="inlineStr">
        <is>
          <t>d01b2aef-199b-46f5-9633-8ca066552dd9</t>
        </is>
      </c>
      <c r="F111" s="52" t="n"/>
      <c r="G111" s="52" t="n"/>
      <c r="H111" s="52" t="inlineStr"/>
    </row>
    <row r="112" s="41">
      <c r="A112" s="52" t="n">
        <v>99</v>
      </c>
      <c r="B112" s="52" t="inlineStr">
        <is>
          <t>62015CJ0411.md</t>
        </is>
      </c>
      <c r="C112" s="52" t="inlineStr">
        <is>
          <t>Court Decision</t>
        </is>
      </c>
      <c r="D112" s="52" t="inlineStr">
        <is>
          <t>EU</t>
        </is>
      </c>
      <c r="E112" s="52" t="inlineStr">
        <is>
          <t>7d74fd02-1bac-43da-8f99-b01e2b0fa4be</t>
        </is>
      </c>
      <c r="F112" s="52" t="n"/>
      <c r="G112" s="52" t="n"/>
      <c r="H112" s="52" t="inlineStr"/>
    </row>
    <row r="113" s="41">
      <c r="A113" s="52" t="n">
        <v>100</v>
      </c>
      <c r="B113" s="52" t="inlineStr">
        <is>
          <t>62009TJ0023.md</t>
        </is>
      </c>
      <c r="C113" s="52" t="inlineStr">
        <is>
          <t>Court Decision</t>
        </is>
      </c>
      <c r="D113" s="52" t="inlineStr">
        <is>
          <t>EU</t>
        </is>
      </c>
      <c r="E113" s="52" t="inlineStr">
        <is>
          <t>094ea41b-a505-436b-a0dd-4ba40b31dfdd</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Under Article 20(4) of Regulation 1/2003, an inspection decision must specify the subject matter and purpose of the inspection, and Article 28(1) of that Regulation provides that information collected in the course of an inspection may be used only for the purpose for which it was acquired.</t>
        </is>
      </c>
      <c r="C117" s="23" t="inlineStr">
        <is>
          <t>[2] 62013CC0583.md
[29] 62013CJ0583.md</t>
        </is>
      </c>
      <c r="D117" s="23" t="n"/>
      <c r="E117" s="23" t="inlineStr">
        <is>
          <t>[62013CC0583.md l.163-163] 2. Substance 56. From the outset, I should once again recall that, pursuant to Article 28 of Regulation No 1/2003, any document or information collected in the context of an inspection must, save for the exceptions provided for in that regulation, be used only for the purpose for which it was acquired.
[62013CJ0583.md l.8-8] 62013CJ0583 JUDGMENT OF THE COURT (Second Chamber) 18 June 2015 ( *1 ) ‛Appeals — Competition — Rail transport and ancillary services sector — Abuse of dominant position — Regulation (EC) No 1/2003 — Articles 20 and 28(1) — Administrative procedure — Decision ordering an inspection — Commission’s powers of inspection — Fundamental right to the inviolability of the home — No prior judicial authorisation — Effective judicial review — Fortuitous discovery’ In Case C‑583/13 P, APPEAL under Article 56 of the Statute of the Court of Justice of the European Union, brought on 15 November 2013, Deutsche Bahn AG , established in Berlin (Germany), DB Mobility Logistics AG , established in Berlin, DB Energie GmbH , established in Frankfurt am Main (Germany), DB Netz AG , established in Frankfurt am Ma</t>
        </is>
      </c>
      <c r="F117" s="23" t="n"/>
      <c r="G117" s="40" t="n"/>
      <c r="H117" s="40" t="n"/>
    </row>
    <row r="118" ht="15.75" customHeight="1" s="41">
      <c r="A118" s="23" t="n">
        <v>2</v>
      </c>
      <c r="B118" s="23" t="inlineStr">
        <is>
          <t>As a matter of principle, any use by the Commission of information falling outside the scope of the inspection decision is barred, because such use would seriously endanger the rights of defence that Article 20(4) is intended to safeguard.</t>
        </is>
      </c>
      <c r="C118" s="23" t="inlineStr">
        <is>
          <t>[2] 62013CC0583.md
[29] 62013CJ0583.md</t>
        </is>
      </c>
      <c r="D118" s="23" t="n"/>
      <c r="E118" s="23" t="inlineStr">
        <is>
          <t>[62013CC0583.md l.255-255] ( 42 ) 92. On the other hand, any use of information which falls outside the scope of the inspection decision is, in principle, barred.
[62013CJ0583.md l.8-8] 62013CJ0583 JUDGMENT OF THE COURT (Second Chamber) 18 June 2015 ( *1 ) ‛Appeals — Competition — Rail transport and ancillary services sector — Abuse of dominant position — Regulation (EC) No 1/2003 — Articles 20 and 28(1) — Administrative procedure — Decision ordering an inspection — Commission’s powers of inspection — Fundamental right to the inviolability of the home — No prior judicial authorisation — Effective judicial review — Fortuitous discovery’ In Case C‑583/13 P, APPEAL under Article 56 of the Statute of the Court of Justice of the European Union, brought on 15 November 2013, Deutsche Bahn AG , established in Berlin (Germany), DB Mobility Logistics AG , established in Berlin, DB Energie GmbH , established in Frankfurt am Main (Germany), DB Netz AG , established in Frankfurt am Ma</t>
        </is>
      </c>
      <c r="F118" s="23" t="n"/>
      <c r="G118" s="40" t="n"/>
      <c r="H118" s="40" t="n"/>
    </row>
    <row r="119" ht="15.75" customHeight="1" s="41">
      <c r="A119" s="23" t="n">
        <v>3</v>
      </c>
      <c r="B119" s="23" t="inlineStr">
        <is>
          <t>The Dow Benelux line of case law permits the Commission to use documents or information found during an inspection but falling outside its stated subject matter to open a new investigation, provided the material indicates the existence of conduct contrary to the competition rules.</t>
        </is>
      </c>
      <c r="C119" s="23" t="inlineStr">
        <is>
          <t>[29] 62013CJ0583.md
[3] competition-case-law-digest-5th--p10.md
[27] 79963.md
[89] 123380-the-eu-court-of-justice-issues-2-judgments-defining-the-scope-of-the-commission.md
[2] 62013CC0583.md</t>
        </is>
      </c>
      <c r="D119" s="23" t="n"/>
      <c r="E119" s="23" t="inlineStr">
        <is>
          <t>[62013CJ0583.md l.8-8] 62013CJ0583 JUDGMENT OF THE COURT (Second Chamber) 18 June 2015 ( *1 ) ‛Appeals — Competition — Rail transport and ancillary services sector — Abuse of dominant position — Regulation (EC) No 1/2003 — Articles 20 and 28(1) — Administrative procedure — Decision ordering an inspection — Commission’s powers of inspection — Fundamental right to the inviolability of the home — No prior judicial authorisation — Effective judicial review — Fortuitous discovery’ In Case C‑583/13 P, APPEAL under Article 56 of the Statute of the Court of Justice of the European Union, brought on 15 November 2013, Deutsche Bahn AG , established in Berlin (Germany), DB Mobility Logistics AG , established in Berlin, DB Energie GmbH , established in Frankfurt am Main (Germany), DB Netz AG , established in Frankfurt am Ma
[competition-case-law-digest-5th--p10.md l.1083-1091] Considering the case law of the CJEU since Dow Benelux was decided in 1989, it is 
evident that “it cannot be concluded that the Commission is barred from initiating an 
inquiry in order to verify or supplement information which it happened to obtain during 
a previous investigation”.125 This jurisprudence was further developed in Deutsche Bahn,126 
where the court held that, in order to fulfil its main task to efficiently enforce competition 
law, the Commission must not be hindered from using evidence it has uncovered by 
happenstance. As the court explained, the Commission “cannot be required to turn a 
blind eye in the event that it should find, purely by coincidence, documentary evidence 
that appears to point to another possible infringement of the EU competition rules”.127 
[79963.md l.168-168] With regard to the right of effective judicial protection as exemplified in Delta Pekárny, the Court of Justice portrays the Article 20 inspection regime of Regulation 1/2003 – the basis for dawn raids by the Commission – as being perfectly compatible with the requirements imposed by that right. An example</t>
        </is>
      </c>
      <c r="F119" s="23" t="n"/>
      <c r="G119" s="40" t="n"/>
      <c r="H119" s="40" t="n"/>
    </row>
    <row r="120" ht="15.75" customHeight="1" s="41">
      <c r="A120" s="23" t="n">
        <v>4</v>
      </c>
      <c r="B120" s="23" t="inlineStr">
        <is>
          <t>This "fortuitous discovery" exception rests on the idea that the Commission cannot be required to turn a blind eye where it finds, purely by coincidence, documentary evidence pointing to another possible infringement of the competition rules, just as a tax authority conducting an inspection for suspected tax evasion need not disregard evidence of money laundering that it stumbles upon.</t>
        </is>
      </c>
      <c r="C120" s="23" t="inlineStr">
        <is>
          <t>[2] 62013CC0583.md</t>
        </is>
      </c>
      <c r="D120" s="23" t="n"/>
      <c r="E120" s="23" t="inlineStr">
        <is>
          <t>[62013CC0583.md l.187-191] 65. On the other hand, the ratio decidendi of the Dow Benelux case-law is, to my mind, that the Commission cannot be required to turn a blind eye in the event that it should find, purely by coincidence, documentary evidence which appears to point to another possible infringement of the EU competition rules.
Indeed, if the Commission does not turn a blind eye, it is not abusing or circumventing any procedural rule.
For example, such a situation can be compared, mutatis mutandis , to that of an enforcement authority which, while making an on-the-spot inspection because of a suspected tax evasion, finds information which suggests a possible case of money laundering.
There is no valid reason why that authority should disregard information genuinely found by accident.
The same holds true for th</t>
        </is>
      </c>
      <c r="F120" s="23" t="n"/>
      <c r="G120" s="40" t="n"/>
      <c r="H120" s="40" t="n"/>
    </row>
    <row r="121" ht="15.75" customHeight="1" s="41">
      <c r="A121" s="23" t="n">
        <v>5</v>
      </c>
      <c r="B121" s="23" t="inlineStr">
        <is>
          <t>The exception is limited to discoveries that are truly fortuitous, meaning information found while conducting, in good faith, a search for information relating to the subject matter of the inspection; it cannot apply where the discovery is the fruit of an illegal or targeted search that falls outside the scope delimited by the inspection decision.</t>
        </is>
      </c>
      <c r="C121" s="23" t="inlineStr">
        <is>
          <t>[2] 62013CC0583.md</t>
        </is>
      </c>
      <c r="D121" s="23" t="n"/>
      <c r="E121" s="23" t="inlineStr">
        <is>
          <t>[62013CC0583.md l.271-274] As was explained above, the Dow Benelux exception applies only to discoveries which are truly fortuitous: that is to say, information found while conducting a search, in good faith, for information which relates to the subject-matter of the inspection.
Contrariwise, that exception cannot apply to cases in which discoveries of documents are the fruit of an illegal search.
In the case under consideration, as has already been explained above, the first inspection constituted an illegal search to the extent that the Commission staff was expressly or implicitly solicited to look out for documents falling outside the scope of the inspection as delimited in the first inspection decision.
The first inspection was, in other words, unlawful to the extent that it concerned a search for the DUSS docum</t>
        </is>
      </c>
      <c r="F121" s="23" t="n"/>
      <c r="G121" s="40" t="n"/>
      <c r="H121" s="40" t="n"/>
    </row>
    <row r="122" ht="15.75" customHeight="1" s="41">
      <c r="A122" s="23" t="n">
        <v>6</v>
      </c>
      <c r="B122" s="23" t="inlineStr">
        <is>
          <t>Consistent with that limit, where Commission staff have been briefed, before or during an inspection, on a second, unrelated suspected infringement so that they could "keep their eyes peeled" for evidence of it, the resulting find is not genuinely fortuitous, and using an inspection in that way circumvents Article 20(4) of Regulation 1/2003.</t>
        </is>
      </c>
      <c r="C122" s="23" t="inlineStr">
        <is>
          <t>[2] 62013CC0583.md</t>
        </is>
      </c>
      <c r="D122" s="23" t="n"/>
      <c r="E122" s="23" t="inlineStr">
        <is>
          <t>[62013CC0583.md l.220-224] 77. Given the evident lack of any clear relationship between the two suspected infringements, and the acknowledgment by the Commission that the information given to its staff regarding the second suspected infringement was not truly useful for the search for information on the first one, the inevitable conclusion, it seems to me, is that there must have been another reason behind the briefing of the Commission staff.
The only plausible explanation, to my mind, is that information on the DUSS suspected infringement was given to the Commission staff so that they could ‘keep their eyes peeled’ for evidence related to the second complaint.
78. Indeed, it is by no means certain that the Commission staff — without that prior information — would have been able to understand the meaning of the DUS
[62013CC0583.md l.230-232] 82. This is clearly not the type of conduct which the Court meant to allow under its Dow Benelux case-law.
There is, in my view, no difference between a case in which the Commission launches an inspection without a valid decision and one in which the Commission proceeds on the basis of a valid decision, but searches for information relating to another investigation, not covered by that decision.
83. In conclusion, the circumvention of the provisions laid down in Article 20(4) of Regulation No 1/2003 did not give rise only to a breach of the appellants’ rights of defence but also, more importantly, to a manifest breach of the right to the inviolability of private premises.</t>
        </is>
      </c>
      <c r="F122" s="23" t="n"/>
      <c r="G122" s="40" t="n"/>
      <c r="H122" s="40" t="n"/>
    </row>
    <row r="123" ht="15.75" customHeight="1" s="41">
      <c r="A123" s="23" t="n">
        <v>9</v>
      </c>
      <c r="B123" s="23" t="inlineStr">
        <is>
          <t>On the allocation of the burden of proof, because the Commission generally has no interest in collecting information extraneous to the investigation at hand, a brief explanation of how the extraneous information was found will normally suffice to establish a prima facie case of fortuitous discovery, shifting the onus onto the undertaking to prove the documents were in fact targeted from the outset; however, once there are factual indications to the contrary, it falls to the Commission to demonstrate that the conditions of the Dow Benelux exception are satisfied.</t>
        </is>
      </c>
      <c r="C123" s="23" t="inlineStr">
        <is>
          <t>[2] 62013CC0583.md</t>
        </is>
      </c>
      <c r="D123" s="23" t="n"/>
      <c r="E123" s="23" t="inlineStr">
        <is>
          <t>[62013CC0583.md l.258-262] ( 43 ) 94. In normal circumstances, unless there are factors which indicate the opposite, the evidentiary burden upon the Commission is very easily discharged.
Indeed, there is generally no reason why the Commission should be interested in reviewing and collecting information that is extraneous to the ongoing investigation.
It can thus be considered that, usually, a brief explanation as to how the extraneous information was found should suffice to make a prima facie case that the Commission did not err in law during its search.
It would then fall on the undertaking concerned to convince the EU Courts that the documents in question were actually targeted from the very beginning.
In other words, I am of the view that, save where there is factual evidence to the contrary, the Court can assume
[62013CC0583.md l.268-268] 96. In those circumstances, I agree with the appellants that, in principle, it was for the Commission, which invoked the Dow Benelux exception, to show that the conditions for the application of that exception were fulfilled.</t>
        </is>
      </c>
      <c r="F123" s="23" t="n"/>
      <c r="G123" s="40" t="n"/>
      <c r="H123" s="40" t="n"/>
    </row>
    <row r="124" ht="15.75" customHeight="1" s="41">
      <c r="A124" s="23" t="n">
        <v>10</v>
      </c>
      <c r="B124" s="23" t="inlineStr">
        <is>
          <t>A chance discovery may justify opening a wholly new investigation, but if the Commission intends to pursue two separate lines of conduct uncovered in the course of a single inspection, it must do so openly, by adopting a further inspection decision that follows the procedures and safeguards of Regulation 1/2003, rather than covertly directing its officials to search for the second matter under cover of the first inspection decision.</t>
        </is>
      </c>
      <c r="C124" s="23" t="inlineStr">
        <is>
          <t>[2] 62013CC0583.md</t>
        </is>
      </c>
      <c r="D124" s="23" t="n"/>
      <c r="E124" s="23" t="inlineStr">
        <is>
          <t>[62013CC0583.md l.225-227] 80. In this context, it is almost unnecessary to point out that when, as in the case under consideration, the Commission has been informed of another, different and distinct, alleged infringement of the competition rules by some companies which are already under investigation, it is free to investigate both lines of conduct at the same time.
In particular, there is nothing to prevent the Commission, if the relevant conditions are met, from adopting two inspection decisions addressed to the same company, each in the framework of a different investigation, to be carried out at the same time.
Yet, if it intends to do this, the Commission should do so openly, following the procedures laid down in Regulation No 1/2003, so that all the safeguards and guarantees provided for the benefit of the un</t>
        </is>
      </c>
      <c r="F124" s="23" t="n"/>
      <c r="G124" s="40" t="n"/>
      <c r="H124" s="40" t="n"/>
    </row>
    <row r="125" ht="15.75" customHeight="1" s="41">
      <c r="A125" s="23" t="n">
        <v>11</v>
      </c>
      <c r="B125" s="23" t="inlineStr">
        <is>
          <t>Separately from the fortuitous-discovery doctrine governing incidental findings of a different infringement, the General Court has held that the very scope of an inspection decision must be confined to the sectors or activities for which the Commission holds sufficiently serious evidence, so that extending an inspection to cover all of an undertaking's activities in a broader sector on the strength of narrower leniency evidence amounts to an unlawful practice of "incidental investigation" warranting partial annulment of the decision, as occurred with the Nexans and Prysmian inspection decisions in the power cables cartel.</t>
        </is>
      </c>
      <c r="C125" s="23" t="inlineStr">
        <is>
          <t>[11] 57935-361-decisions-adopted-during-an-inspection-the-general-court-reminds-the-commiss.md</t>
        </is>
      </c>
      <c r="D125" s="23" t="n"/>
      <c r="E125" s="23" t="inlineStr">
        <is>
          <t>[57935-361-decisions-adopted-during-an-inspection-the-general-court-reminds-the-commiss.md l.50-50] On November 14, 2012, the General Court of the European Union issued a stern warning to the Commission regarding its inspection practice, reminding it of the prohibition on the practice of incidental investigations. In two judgments handed down respectively in cases T-135/09 (Nexans France SAS and others v. European Commission) and T-140/09 (Prysmian SpA and others v. European Commission), the General Court annulled the two decisions ordering the companies suspected of having taken part in a cartel in the power cables sector, insofar as they concerned power cables other than high-voltage submarine and underground power cables and the equipment associated with these other cables. In essence, the Court of First Instance criticized the Commission for having carried out inspections at the prem
[57935-361-decisions-adopted-during-an-inspection-the-general-court-reminds-the-commiss.md l.58-58]  Thus, when the Commission carries out an inspection on the premises of an undertaking pursuant to Article 20(4) of Regulation no. 1/2003, it is obliged to limit its enquiries to the activities of that undertaking relating to the sectors, not indicated in the decision ordering the inspection, as the Court of First Instance wrongly observes in § 64 of this judgment,  but to the activities of that undertaking in respect of which it has evidence of an infringement of the competition rules, so that once it has established, after examination, that a document or information does not fall within the scope of the latter activities, it is bound to refrain from using it for the purposes of its investigation. Indeed, if the Commission were not subject to this limitation, firstly, it would in practice
[57935-361-decisions-adopted-during-an-inspection-the-general-court-reminds-the-commiss.md l.60-60]  In the final analysis, it would appear, particularly in the light of the leniency applicant's s</t>
        </is>
      </c>
      <c r="F125" s="23" t="n"/>
      <c r="G125" s="40" t="n"/>
      <c r="H125" s="40" t="n"/>
    </row>
    <row r="126" ht="15.75" customHeight="1" s="41">
      <c r="A126" s="40" t="n"/>
      <c r="B126" s="40" t="n"/>
      <c r="C126" s="40" t="n"/>
      <c r="D126" s="40" t="n"/>
      <c r="E126" s="40" t="n"/>
      <c r="F126" s="40" t="n"/>
      <c r="G126" s="40" t="n"/>
      <c r="H126" s="40" t="n"/>
    </row>
    <row r="127" ht="15.75" customHeight="1" s="41">
      <c r="A127" s="44" t="inlineStr">
        <is>
          <t>Final expert verdict</t>
        </is>
      </c>
    </row>
    <row r="128" ht="15.75" customHeight="1" s="41">
      <c r="A128" s="28" t="inlineStr">
        <is>
          <t>Reviewer</t>
        </is>
      </c>
      <c r="B128" s="23" t="n"/>
      <c r="C128" s="28" t="n"/>
      <c r="D128" s="29" t="n"/>
      <c r="E128" s="23" t="n"/>
      <c r="F128" s="23" t="n"/>
      <c r="G128" s="23" t="n"/>
      <c r="H128" s="23" t="n"/>
    </row>
    <row r="129" ht="15.75" customHeight="1" s="41">
      <c r="A129" s="28" t="inlineStr">
        <is>
          <t>Is the answer acceptable?</t>
        </is>
      </c>
      <c r="B129" s="30" t="n"/>
      <c r="C129" s="28" t="n"/>
      <c r="D129" s="29" t="n"/>
      <c r="E129" s="23" t="n"/>
      <c r="F129" s="23" t="n"/>
      <c r="G129" s="23" t="n"/>
      <c r="H129" s="23" t="n"/>
    </row>
    <row r="130" ht="15.75" customHeight="1" s="41">
      <c r="A130" s="28" t="inlineStr">
        <is>
          <t>Overall comment / required fixes</t>
        </is>
      </c>
      <c r="B130" s="23" t="n"/>
      <c r="C130" s="45" t="n"/>
      <c r="D130" s="45" t="n"/>
      <c r="E130" s="45" t="n"/>
      <c r="F130" s="45" t="n"/>
      <c r="G130" s="45" t="n"/>
      <c r="H130" s="46" t="n"/>
    </row>
    <row r="131" ht="15.75" customHeight="1" s="41">
      <c r="A131" s="28" t="inlineStr">
        <is>
          <t>Review completed?</t>
        </is>
      </c>
      <c r="B131" s="30" t="n"/>
      <c r="C131" s="28" t="n"/>
      <c r="D131" s="29" t="n"/>
      <c r="E131" s="23" t="n"/>
      <c r="F131" s="23" t="n"/>
      <c r="G131" s="23" t="n"/>
      <c r="H131" s="23" t="n"/>
    </row>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c r="A160" s="44" t="inlineStr">
        <is>
          <t>Original source notes</t>
        </is>
      </c>
      <c r="I160" s="40" t="n"/>
      <c r="J160" s="40" t="n"/>
    </row>
    <row r="161" ht="15.75" customHeight="1" s="41">
      <c r="A161" s="28" t="inlineStr">
        <is>
          <t>WAB notes</t>
        </is>
      </c>
      <c r="B161" s="23" t="n"/>
      <c r="C161" s="45" t="n"/>
      <c r="D161" s="45" t="n"/>
      <c r="E161" s="45" t="n"/>
      <c r="F161" s="45" t="n"/>
      <c r="G161" s="45" t="n"/>
      <c r="H161" s="46" t="n"/>
      <c r="I161" s="40" t="n"/>
      <c r="J161" s="40" t="n"/>
    </row>
    <row r="162" ht="15.75" customHeight="1" s="41">
      <c r="A162" s="28" t="inlineStr">
        <is>
          <t>Reviewer notes from question approval</t>
        </is>
      </c>
      <c r="B162" s="23" t="inlineStr">
        <is>
          <t>I like the substance of the question but let's frame it like this "May the Commission use evidence of an infringement falling outside the subject matter of the inspection decision? What are the limits imposed by the relevant case law on the use of such incidental findings, and on what conditions may a chance discovery justify a new inspection?"</t>
        </is>
      </c>
      <c r="C162" s="47" t="n"/>
      <c r="D162" s="47" t="n"/>
      <c r="E162" s="47" t="n"/>
      <c r="F162" s="47" t="n"/>
      <c r="G162" s="47" t="n"/>
      <c r="H162" s="48" t="n"/>
      <c r="I162" s="40" t="n"/>
      <c r="J162" s="40" t="n"/>
    </row>
    <row r="163" ht="15.75" customHeight="1" s="41">
      <c r="A163" s="23" t="n"/>
      <c r="B163" s="49" t="n"/>
      <c r="C163" s="50" t="n"/>
      <c r="D163" s="50" t="n"/>
      <c r="E163" s="50" t="n"/>
      <c r="F163" s="50" t="n"/>
      <c r="G163" s="50" t="n"/>
      <c r="H163" s="51" t="n"/>
      <c r="I163" s="40" t="n"/>
      <c r="J163" s="40" t="n"/>
    </row>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Q42 — Expert Review</t>
        </is>
      </c>
    </row>
    <row r="2" hidden="1" s="41">
      <c r="A2" s="44" t="inlineStr">
        <is>
          <t>Question metadata</t>
        </is>
      </c>
    </row>
    <row r="3" hidden="1" s="41">
      <c r="A3" s="13" t="inlineStr">
        <is>
          <t>Question ID</t>
        </is>
      </c>
      <c r="B3" s="39" t="n">
        <v>42</v>
      </c>
    </row>
    <row r="4" hidden="1" s="41">
      <c r="A4" s="13" t="inlineStr">
        <is>
          <t>Topic</t>
        </is>
      </c>
      <c r="B4" s="40" t="inlineStr">
        <is>
          <t>Dawn raids — evidence found by accident</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Can the Commission inspect a company over conduct a national authority has already investigated? What limits apply, and how have the courts treated the overlap?</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agreed, let's keep the question.</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Q43 — Expert Review</t>
        </is>
      </c>
    </row>
    <row r="2" hidden="1" s="41">
      <c r="A2" s="44" t="inlineStr">
        <is>
          <t>Question metadata</t>
        </is>
      </c>
    </row>
    <row r="3" hidden="1" s="41">
      <c r="A3" s="13" t="inlineStr">
        <is>
          <t>Question ID</t>
        </is>
      </c>
      <c r="B3" s="39" t="n">
        <v>43</v>
      </c>
    </row>
    <row r="4" hidden="1" s="41">
      <c r="A4" s="13" t="inlineStr">
        <is>
          <t>Topic</t>
        </is>
      </c>
      <c r="B4" s="40" t="inlineStr">
        <is>
          <t>Dawn raids — premises and the courts</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Article 21 of Regulation 1/2003 covers inspections of homes and other non-business premises, where prior authorisation by a national court is always required. We have folded that into this question — tell us if it deserves its own.</t>
        </is>
      </c>
      <c r="C70" s="45" t="n"/>
      <c r="D70" s="45" t="n"/>
      <c r="E70" s="45" t="n"/>
      <c r="F70" s="45" t="n"/>
      <c r="G70" s="45" t="n"/>
      <c r="H70" s="46" t="n"/>
      <c r="I70" s="40" t="n"/>
      <c r="J70" s="40" t="n"/>
    </row>
    <row r="71" ht="54" customHeight="1" s="41">
      <c r="A71" s="28" t="inlineStr">
        <is>
          <t>Reviewer notes from question approval</t>
        </is>
      </c>
      <c r="B71" s="23" t="inlineStr">
        <is>
          <t>agreed on the substance but let's frame it this way "How is the inviolability of business premises reconciled with the Commission's inspection powers under Article 20 of Regulation 1/2003 — in particular, when is prior judicial authorisation required, and what may the national court asked to authorise coercive assistance review under Article 20(8)?"</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Q44 — Expert Review</t>
        </is>
      </c>
    </row>
    <row r="2" hidden="1" s="41">
      <c r="A2" s="44" t="inlineStr">
        <is>
          <t>Question metadata</t>
        </is>
      </c>
    </row>
    <row r="3" hidden="1" s="41">
      <c r="A3" s="13" t="inlineStr">
        <is>
          <t>Question ID</t>
        </is>
      </c>
      <c r="B3" s="39" t="n">
        <v>44</v>
      </c>
    </row>
    <row r="4" hidden="1" s="41">
      <c r="A4" s="13" t="inlineStr">
        <is>
          <t>Topic</t>
        </is>
      </c>
      <c r="B4" s="40" t="inlineStr">
        <is>
          <t>Dawn raids — premises and the courts</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n"/>
      <c r="C70" s="45" t="n"/>
      <c r="D70" s="45" t="n"/>
      <c r="E70" s="45" t="n"/>
      <c r="F70" s="45" t="n"/>
      <c r="G70" s="45" t="n"/>
      <c r="H70" s="46" t="n"/>
      <c r="I70" s="40" t="n"/>
      <c r="J70" s="40" t="n"/>
    </row>
    <row r="71" ht="54" customHeight="1" s="41">
      <c r="A71" s="28" t="inlineStr">
        <is>
          <t>Reviewer notes from question approval</t>
        </is>
      </c>
      <c r="B71" s="23" t="inlineStr">
        <is>
          <t>agreed on substance but let's frame it like this: "In light of the recent case law of the Court of Justice, may a national competition authority seize an undertaking's business emails without prior judicial authorisation, and does full ex post review adequately protect the right to respect for communications under Article 7 of the Charter?"</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Q45 — Expert Review</t>
        </is>
      </c>
    </row>
    <row r="2" hidden="1" s="41">
      <c r="A2" s="44" t="inlineStr">
        <is>
          <t>Question metadata</t>
        </is>
      </c>
    </row>
    <row r="3" hidden="1" s="41">
      <c r="A3" s="13" t="inlineStr">
        <is>
          <t>Question ID</t>
        </is>
      </c>
      <c r="B3" s="39" t="n">
        <v>45</v>
      </c>
    </row>
    <row r="4" hidden="1" s="41">
      <c r="A4" s="13" t="inlineStr">
        <is>
          <t>Topic</t>
        </is>
      </c>
      <c r="B4" s="40" t="inlineStr">
        <is>
          <t>Dawn raids — premises and the courts</t>
        </is>
      </c>
    </row>
    <row r="5" hidden="1" s="41">
      <c r="A5" s="13" t="inlineStr">
        <is>
          <t>Scope</t>
        </is>
      </c>
      <c r="B5" s="40" t="inlineStr">
        <is>
          <t>France</t>
        </is>
      </c>
    </row>
    <row r="6" hidden="1" s="41">
      <c r="A6" s="13" t="inlineStr">
        <is>
          <t>Original reviewer</t>
        </is>
      </c>
      <c r="B6" s="40" t="inlineStr">
        <is>
          <t>Jeanne</t>
        </is>
      </c>
    </row>
    <row r="7" hidden="1" s="41">
      <c r="A7" s="13" t="inlineStr">
        <is>
          <t>Original status</t>
        </is>
      </c>
      <c r="B7" s="40" t="inlineStr">
        <is>
          <t>Approved</t>
        </is>
      </c>
    </row>
    <row r="8">
      <c r="A8" s="13" t="inlineStr">
        <is>
          <t>Question</t>
        </is>
      </c>
      <c r="B8" s="40" t="inlineStr">
        <is>
          <t>When must a French dawn raid be authorised in advance by the juge des libertés et de la détention , and what does that judge control  before, during, and after the operation?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Possible overlap with question 33.</t>
        </is>
      </c>
      <c r="C70" s="45" t="n"/>
      <c r="D70" s="45" t="n"/>
      <c r="E70" s="45" t="n"/>
      <c r="F70" s="45" t="n"/>
      <c r="G70" s="45" t="n"/>
      <c r="H70" s="46" t="n"/>
      <c r="I70" s="40" t="n"/>
      <c r="J70" s="40" t="n"/>
    </row>
    <row r="71" ht="54" customHeight="1" s="41">
      <c r="A71" s="28" t="inlineStr">
        <is>
          <t>Reviewer notes from question approval</t>
        </is>
      </c>
      <c r="B71" s="23" t="inlineStr">
        <is>
          <t xml:space="preserve">no overlap with question 33, we can keep the question. </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Q46 — Expert Review</t>
        </is>
      </c>
    </row>
    <row r="2" hidden="1" s="41">
      <c r="A2" s="44" t="inlineStr">
        <is>
          <t>Question metadata</t>
        </is>
      </c>
    </row>
    <row r="3" hidden="1" s="41">
      <c r="A3" s="13" t="inlineStr">
        <is>
          <t>Question ID</t>
        </is>
      </c>
      <c r="B3" s="39" t="n">
        <v>46</v>
      </c>
    </row>
    <row r="4" hidden="1" s="41">
      <c r="A4" s="13" t="inlineStr">
        <is>
          <t>Topic</t>
        </is>
      </c>
      <c r="B4" s="40" t="inlineStr">
        <is>
          <t>Dawn raids — premises and the courts</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What must the Department of Justice establish to obtain and execute a search warrant in a criminal antitrust investigation, and what limits apply to the search? How do criminal search warrants differ from grand-jury subpoenas in criminal investigations and from subpoenas or Civil Investigative Demands (CIDs) used in civil antitrust investigations?</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51.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Q47 — Expert Review</t>
        </is>
      </c>
    </row>
    <row r="2" hidden="1" s="41">
      <c r="A2" s="44" t="inlineStr">
        <is>
          <t>Question metadata</t>
        </is>
      </c>
    </row>
    <row r="3" hidden="1" s="41">
      <c r="A3" s="13" t="inlineStr">
        <is>
          <t>Question ID</t>
        </is>
      </c>
      <c r="B3" s="39" t="n">
        <v>47</v>
      </c>
    </row>
    <row r="4" hidden="1" s="41">
      <c r="A4" s="13" t="inlineStr">
        <is>
          <t>Topic</t>
        </is>
      </c>
      <c r="B4" s="40" t="inlineStr">
        <is>
          <t>Dawn raids — personal data</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To what extent may the Commission inspect private correspondence, personal devices and employees’ personal data during a dawn raid, and does the sealed-envelope procedure extend beyond legally privileged material?</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Wider version of question 16, added following Carolina’s request to keep both.</t>
        </is>
      </c>
      <c r="C70" s="45" t="n"/>
      <c r="D70" s="45" t="n"/>
      <c r="E70" s="45" t="n"/>
      <c r="F70" s="45" t="n"/>
      <c r="G70" s="45" t="n"/>
      <c r="H70" s="46" t="n"/>
      <c r="I70" s="40" t="n"/>
      <c r="J70" s="40" t="n"/>
    </row>
    <row r="71" ht="54" customHeight="1" s="41">
      <c r="A71" s="28" t="inlineStr">
        <is>
          <t>Reviewer notes from question approval</t>
        </is>
      </c>
      <c r="B71" s="23" t="inlineStr">
        <is>
          <t>agreed.</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Q48 — Expert Review</t>
        </is>
      </c>
    </row>
    <row r="2" hidden="1" s="41">
      <c r="A2" s="44" t="inlineStr">
        <is>
          <t>Question metadata</t>
        </is>
      </c>
    </row>
    <row r="3" hidden="1" s="41">
      <c r="A3" s="13" t="inlineStr">
        <is>
          <t>Question ID</t>
        </is>
      </c>
      <c r="B3" s="39" t="n">
        <v>48</v>
      </c>
    </row>
    <row r="4" hidden="1" s="41">
      <c r="A4" s="13" t="inlineStr">
        <is>
          <t>Topic</t>
        </is>
      </c>
      <c r="B4" s="40" t="inlineStr">
        <is>
          <t>Dawn raids — legal professional privilege</t>
        </is>
      </c>
    </row>
    <row r="5" hidden="1" s="41">
      <c r="A5" s="13" t="inlineStr">
        <is>
          <t>Scope</t>
        </is>
      </c>
      <c r="B5" s="40" t="inlineStr">
        <is>
          <t>France</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Under French law, to what extent are communications between a company and its lawyers protected during a competition dawn raid, how can the company challenge the seizure of allegedly privileged material, and what remedies are available if privileged documents have been seized (including return, destruction, or exclusion from the investigation)?</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Wider French version added following Carolina’s request to keep both. It complements question 12.</t>
        </is>
      </c>
      <c r="C70" s="45" t="n"/>
      <c r="D70" s="45" t="n"/>
      <c r="E70" s="45" t="n"/>
      <c r="F70" s="45" t="n"/>
      <c r="G70" s="45" t="n"/>
      <c r="H70" s="46" t="n"/>
      <c r="I70" s="40" t="n"/>
      <c r="J70" s="40" t="n"/>
    </row>
    <row r="71" ht="54" customHeight="1" s="41">
      <c r="A71" s="28" t="inlineStr">
        <is>
          <t>Reviewer notes from question approval</t>
        </is>
      </c>
      <c r="B71" s="23" t="inlineStr">
        <is>
          <t>agreed.</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53.xml><?xml version="1.0" encoding="utf-8"?>
<worksheet xmlns="http://schemas.openxmlformats.org/spreadsheetml/2006/main">
  <sheetPr>
    <outlinePr summaryBelow="1" summaryRight="1"/>
    <pageSetUpPr/>
  </sheetPr>
  <dimension ref="A1:J163"/>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Q49 — Expert Review</t>
        </is>
      </c>
    </row>
    <row r="2" hidden="1" s="41">
      <c r="A2" s="44" t="inlineStr">
        <is>
          <t>Question metadata</t>
        </is>
      </c>
    </row>
    <row r="3" hidden="1" s="41">
      <c r="A3" s="13" t="inlineStr">
        <is>
          <t>Question ID</t>
        </is>
      </c>
      <c r="B3" s="39" t="n">
        <v>49</v>
      </c>
    </row>
    <row r="4" hidden="1" s="41">
      <c r="A4" s="13" t="inlineStr">
        <is>
          <t>Topic</t>
        </is>
      </c>
      <c r="B4" s="40" t="inlineStr">
        <is>
          <t>Dawn raids — grounds for an inspection</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What evidentiary threshold must the European Commission meet to justify a dawn raid, including the requirement for “sufficiently serious indicia”?</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inlineStr">
        <is>
          <t>62011TJ0289.md</t>
        </is>
      </c>
      <c r="C14" s="23" t="inlineStr">
        <is>
          <t>Court Decision</t>
        </is>
      </c>
      <c r="D14" s="23" t="inlineStr">
        <is>
          <t>EU</t>
        </is>
      </c>
      <c r="E14" s="23" t="inlineStr">
        <is>
          <t>7ecb1eda-828c-4ed1-831c-9ba3cd309425</t>
        </is>
      </c>
      <c r="F14" s="23" t="n"/>
      <c r="G14" s="23" t="n"/>
      <c r="H14" s="23" t="inlineStr"/>
    </row>
    <row r="15">
      <c r="A15" s="23" t="n">
        <v>2</v>
      </c>
      <c r="B15" s="23" t="inlineStr">
        <is>
          <t>inspections-eu-law-2nd--3_chapter_1_-_inspections_upon_decision_regulation_1_2003_article_20_4.md</t>
        </is>
      </c>
      <c r="C15" s="23" t="inlineStr">
        <is>
          <t>Book (Livre)</t>
        </is>
      </c>
      <c r="D15" s="23" t="n"/>
      <c r="E15" s="23" t="inlineStr">
        <is>
          <t>d28b1d20-a2c6-425f-a401-498eab28d744</t>
        </is>
      </c>
      <c r="F15" s="23" t="n"/>
      <c r="G15" s="23" t="n"/>
      <c r="H15" s="23" t="inlineStr">
        <is>
          <t>Cited in answer: YES</t>
        </is>
      </c>
    </row>
    <row r="16">
      <c r="A16" s="23" t="n">
        <v>3</v>
      </c>
      <c r="B16" s="23" t="inlineStr">
        <is>
          <t>62016TJ0325.md</t>
        </is>
      </c>
      <c r="C16" s="23" t="inlineStr">
        <is>
          <t>Court Decision</t>
        </is>
      </c>
      <c r="D16" s="23" t="inlineStr">
        <is>
          <t>EU</t>
        </is>
      </c>
      <c r="E16" s="23" t="inlineStr">
        <is>
          <t>b7c29457-b49b-44b3-a09c-8c0dfd4574fa</t>
        </is>
      </c>
      <c r="F16" s="23" t="n"/>
      <c r="G16" s="23" t="n"/>
      <c r="H16" s="23" t="inlineStr"/>
    </row>
    <row r="17">
      <c r="A17" s="23" t="n">
        <v>4</v>
      </c>
      <c r="B17" s="23" t="inlineStr">
        <is>
          <t>62020CC0682.md</t>
        </is>
      </c>
      <c r="C17" s="23" t="inlineStr">
        <is>
          <t>Article (Review)</t>
        </is>
      </c>
      <c r="D17" s="23" t="inlineStr">
        <is>
          <t>EU</t>
        </is>
      </c>
      <c r="E17" s="23" t="inlineStr">
        <is>
          <t>f6fc977b-8c8d-467b-a5f7-04beb77f1b93</t>
        </is>
      </c>
      <c r="F17" s="23" t="n"/>
      <c r="G17" s="23" t="n"/>
      <c r="H17" s="23" t="inlineStr"/>
    </row>
    <row r="18">
      <c r="A18" s="23" t="n">
        <v>5</v>
      </c>
      <c r="B18" s="23" t="inlineStr">
        <is>
          <t>62013CC0583.md</t>
        </is>
      </c>
      <c r="C18" s="23" t="inlineStr">
        <is>
          <t>Bulletin article</t>
        </is>
      </c>
      <c r="D18" s="23" t="inlineStr">
        <is>
          <t>EU</t>
        </is>
      </c>
      <c r="E18" s="23" t="inlineStr">
        <is>
          <t>778d749c-48cb-405c-a58f-962dd3ceef0c</t>
        </is>
      </c>
      <c r="F18" s="23" t="n"/>
      <c r="G18" s="23" t="n"/>
      <c r="H18" s="23" t="inlineStr"/>
    </row>
    <row r="19">
      <c r="A19" s="23" t="n">
        <v>6</v>
      </c>
      <c r="B19" s="23" t="inlineStr">
        <is>
          <t>judicial-review-competition-cases--6_european_union_-_judicial_review_of_inspection_decisions.md</t>
        </is>
      </c>
      <c r="C19" s="23" t="inlineStr">
        <is>
          <t>Article (Review)</t>
        </is>
      </c>
      <c r="D19" s="23" t="n"/>
      <c r="E19" s="23" t="inlineStr">
        <is>
          <t>21a3ec2e-1c42-4307-ab97-e45011d6660a</t>
        </is>
      </c>
      <c r="F19" s="23" t="n"/>
      <c r="G19" s="23" t="n"/>
      <c r="H19" s="23" t="inlineStr"/>
    </row>
    <row r="20">
      <c r="A20" s="23" t="n">
        <v>7</v>
      </c>
      <c r="B20" s="23" t="inlineStr">
        <is>
          <t>62017TJ0249.md</t>
        </is>
      </c>
      <c r="C20" s="23" t="inlineStr">
        <is>
          <t>Court Decision</t>
        </is>
      </c>
      <c r="D20" s="23" t="inlineStr">
        <is>
          <t>EU</t>
        </is>
      </c>
      <c r="E20" s="23" t="inlineStr">
        <is>
          <t>dbf7bda8-39fa-4eb5-a6e2-f02b0787cb54</t>
        </is>
      </c>
      <c r="F20" s="23" t="n"/>
      <c r="G20" s="23" t="n"/>
      <c r="H20" s="23" t="inlineStr"/>
    </row>
    <row r="21">
      <c r="A21" s="23" t="n">
        <v>8</v>
      </c>
      <c r="B21" s="23" t="inlineStr">
        <is>
          <t>96586.md</t>
        </is>
      </c>
      <c r="C21" s="23" t="inlineStr">
        <is>
          <t>Article (Review)</t>
        </is>
      </c>
      <c r="D21" s="23" t="n"/>
      <c r="E21" s="23" t="inlineStr">
        <is>
          <t>4cb5c154-4d3a-46c3-8bca-8f09c7e6c562</t>
        </is>
      </c>
      <c r="F21" s="23" t="n"/>
      <c r="G21" s="23" t="n"/>
      <c r="H21" s="23" t="inlineStr"/>
    </row>
    <row r="22">
      <c r="A22" s="23" t="n">
        <v>9</v>
      </c>
      <c r="B22" s="23" t="inlineStr">
        <is>
          <t>50285.md</t>
        </is>
      </c>
      <c r="C22" s="23" t="inlineStr">
        <is>
          <t>Bulletin article</t>
        </is>
      </c>
      <c r="D22" s="23" t="n"/>
      <c r="E22" s="23" t="inlineStr">
        <is>
          <t>f17418b6-489e-4049-92f0-b9ce2b58968f</t>
        </is>
      </c>
      <c r="F22" s="23" t="n"/>
      <c r="G22" s="23" t="n"/>
      <c r="H22" s="23" t="inlineStr"/>
    </row>
    <row r="23" s="41">
      <c r="A23" s="40" t="n">
        <v>10</v>
      </c>
      <c r="B23" s="40" t="inlineStr">
        <is>
          <t>62014TJ0475.md</t>
        </is>
      </c>
      <c r="C23" s="40" t="inlineStr">
        <is>
          <t>Court Decision</t>
        </is>
      </c>
      <c r="D23" s="40" t="inlineStr">
        <is>
          <t>EU</t>
        </is>
      </c>
      <c r="E23" s="40" t="inlineStr">
        <is>
          <t>cba40d0a-c143-4bc9-af97-af13ef20db3a</t>
        </is>
      </c>
      <c r="F23" s="40" t="n"/>
      <c r="G23" s="40" t="n"/>
      <c r="H23" s="40" t="inlineStr"/>
    </row>
    <row r="24" s="41">
      <c r="A24" s="52" t="n">
        <v>11</v>
      </c>
      <c r="B24" s="52" t="inlineStr">
        <is>
          <t>62023TJ0263.md</t>
        </is>
      </c>
      <c r="C24" s="52" t="inlineStr">
        <is>
          <t>Court Decision</t>
        </is>
      </c>
      <c r="D24" s="52" t="inlineStr">
        <is>
          <t>EU</t>
        </is>
      </c>
      <c r="E24" s="52" t="inlineStr">
        <is>
          <t>16791fea-a958-4950-92a6-5a1b65fb3a04</t>
        </is>
      </c>
      <c r="F24" s="52" t="n"/>
      <c r="G24" s="52" t="n"/>
      <c r="H24" s="52" t="inlineStr">
        <is>
          <t>Cited in answer: YES</t>
        </is>
      </c>
    </row>
    <row r="25" s="41">
      <c r="A25" s="52" t="n">
        <v>12</v>
      </c>
      <c r="B25" s="52" t="inlineStr">
        <is>
          <t>62014TJ0449.md</t>
        </is>
      </c>
      <c r="C25" s="52" t="inlineStr">
        <is>
          <t>Court Decision</t>
        </is>
      </c>
      <c r="D25" s="52" t="inlineStr">
        <is>
          <t>EU</t>
        </is>
      </c>
      <c r="E25" s="52" t="inlineStr">
        <is>
          <t>2f594756-bc0a-4332-829f-e65319b3211c</t>
        </is>
      </c>
      <c r="F25" s="52" t="n"/>
      <c r="G25" s="52" t="n"/>
      <c r="H25" s="52" t="inlineStr"/>
    </row>
    <row r="26" s="41">
      <c r="A26" s="52" t="n">
        <v>13</v>
      </c>
      <c r="B26" s="52" t="inlineStr">
        <is>
          <t>103260-35-necessary-limits-to-the-commission-s-inspection-powers.md</t>
        </is>
      </c>
      <c r="C26" s="52" t="inlineStr">
        <is>
          <t>Article (Review)</t>
        </is>
      </c>
      <c r="D26" s="52" t="n"/>
      <c r="E26" s="52" t="inlineStr">
        <is>
          <t>bef18b4b-bb03-49c0-a7aa-afed485ec5d2</t>
        </is>
      </c>
      <c r="F26" s="52" t="n"/>
      <c r="G26" s="52" t="n"/>
      <c r="H26" s="52" t="inlineStr"/>
    </row>
    <row r="27" s="41">
      <c r="A27" s="52" t="n">
        <v>14</v>
      </c>
      <c r="B27" s="52" t="inlineStr">
        <is>
          <t>62009TJ0135.md</t>
        </is>
      </c>
      <c r="C27" s="52" t="inlineStr">
        <is>
          <t>Court Decision</t>
        </is>
      </c>
      <c r="D27" s="52" t="inlineStr">
        <is>
          <t>EU</t>
        </is>
      </c>
      <c r="E27" s="52" t="inlineStr">
        <is>
          <t>10418f10-8b6f-4bcc-adf6-39e168b49440</t>
        </is>
      </c>
      <c r="F27" s="52" t="n"/>
      <c r="G27" s="52" t="n"/>
      <c r="H27" s="52" t="inlineStr"/>
    </row>
    <row r="28" s="41">
      <c r="A28" s="52" t="n">
        <v>15</v>
      </c>
      <c r="B28" s="52" t="inlineStr">
        <is>
          <t>eu-antitrust-enforcement--10_ix_the_compatibility_with_fundamental_rights_of_the_eu_antitrust_enforcement_system_in_which_the_european_commission_acts_both_as_investigator_and_as_first_instance_decision_maker.md</t>
        </is>
      </c>
      <c r="C28" s="52" t="inlineStr">
        <is>
          <t>Article (Review)</t>
        </is>
      </c>
      <c r="D28" s="52" t="n"/>
      <c r="E28" s="52" t="inlineStr">
        <is>
          <t>2c996db6-dd0f-46f5-be34-12be8f73b817</t>
        </is>
      </c>
      <c r="F28" s="52" t="n"/>
      <c r="G28" s="52" t="n"/>
      <c r="H28" s="52" t="inlineStr"/>
    </row>
    <row r="29" s="41">
      <c r="A29" s="52" t="n">
        <v>16</v>
      </c>
      <c r="B29" s="52" t="inlineStr">
        <is>
          <t>62018CC0606.md</t>
        </is>
      </c>
      <c r="C29" s="52" t="inlineStr">
        <is>
          <t>Article (Review)</t>
        </is>
      </c>
      <c r="D29" s="52" t="inlineStr">
        <is>
          <t>EU</t>
        </is>
      </c>
      <c r="E29" s="52" t="inlineStr">
        <is>
          <t>0655b4ec-4821-4b46-91b6-b6ddaebd8d5d</t>
        </is>
      </c>
      <c r="F29" s="52" t="n"/>
      <c r="G29" s="52" t="n"/>
      <c r="H29" s="52" t="inlineStr"/>
    </row>
    <row r="30" s="41">
      <c r="A30" s="52" t="n">
        <v>17</v>
      </c>
      <c r="B30" s="52" t="inlineStr">
        <is>
          <t>62014CC0247.md</t>
        </is>
      </c>
      <c r="C30" s="52" t="inlineStr">
        <is>
          <t>Article (Review)</t>
        </is>
      </c>
      <c r="D30" s="52" t="inlineStr">
        <is>
          <t>EU</t>
        </is>
      </c>
      <c r="E30" s="52" t="inlineStr">
        <is>
          <t>9fefd6d8-a7ab-424b-a847-9a604ddaaf0f</t>
        </is>
      </c>
      <c r="F30" s="52" t="n"/>
      <c r="G30" s="52" t="n"/>
      <c r="H30" s="52" t="inlineStr"/>
    </row>
    <row r="31" s="41">
      <c r="A31" s="52" t="n">
        <v>18</v>
      </c>
      <c r="B31" s="52" t="inlineStr">
        <is>
          <t>62020CJ0682.md</t>
        </is>
      </c>
      <c r="C31" s="52" t="inlineStr">
        <is>
          <t>Court Decision</t>
        </is>
      </c>
      <c r="D31" s="52" t="inlineStr">
        <is>
          <t>EU</t>
        </is>
      </c>
      <c r="E31" s="52" t="inlineStr">
        <is>
          <t>408cfe67-7fe4-45a8-9c3e-de39d86d56cb</t>
        </is>
      </c>
      <c r="F31" s="52" t="n"/>
      <c r="G31" s="52" t="n"/>
      <c r="H31" s="52" t="inlineStr"/>
    </row>
    <row r="32" s="41">
      <c r="A32" s="52" t="n">
        <v>19</v>
      </c>
      <c r="B32" s="52" t="inlineStr">
        <is>
          <t>62013CC0037.md</t>
        </is>
      </c>
      <c r="C32" s="52" t="inlineStr">
        <is>
          <t>Bulletin article</t>
        </is>
      </c>
      <c r="D32" s="52" t="inlineStr">
        <is>
          <t>EU</t>
        </is>
      </c>
      <c r="E32" s="52" t="inlineStr">
        <is>
          <t>632273f6-990f-4cc6-85ff-77f86f45c537</t>
        </is>
      </c>
      <c r="F32" s="52" t="n"/>
      <c r="G32" s="52" t="n"/>
      <c r="H32" s="52" t="inlineStr"/>
    </row>
    <row r="33" s="41">
      <c r="A33" s="52" t="n">
        <v>20</v>
      </c>
      <c r="B33" s="52" t="inlineStr">
        <is>
          <t>62020CJ0693.md</t>
        </is>
      </c>
      <c r="C33" s="52" t="inlineStr">
        <is>
          <t>Court Decision</t>
        </is>
      </c>
      <c r="D33" s="52" t="inlineStr">
        <is>
          <t>EU</t>
        </is>
      </c>
      <c r="E33" s="52" t="inlineStr">
        <is>
          <t>74ccf3f4-5d27-4c74-9208-62829cc5bcf1</t>
        </is>
      </c>
      <c r="F33" s="52" t="n"/>
      <c r="G33" s="52" t="n"/>
      <c r="H33" s="52" t="inlineStr"/>
    </row>
    <row r="34" s="41">
      <c r="A34" s="52" t="n">
        <v>21</v>
      </c>
      <c r="B34" s="52" t="inlineStr">
        <is>
          <t>62020CC0690.md</t>
        </is>
      </c>
      <c r="C34" s="52" t="inlineStr">
        <is>
          <t>Bulletin article</t>
        </is>
      </c>
      <c r="D34" s="52" t="inlineStr">
        <is>
          <t>EU</t>
        </is>
      </c>
      <c r="E34" s="52" t="inlineStr">
        <is>
          <t>349cac6b-c1bd-4e7c-a092-8bef2db77ad2</t>
        </is>
      </c>
      <c r="F34" s="52" t="n"/>
      <c r="G34" s="52" t="n"/>
      <c r="H34" s="52" t="inlineStr"/>
    </row>
    <row r="35" s="41">
      <c r="A35" s="52" t="n">
        <v>22</v>
      </c>
      <c r="B35" s="52" t="inlineStr">
        <is>
          <t>competition-case-law-digest-5th--p09.md</t>
        </is>
      </c>
      <c r="C35" s="52" t="inlineStr">
        <is>
          <t>Book (Livre)</t>
        </is>
      </c>
      <c r="D35" s="52" t="n"/>
      <c r="E35" s="52" t="inlineStr">
        <is>
          <t>2f0afdb0-43c8-41b3-99e2-c3003ab906c1</t>
        </is>
      </c>
      <c r="F35" s="52" t="n"/>
      <c r="G35" s="52" t="n"/>
      <c r="H35" s="52" t="inlineStr"/>
    </row>
    <row r="36" s="41">
      <c r="A36" s="52" t="n">
        <v>23</v>
      </c>
      <c r="B36" s="52" t="inlineStr">
        <is>
          <t>81215.md</t>
        </is>
      </c>
      <c r="C36" s="52" t="inlineStr">
        <is>
          <t>Article (Review)</t>
        </is>
      </c>
      <c r="D36" s="52" t="n"/>
      <c r="E36" s="52" t="inlineStr">
        <is>
          <t>1326c749-4c6d-42ec-974e-b228dd1bf722</t>
        </is>
      </c>
      <c r="F36" s="52" t="n"/>
      <c r="G36" s="52" t="n"/>
      <c r="H36" s="52" t="inlineStr"/>
    </row>
    <row r="37" s="41">
      <c r="A37" s="52" t="n">
        <v>24</v>
      </c>
      <c r="B37" s="52" t="inlineStr">
        <is>
          <t>62020CJ0690.md</t>
        </is>
      </c>
      <c r="C37" s="52" t="inlineStr">
        <is>
          <t>Court Decision</t>
        </is>
      </c>
      <c r="D37" s="52" t="inlineStr">
        <is>
          <t>EU</t>
        </is>
      </c>
      <c r="E37" s="52" t="inlineStr">
        <is>
          <t>75c2da13-00ee-43b2-baa4-a6f2e5a71e73</t>
        </is>
      </c>
      <c r="F37" s="52" t="n"/>
      <c r="G37" s="52" t="n"/>
      <c r="H37" s="52" t="inlineStr"/>
    </row>
    <row r="38" s="41">
      <c r="A38" s="52" t="n">
        <v>25</v>
      </c>
      <c r="B38" s="52" t="inlineStr">
        <is>
          <t>62018CJ0606.md</t>
        </is>
      </c>
      <c r="C38" s="52" t="inlineStr">
        <is>
          <t>Court Decision</t>
        </is>
      </c>
      <c r="D38" s="52" t="inlineStr">
        <is>
          <t>EU</t>
        </is>
      </c>
      <c r="E38" s="52" t="inlineStr">
        <is>
          <t>2d074327-045b-484e-8bbc-1a0f9c7ed660</t>
        </is>
      </c>
      <c r="F38" s="52" t="n"/>
      <c r="G38" s="52" t="n"/>
      <c r="H38" s="52" t="inlineStr"/>
    </row>
    <row r="39" s="41">
      <c r="A39" s="52" t="n">
        <v>26</v>
      </c>
      <c r="B39" s="52" t="inlineStr">
        <is>
          <t>62009TJ0521.md</t>
        </is>
      </c>
      <c r="C39" s="52" t="inlineStr">
        <is>
          <t>Court Decision</t>
        </is>
      </c>
      <c r="D39" s="52" t="inlineStr">
        <is>
          <t>EU</t>
        </is>
      </c>
      <c r="E39" s="52" t="inlineStr">
        <is>
          <t>a9632e6f-3217-4f96-abc5-8577a99e80fb</t>
        </is>
      </c>
      <c r="F39" s="52" t="n"/>
      <c r="G39" s="52" t="n"/>
      <c r="H39" s="52" t="inlineStr"/>
    </row>
    <row r="40" s="41">
      <c r="A40" s="52" t="n">
        <v>27</v>
      </c>
      <c r="B40" s="52" t="inlineStr">
        <is>
          <t>eu-antitrust-enforcement--15_xiv_procedural_rights_and_obligations_of_third_parties_in_antitrust_investigations_and_proceedings_by_the_european_commission.md</t>
        </is>
      </c>
      <c r="C40" s="52" t="inlineStr">
        <is>
          <t>Book (Livre)</t>
        </is>
      </c>
      <c r="D40" s="52" t="n"/>
      <c r="E40" s="52" t="inlineStr">
        <is>
          <t>b2429dd2-ef75-4f34-8bf2-95b08c3a4de5</t>
        </is>
      </c>
      <c r="F40" s="52" t="n"/>
      <c r="G40" s="52" t="n"/>
      <c r="H40" s="52" t="inlineStr"/>
    </row>
    <row r="41" s="41">
      <c r="A41" s="52" t="n">
        <v>28</v>
      </c>
      <c r="B41" s="52" t="inlineStr">
        <is>
          <t>62004TJ0340.md</t>
        </is>
      </c>
      <c r="C41" s="52" t="inlineStr">
        <is>
          <t>Court Decision</t>
        </is>
      </c>
      <c r="D41" s="52" t="inlineStr">
        <is>
          <t>EU</t>
        </is>
      </c>
      <c r="E41" s="52" t="inlineStr">
        <is>
          <t>d9fb7f73-952b-4b71-a502-6f63b7f95073</t>
        </is>
      </c>
      <c r="F41" s="52" t="n"/>
      <c r="G41" s="52" t="n"/>
      <c r="H41" s="52" t="inlineStr"/>
    </row>
    <row r="42" s="41">
      <c r="A42" s="52" t="n">
        <v>29</v>
      </c>
      <c r="B42" s="52" t="inlineStr">
        <is>
          <t>79963.md</t>
        </is>
      </c>
      <c r="C42" s="52" t="inlineStr">
        <is>
          <t>Article (Review)</t>
        </is>
      </c>
      <c r="D42" s="52" t="n"/>
      <c r="E42" s="52" t="inlineStr">
        <is>
          <t>b0c5f913-948d-4dcc-9ea4-98f6136ca5a7</t>
        </is>
      </c>
      <c r="F42" s="52" t="n"/>
      <c r="G42" s="52" t="n"/>
      <c r="H42" s="52" t="inlineStr"/>
    </row>
    <row r="43" s="41">
      <c r="A43" s="52" t="n">
        <v>30</v>
      </c>
      <c r="B43" s="52" t="inlineStr">
        <is>
          <t>eu-antitrust-enforcement--12_xi_the_role_of_the_hearing_officer_in_antitrust_proceedings_before_the_european_commission.md</t>
        </is>
      </c>
      <c r="C43" s="52" t="inlineStr">
        <is>
          <t>Book (Livre)</t>
        </is>
      </c>
      <c r="D43" s="52" t="n"/>
      <c r="E43" s="52" t="inlineStr">
        <is>
          <t>27d55d8c-5b59-43c1-8576-7a718bd009d4</t>
        </is>
      </c>
      <c r="F43" s="52" t="n"/>
      <c r="G43" s="52" t="n"/>
      <c r="H43" s="52" t="inlineStr"/>
    </row>
    <row r="44" s="41">
      <c r="A44" s="52" t="n">
        <v>31</v>
      </c>
      <c r="B44" s="52" t="inlineStr">
        <is>
          <t>62013CJ0583.md</t>
        </is>
      </c>
      <c r="C44" s="52" t="inlineStr">
        <is>
          <t>Court Decision</t>
        </is>
      </c>
      <c r="D44" s="52" t="inlineStr">
        <is>
          <t>EU</t>
        </is>
      </c>
      <c r="E44" s="52" t="inlineStr">
        <is>
          <t>7b8f60ed-1acc-484e-b298-5a745b6b18f3</t>
        </is>
      </c>
      <c r="F44" s="52" t="n"/>
      <c r="G44" s="52" t="n"/>
      <c r="H44" s="52" t="inlineStr"/>
    </row>
    <row r="45" s="41">
      <c r="A45" s="52" t="n">
        <v>32</v>
      </c>
      <c r="B45" s="52" t="inlineStr">
        <is>
          <t>62013TJ0402.md</t>
        </is>
      </c>
      <c r="C45" s="52" t="inlineStr">
        <is>
          <t>Court Decision</t>
        </is>
      </c>
      <c r="D45" s="52" t="inlineStr">
        <is>
          <t>EU</t>
        </is>
      </c>
      <c r="E45" s="52" t="inlineStr">
        <is>
          <t>d193f5d4-ad74-4d17-8105-30b02e493c35</t>
        </is>
      </c>
      <c r="F45" s="52" t="n"/>
      <c r="G45" s="52" t="n"/>
      <c r="H45" s="52" t="inlineStr"/>
    </row>
    <row r="46" s="41">
      <c r="A46" s="52" t="n">
        <v>33</v>
      </c>
      <c r="B46" s="52" t="inlineStr">
        <is>
          <t>competition-case-law-digest-5th--p10.md</t>
        </is>
      </c>
      <c r="C46" s="52" t="inlineStr">
        <is>
          <t>Book (Livre)</t>
        </is>
      </c>
      <c r="D46" s="52" t="n"/>
      <c r="E46" s="52" t="inlineStr">
        <is>
          <t>65e060cb-bdeb-413d-b4e8-b9ffe0ed3995</t>
        </is>
      </c>
      <c r="F46" s="52" t="n"/>
      <c r="G46" s="52" t="n"/>
      <c r="H46" s="52" t="inlineStr"/>
    </row>
    <row r="47" s="41">
      <c r="A47" s="52" t="n">
        <v>34</v>
      </c>
      <c r="B47" s="52" t="inlineStr">
        <is>
          <t>judicial-review-competition-cases--7_european_union_-_are_there_any_limits_to_unlimited_jurisdiction_judicial_review_of_commission_discretion_in_setting_fines_for_breaches_of_eu_competition_rules.md</t>
        </is>
      </c>
      <c r="C47" s="52" t="inlineStr">
        <is>
          <t>Article (Review)</t>
        </is>
      </c>
      <c r="D47" s="52" t="n"/>
      <c r="E47" s="52" t="inlineStr">
        <is>
          <t>db161723-dcab-4880-a411-5ede0c406c3a</t>
        </is>
      </c>
      <c r="F47" s="52" t="n"/>
      <c r="G47" s="52" t="n"/>
      <c r="H47" s="52" t="inlineStr"/>
    </row>
    <row r="48" s="41">
      <c r="A48" s="52" t="n">
        <v>35</v>
      </c>
      <c r="B48" s="52" t="inlineStr">
        <is>
          <t>eu-antitrust-enforcement--11_x_fundamental_procedural_rights_and_effective_enforcement_of_articles_101_and_102_tfeu_in_the_european_competition_network.md</t>
        </is>
      </c>
      <c r="C48" s="52" t="inlineStr">
        <is>
          <t>Book (Livre)</t>
        </is>
      </c>
      <c r="D48" s="52" t="n"/>
      <c r="E48" s="52" t="inlineStr">
        <is>
          <t>44d971b2-9615-45f5-94c3-342633964481</t>
        </is>
      </c>
      <c r="F48" s="52" t="n"/>
      <c r="G48" s="52" t="n"/>
      <c r="H48" s="52" t="inlineStr"/>
    </row>
    <row r="49" s="41">
      <c r="A49" s="52" t="n">
        <v>36</v>
      </c>
      <c r="B49" s="52" t="inlineStr">
        <is>
          <t>57935-361-decisions-adopted-during-an-inspection-the-general-court-reminds-the-commiss.md</t>
        </is>
      </c>
      <c r="C49" s="52" t="inlineStr">
        <is>
          <t>Bulletin article</t>
        </is>
      </c>
      <c r="D49" s="52" t="n"/>
      <c r="E49" s="52" t="inlineStr">
        <is>
          <t>882aa354-e6cf-464a-b1e2-9486b1cca48f</t>
        </is>
      </c>
      <c r="F49" s="52" t="n"/>
      <c r="G49" s="52" t="n"/>
      <c r="H49" s="52" t="inlineStr"/>
    </row>
    <row r="50" s="41">
      <c r="A50" s="52" t="n">
        <v>37</v>
      </c>
      <c r="B50" s="52" t="inlineStr">
        <is>
          <t>62020TO0451(01).md</t>
        </is>
      </c>
      <c r="C50" s="52" t="inlineStr">
        <is>
          <t>Court Decision</t>
        </is>
      </c>
      <c r="D50" s="52" t="inlineStr">
        <is>
          <t>EU</t>
        </is>
      </c>
      <c r="E50" s="52" t="inlineStr">
        <is>
          <t>b261ed51-2a85-4d85-a20a-92143a7cd6a5</t>
        </is>
      </c>
      <c r="F50" s="52" t="n"/>
      <c r="G50" s="52" t="n"/>
      <c r="H50" s="52" t="inlineStr"/>
    </row>
    <row r="51" s="41">
      <c r="A51" s="52" t="n">
        <v>38</v>
      </c>
      <c r="B51" s="52" t="inlineStr">
        <is>
          <t>62014CC0267.md</t>
        </is>
      </c>
      <c r="C51" s="52" t="inlineStr">
        <is>
          <t>Bulletin article</t>
        </is>
      </c>
      <c r="D51" s="52" t="inlineStr">
        <is>
          <t>EU</t>
        </is>
      </c>
      <c r="E51" s="52" t="inlineStr">
        <is>
          <t>4e120783-7054-40f4-9568-0136a08681b0</t>
        </is>
      </c>
      <c r="F51" s="52" t="n"/>
      <c r="G51" s="52" t="n"/>
      <c r="H51" s="52" t="inlineStr"/>
    </row>
    <row r="52" s="41">
      <c r="A52" s="52" t="n">
        <v>39</v>
      </c>
      <c r="B52" s="52" t="inlineStr">
        <is>
          <t>91835.md</t>
        </is>
      </c>
      <c r="C52" s="52" t="inlineStr">
        <is>
          <t>Article (Review)</t>
        </is>
      </c>
      <c r="D52" s="52" t="n"/>
      <c r="E52" s="52" t="inlineStr">
        <is>
          <t>f6ec0179-d152-4059-9a3f-81d669d422b0</t>
        </is>
      </c>
      <c r="F52" s="52" t="n"/>
      <c r="G52" s="52" t="n"/>
      <c r="H52" s="52" t="inlineStr"/>
    </row>
    <row r="53" s="41">
      <c r="A53" s="52" t="n">
        <v>40</v>
      </c>
      <c r="B53" s="52" t="inlineStr">
        <is>
          <t>62023TJ0306.md</t>
        </is>
      </c>
      <c r="C53" s="52" t="inlineStr">
        <is>
          <t>Court Decision</t>
        </is>
      </c>
      <c r="D53" s="52" t="inlineStr">
        <is>
          <t>EU</t>
        </is>
      </c>
      <c r="E53" s="52" t="inlineStr">
        <is>
          <t>9618c09b-f7de-44f3-84b6-43e0a65b9002</t>
        </is>
      </c>
      <c r="F53" s="52" t="n"/>
      <c r="G53" s="52" t="n"/>
      <c r="H53" s="52" t="inlineStr"/>
    </row>
    <row r="54" s="41">
      <c r="A54" s="52" t="n">
        <v>41</v>
      </c>
      <c r="B54" s="52" t="inlineStr">
        <is>
          <t>62020TO0452(01).md</t>
        </is>
      </c>
      <c r="C54" s="52" t="inlineStr">
        <is>
          <t>Court Decision</t>
        </is>
      </c>
      <c r="D54" s="52" t="inlineStr">
        <is>
          <t>EU</t>
        </is>
      </c>
      <c r="E54" s="52" t="inlineStr">
        <is>
          <t>2768689e-df78-453e-8a77-732820fda1c8</t>
        </is>
      </c>
      <c r="F54" s="52" t="n"/>
      <c r="G54" s="52" t="n"/>
      <c r="H54" s="52" t="inlineStr"/>
    </row>
    <row r="55" s="41">
      <c r="A55" s="52" t="n">
        <v>42</v>
      </c>
      <c r="B55" s="52" t="inlineStr">
        <is>
          <t>62009TJ0023.md</t>
        </is>
      </c>
      <c r="C55" s="52" t="inlineStr">
        <is>
          <t>Court Decision</t>
        </is>
      </c>
      <c r="D55" s="52" t="inlineStr">
        <is>
          <t>EU</t>
        </is>
      </c>
      <c r="E55" s="52" t="inlineStr">
        <is>
          <t>094ea41b-a505-436b-a0dd-4ba40b31dfdd</t>
        </is>
      </c>
      <c r="F55" s="52" t="n"/>
      <c r="G55" s="52" t="n"/>
      <c r="H55" s="52" t="inlineStr"/>
    </row>
    <row r="56" s="41">
      <c r="A56" s="52" t="n">
        <v>43</v>
      </c>
      <c r="B56" s="52" t="inlineStr">
        <is>
          <t>62014CC0268.md</t>
        </is>
      </c>
      <c r="C56" s="52" t="inlineStr">
        <is>
          <t>Bulletin article</t>
        </is>
      </c>
      <c r="D56" s="52" t="inlineStr">
        <is>
          <t>EU</t>
        </is>
      </c>
      <c r="E56" s="52" t="inlineStr">
        <is>
          <t>70d6a636-85b1-4767-8035-ab01f7ceae06</t>
        </is>
      </c>
      <c r="F56" s="52" t="n"/>
      <c r="G56" s="52" t="n"/>
      <c r="H56" s="52" t="inlineStr"/>
    </row>
    <row r="57" s="41">
      <c r="A57" s="52" t="n">
        <v>44</v>
      </c>
      <c r="B57" s="52" t="inlineStr">
        <is>
          <t>62020CC0682.md</t>
        </is>
      </c>
      <c r="C57" s="52" t="inlineStr">
        <is>
          <t>Bulletin article</t>
        </is>
      </c>
      <c r="D57" s="52" t="inlineStr">
        <is>
          <t>EU</t>
        </is>
      </c>
      <c r="E57" s="52" t="inlineStr">
        <is>
          <t>4228e89d-bc15-4a00-9ed7-bd703f8ec05a</t>
        </is>
      </c>
      <c r="F57" s="52" t="n"/>
      <c r="G57" s="52" t="n"/>
      <c r="H57" s="52" t="inlineStr"/>
    </row>
    <row r="58" s="41">
      <c r="A58" s="52" t="n">
        <v>45</v>
      </c>
      <c r="B58" s="52" t="inlineStr">
        <is>
          <t>49706.md</t>
        </is>
      </c>
      <c r="C58" s="52" t="inlineStr">
        <is>
          <t>Bulletin article</t>
        </is>
      </c>
      <c r="D58" s="52" t="n"/>
      <c r="E58" s="52" t="inlineStr">
        <is>
          <t>69e18734-70c1-4002-916f-4aed9d0e9352</t>
        </is>
      </c>
      <c r="F58" s="52" t="n"/>
      <c r="G58" s="52" t="n"/>
      <c r="H58" s="52" t="inlineStr"/>
    </row>
    <row r="59" s="41">
      <c r="A59" s="52" t="n">
        <v>46</v>
      </c>
      <c r="B59" s="52" t="inlineStr">
        <is>
          <t>62018CJ0601.md</t>
        </is>
      </c>
      <c r="C59" s="52" t="inlineStr">
        <is>
          <t>Court Decision</t>
        </is>
      </c>
      <c r="D59" s="52" t="inlineStr">
        <is>
          <t>EU</t>
        </is>
      </c>
      <c r="E59" s="52" t="inlineStr">
        <is>
          <t>d94571df-d56d-45c1-a02e-834714984963</t>
        </is>
      </c>
      <c r="F59" s="52" t="n"/>
      <c r="G59" s="52" t="n"/>
      <c r="H59" s="52" t="inlineStr"/>
    </row>
    <row r="60" s="41">
      <c r="A60" s="52" t="n">
        <v>47</v>
      </c>
      <c r="B60" s="52" t="inlineStr">
        <is>
          <t>62014CC0248.md</t>
        </is>
      </c>
      <c r="C60" s="52" t="inlineStr">
        <is>
          <t>Bulletin article</t>
        </is>
      </c>
      <c r="D60" s="52" t="inlineStr">
        <is>
          <t>EU</t>
        </is>
      </c>
      <c r="E60" s="52" t="inlineStr">
        <is>
          <t>339a87b5-3e47-45f8-9184-ec4d2919899c</t>
        </is>
      </c>
      <c r="F60" s="52" t="n"/>
      <c r="G60" s="52" t="n"/>
      <c r="H60" s="52" t="inlineStr"/>
    </row>
    <row r="61" s="41">
      <c r="A61" s="52" t="n">
        <v>48</v>
      </c>
      <c r="B61" s="52" t="inlineStr">
        <is>
          <t>62018CJ0403.md</t>
        </is>
      </c>
      <c r="C61" s="52" t="inlineStr">
        <is>
          <t>Court Decision</t>
        </is>
      </c>
      <c r="D61" s="52" t="inlineStr">
        <is>
          <t>EU</t>
        </is>
      </c>
      <c r="E61" s="52" t="inlineStr">
        <is>
          <t>5b155c4b-0345-4afa-8dee-d56351895c8f</t>
        </is>
      </c>
      <c r="F61" s="52" t="n"/>
      <c r="G61" s="52" t="n"/>
      <c r="H61" s="52" t="inlineStr"/>
    </row>
    <row r="62" s="41">
      <c r="A62" s="52" t="n">
        <v>49</v>
      </c>
      <c r="B62" s="52" t="inlineStr">
        <is>
          <t>49705.md</t>
        </is>
      </c>
      <c r="C62" s="52" t="inlineStr">
        <is>
          <t>Bulletin article</t>
        </is>
      </c>
      <c r="D62" s="52" t="n"/>
      <c r="E62" s="52" t="inlineStr">
        <is>
          <t>a81d247a-6baa-4e69-8435-23b0a663e83f</t>
        </is>
      </c>
      <c r="F62" s="52" t="n"/>
      <c r="G62" s="52" t="n"/>
      <c r="H62" s="52" t="inlineStr"/>
    </row>
    <row r="63" s="41">
      <c r="A63" s="52" t="n">
        <v>50</v>
      </c>
      <c r="B63" s="52" t="inlineStr">
        <is>
          <t>62018CJ0538.md</t>
        </is>
      </c>
      <c r="C63" s="52" t="inlineStr">
        <is>
          <t>Court Decision</t>
        </is>
      </c>
      <c r="D63" s="52" t="inlineStr">
        <is>
          <t>EU</t>
        </is>
      </c>
      <c r="E63" s="52" t="inlineStr">
        <is>
          <t>aeddddae-2bb4-43b2-812c-37431b53023f</t>
        </is>
      </c>
      <c r="F63" s="52" t="n"/>
      <c r="G63" s="52" t="n"/>
      <c r="H63" s="52" t="inlineStr"/>
    </row>
    <row r="64" s="41">
      <c r="A64" s="52" t="n">
        <v>51</v>
      </c>
      <c r="B64" s="52" t="inlineStr">
        <is>
          <t>competition-inspections-25-jurisdictions--7_european_union.md</t>
        </is>
      </c>
      <c r="C64" s="52" t="inlineStr">
        <is>
          <t>Article (Review)</t>
        </is>
      </c>
      <c r="D64" s="52" t="n"/>
      <c r="E64" s="52" t="inlineStr">
        <is>
          <t>1c2fa592-34f0-4656-96c2-024c5ea88b1e</t>
        </is>
      </c>
      <c r="F64" s="52" t="n"/>
      <c r="G64" s="52" t="n"/>
      <c r="H64" s="52" t="inlineStr"/>
    </row>
    <row r="65" s="41">
      <c r="A65" s="52" t="n">
        <v>52</v>
      </c>
      <c r="B65" s="52" t="inlineStr">
        <is>
          <t>95849-3360-inspections-the-court-of-justice-of-the-european-union-gives-the-commission.md</t>
        </is>
      </c>
      <c r="C65" s="52" t="inlineStr">
        <is>
          <t>Bulletin article</t>
        </is>
      </c>
      <c r="D65" s="52" t="n"/>
      <c r="E65" s="52" t="inlineStr">
        <is>
          <t>afe07022-9e8e-4270-a8d4-2c0aaa70652f</t>
        </is>
      </c>
      <c r="F65" s="52" t="n"/>
      <c r="G65" s="52" t="n"/>
      <c r="H65" s="52" t="inlineStr"/>
    </row>
    <row r="66" s="41">
      <c r="A66" s="52" t="n">
        <v>53</v>
      </c>
      <c r="B66" s="52" t="inlineStr">
        <is>
          <t>105103.md</t>
        </is>
      </c>
      <c r="C66" s="52" t="inlineStr">
        <is>
          <t>Bulletin article</t>
        </is>
      </c>
      <c r="D66" s="52" t="n"/>
      <c r="E66" s="52" t="inlineStr">
        <is>
          <t>f10e4cc4-d036-4949-b9be-86b79b54fa7d</t>
        </is>
      </c>
      <c r="F66" s="52" t="n"/>
      <c r="G66" s="52" t="n"/>
      <c r="H66" s="52" t="inlineStr"/>
    </row>
    <row r="67" s="41">
      <c r="A67" s="52" t="n">
        <v>54</v>
      </c>
      <c r="B67" s="52" t="inlineStr">
        <is>
          <t>62013CJ0037.md</t>
        </is>
      </c>
      <c r="C67" s="52" t="inlineStr">
        <is>
          <t>Court Decision</t>
        </is>
      </c>
      <c r="D67" s="52" t="inlineStr">
        <is>
          <t>EU</t>
        </is>
      </c>
      <c r="E67" s="52" t="inlineStr">
        <is>
          <t>2426e61d-f1e3-4fe6-a1e7-1b0d6d4deb24</t>
        </is>
      </c>
      <c r="F67" s="52" t="n"/>
      <c r="G67" s="52" t="n"/>
      <c r="H67" s="52" t="inlineStr"/>
    </row>
    <row r="68" s="41">
      <c r="A68" s="52" t="n">
        <v>55</v>
      </c>
      <c r="B68" s="52" t="inlineStr">
        <is>
          <t>97568-3340-investigation-the-court-of-justice-of-the-european-union-recognizes-the-eur.md</t>
        </is>
      </c>
      <c r="C68" s="52" t="inlineStr">
        <is>
          <t>Bulletin article</t>
        </is>
      </c>
      <c r="D68" s="52" t="n"/>
      <c r="E68" s="52" t="inlineStr">
        <is>
          <t>0a9a6620-916c-4d26-8e97-e91a08871183</t>
        </is>
      </c>
      <c r="F68" s="52" t="n"/>
      <c r="G68" s="52" t="n"/>
      <c r="H68" s="52" t="inlineStr"/>
    </row>
    <row r="69" s="41">
      <c r="A69" s="52" t="n">
        <v>56</v>
      </c>
      <c r="B69" s="52" t="inlineStr">
        <is>
          <t>62011TJ0296.md</t>
        </is>
      </c>
      <c r="C69" s="52" t="inlineStr">
        <is>
          <t>Court Decision</t>
        </is>
      </c>
      <c r="D69" s="52" t="inlineStr">
        <is>
          <t>EU</t>
        </is>
      </c>
      <c r="E69" s="52" t="inlineStr">
        <is>
          <t>9bd983cd-32e8-43eb-bad0-dc190b31c9d2</t>
        </is>
      </c>
      <c r="F69" s="52" t="n"/>
      <c r="G69" s="52" t="n"/>
      <c r="H69" s="52" t="inlineStr"/>
    </row>
    <row r="70" s="41">
      <c r="A70" s="52" t="n">
        <v>57</v>
      </c>
      <c r="B70" s="52" t="inlineStr">
        <is>
          <t>123082.md</t>
        </is>
      </c>
      <c r="C70" s="52" t="inlineStr">
        <is>
          <t>Bulletin article</t>
        </is>
      </c>
      <c r="D70" s="52" t="n"/>
      <c r="E70" s="52" t="inlineStr">
        <is>
          <t>18ab192b-10fe-48eb-95a5-bfcc61cd2c9d</t>
        </is>
      </c>
      <c r="F70" s="52" t="n"/>
      <c r="G70" s="52" t="n"/>
      <c r="H70" s="52" t="inlineStr"/>
    </row>
    <row r="71" s="41">
      <c r="A71" s="52" t="n">
        <v>58</v>
      </c>
      <c r="B71" s="52" t="inlineStr">
        <is>
          <t>103227-30-des-limites-necessaires-aux-pouvoirs-dinspection-de-la-commission.md</t>
        </is>
      </c>
      <c r="C71" s="52" t="inlineStr">
        <is>
          <t>Article (Review)</t>
        </is>
      </c>
      <c r="D71" s="52" t="n"/>
      <c r="E71" s="52" t="inlineStr">
        <is>
          <t>315845a8-75c2-4d8f-88bd-d0486da25720</t>
        </is>
      </c>
      <c r="F71" s="52" t="n"/>
      <c r="G71" s="52" t="n"/>
      <c r="H71" s="52" t="inlineStr">
        <is>
          <t>Cited in answer: YES</t>
        </is>
      </c>
    </row>
    <row r="72" s="41">
      <c r="A72" s="52" t="n">
        <v>59</v>
      </c>
      <c r="B72" s="52" t="inlineStr">
        <is>
          <t>129262.md</t>
        </is>
      </c>
      <c r="C72" s="52" t="inlineStr">
        <is>
          <t>Bulletin article</t>
        </is>
      </c>
      <c r="D72" s="52" t="n"/>
      <c r="E72" s="52" t="inlineStr">
        <is>
          <t>34a94fc2-9bfb-4101-8ad0-221a66364bdf</t>
        </is>
      </c>
      <c r="F72" s="52" t="n"/>
      <c r="G72" s="52" t="n"/>
      <c r="H72" s="52" t="inlineStr"/>
    </row>
    <row r="73" s="41">
      <c r="A73" s="52" t="n">
        <v>60</v>
      </c>
      <c r="B73" s="52" t="inlineStr">
        <is>
          <t>62011TJ0655.md</t>
        </is>
      </c>
      <c r="C73" s="52" t="inlineStr">
        <is>
          <t>Court Decision</t>
        </is>
      </c>
      <c r="D73" s="52" t="inlineStr">
        <is>
          <t>EU</t>
        </is>
      </c>
      <c r="E73" s="52" t="inlineStr">
        <is>
          <t>9bbae35a-5d48-465b-8d08-793e521ab06a</t>
        </is>
      </c>
      <c r="F73" s="52" t="n"/>
      <c r="G73" s="52" t="n"/>
      <c r="H73" s="52" t="inlineStr"/>
    </row>
    <row r="74" s="41">
      <c r="A74" s="52" t="n">
        <v>61</v>
      </c>
      <c r="B74" s="52" t="inlineStr">
        <is>
          <t>62014TJ0441.md</t>
        </is>
      </c>
      <c r="C74" s="52" t="inlineStr">
        <is>
          <t>Court Decision</t>
        </is>
      </c>
      <c r="D74" s="52" t="inlineStr">
        <is>
          <t>EU</t>
        </is>
      </c>
      <c r="E74" s="52" t="inlineStr">
        <is>
          <t>29f8781d-6d42-4188-b0d7-1ff604cf8a33</t>
        </is>
      </c>
      <c r="F74" s="52" t="n"/>
      <c r="G74" s="52" t="n"/>
      <c r="H74" s="52" t="inlineStr"/>
    </row>
    <row r="75" s="41">
      <c r="A75" s="52" t="n">
        <v>62</v>
      </c>
      <c r="B75" s="52" t="inlineStr">
        <is>
          <t>competition-case-law-digest-5th--p11.md</t>
        </is>
      </c>
      <c r="C75" s="52" t="inlineStr">
        <is>
          <t>Book (Livre)</t>
        </is>
      </c>
      <c r="D75" s="52" t="n"/>
      <c r="E75" s="52" t="inlineStr">
        <is>
          <t>40351206-cbf5-40d8-a127-173a24162f6e</t>
        </is>
      </c>
      <c r="F75" s="52" t="n"/>
      <c r="G75" s="52" t="n"/>
      <c r="H75" s="52" t="inlineStr"/>
    </row>
    <row r="76" s="41">
      <c r="A76" s="52" t="n">
        <v>63</v>
      </c>
      <c r="B76" s="52" t="inlineStr">
        <is>
          <t>62023CJ0258.md</t>
        </is>
      </c>
      <c r="C76" s="52" t="inlineStr">
        <is>
          <t>Court Decision</t>
        </is>
      </c>
      <c r="D76" s="52" t="inlineStr">
        <is>
          <t>EU</t>
        </is>
      </c>
      <c r="E76" s="52" t="inlineStr">
        <is>
          <t>5aa970eb-b95b-47f7-848c-8251ba16e8bc</t>
        </is>
      </c>
      <c r="F76" s="52" t="n"/>
      <c r="G76" s="52" t="n"/>
      <c r="H76" s="52" t="inlineStr"/>
    </row>
    <row r="77" s="41">
      <c r="A77" s="52" t="n">
        <v>64</v>
      </c>
      <c r="B77" s="52" t="inlineStr">
        <is>
          <t>90706.md</t>
        </is>
      </c>
      <c r="C77" s="52" t="inlineStr">
        <is>
          <t>Article (Review)</t>
        </is>
      </c>
      <c r="D77" s="52" t="n"/>
      <c r="E77" s="52" t="inlineStr">
        <is>
          <t>53fd7b9e-f939-427f-a193-dde8d89572a2</t>
        </is>
      </c>
      <c r="F77" s="52" t="n"/>
      <c r="G77" s="52" t="n"/>
      <c r="H77" s="52" t="inlineStr"/>
    </row>
    <row r="78" s="41">
      <c r="A78" s="52" t="n">
        <v>65</v>
      </c>
      <c r="B78" s="52" t="inlineStr">
        <is>
          <t>62012TJ0272.md</t>
        </is>
      </c>
      <c r="C78" s="52" t="inlineStr">
        <is>
          <t>Court Decision</t>
        </is>
      </c>
      <c r="D78" s="52" t="inlineStr">
        <is>
          <t>EU</t>
        </is>
      </c>
      <c r="E78" s="52" t="inlineStr">
        <is>
          <t>5955aed3-ab0f-4414-a06a-9abbbc834dab</t>
        </is>
      </c>
      <c r="F78" s="52" t="n"/>
      <c r="G78" s="52" t="n"/>
      <c r="H78" s="52" t="inlineStr"/>
    </row>
    <row r="79" s="41">
      <c r="A79" s="52" t="n">
        <v>66</v>
      </c>
      <c r="B79" s="52" t="inlineStr">
        <is>
          <t>129745.md</t>
        </is>
      </c>
      <c r="C79" s="52" t="inlineStr">
        <is>
          <t>Bulletin article</t>
        </is>
      </c>
      <c r="D79" s="52" t="n"/>
      <c r="E79" s="52" t="inlineStr">
        <is>
          <t>d77ab0a2-b289-4ca9-981f-ff910bb4451b</t>
        </is>
      </c>
      <c r="F79" s="52" t="n"/>
      <c r="G79" s="52" t="n"/>
      <c r="H79" s="52" t="inlineStr"/>
    </row>
    <row r="80" s="41">
      <c r="A80" s="52" t="n">
        <v>67</v>
      </c>
      <c r="B80" s="52" t="inlineStr">
        <is>
          <t>62014TJ0450.md</t>
        </is>
      </c>
      <c r="C80" s="52" t="inlineStr">
        <is>
          <t>Court Decision</t>
        </is>
      </c>
      <c r="D80" s="52" t="inlineStr">
        <is>
          <t>EU</t>
        </is>
      </c>
      <c r="E80" s="52" t="inlineStr">
        <is>
          <t>41438462-5717-4e1a-90f5-29e9bd19df4e</t>
        </is>
      </c>
      <c r="F80" s="52" t="n"/>
      <c r="G80" s="52" t="n"/>
      <c r="H80" s="52" t="inlineStr"/>
    </row>
    <row r="81" s="41">
      <c r="A81" s="52" t="n">
        <v>68</v>
      </c>
      <c r="B81" s="52" t="inlineStr">
        <is>
          <t>62014TJ0445.md</t>
        </is>
      </c>
      <c r="C81" s="52" t="inlineStr">
        <is>
          <t>Court Decision</t>
        </is>
      </c>
      <c r="D81" s="52" t="inlineStr">
        <is>
          <t>EU</t>
        </is>
      </c>
      <c r="E81" s="52" t="inlineStr">
        <is>
          <t>f87fc08e-9d0b-4701-9a4c-d68f6d2155c7</t>
        </is>
      </c>
      <c r="F81" s="52" t="n"/>
      <c r="G81" s="52" t="n"/>
      <c r="H81" s="52" t="inlineStr"/>
    </row>
    <row r="82" s="41">
      <c r="A82" s="52" t="n">
        <v>69</v>
      </c>
      <c r="B82" s="52" t="inlineStr">
        <is>
          <t>62014TJ0422.md</t>
        </is>
      </c>
      <c r="C82" s="52" t="inlineStr">
        <is>
          <t>Court Decision</t>
        </is>
      </c>
      <c r="D82" s="52" t="inlineStr">
        <is>
          <t>EU</t>
        </is>
      </c>
      <c r="E82" s="52" t="inlineStr">
        <is>
          <t>6c23abb3-f168-4c55-89cb-8b100b4c23a5</t>
        </is>
      </c>
      <c r="F82" s="52" t="n"/>
      <c r="G82" s="52" t="n"/>
      <c r="H82" s="52" t="inlineStr"/>
    </row>
    <row r="83" s="41">
      <c r="A83" s="52" t="n">
        <v>70</v>
      </c>
      <c r="B83" s="52" t="inlineStr">
        <is>
          <t>100066.md</t>
        </is>
      </c>
      <c r="C83" s="52" t="inlineStr">
        <is>
          <t>Bulletin article</t>
        </is>
      </c>
      <c r="D83" s="52" t="n"/>
      <c r="E83" s="52" t="inlineStr">
        <is>
          <t>cf5bb273-df83-4359-89b3-f6c951998319</t>
        </is>
      </c>
      <c r="F83" s="52" t="n"/>
      <c r="G83" s="52" t="n"/>
      <c r="H83" s="52" t="inlineStr"/>
    </row>
    <row r="84" s="41">
      <c r="A84" s="52" t="n">
        <v>71</v>
      </c>
      <c r="B84" s="52" t="inlineStr">
        <is>
          <t>eu-antitrust-enforcement--16_xv_publication_of_antitrust_decisions_of_the_european_commission.md</t>
        </is>
      </c>
      <c r="C84" s="52" t="inlineStr">
        <is>
          <t>Book (Livre)</t>
        </is>
      </c>
      <c r="D84" s="52" t="n"/>
      <c r="E84" s="52" t="inlineStr">
        <is>
          <t>3c9799ff-7e91-4daf-9fef-671444f16757</t>
        </is>
      </c>
      <c r="F84" s="52" t="n"/>
      <c r="G84" s="52" t="n"/>
      <c r="H84" s="52" t="inlineStr"/>
    </row>
    <row r="85" s="41">
      <c r="A85" s="52" t="n">
        <v>72</v>
      </c>
      <c r="B85" s="52" t="inlineStr">
        <is>
          <t>inspections-eu-law-2nd--4_chapter_2_-_inspections_upon_authorisation_regulation_1_2003_article_20_3.md</t>
        </is>
      </c>
      <c r="C85" s="52" t="inlineStr">
        <is>
          <t>Book (Livre)</t>
        </is>
      </c>
      <c r="D85" s="52" t="n"/>
      <c r="E85" s="52" t="inlineStr">
        <is>
          <t>303ee9d6-4f67-4e00-a80a-195318e324af</t>
        </is>
      </c>
      <c r="F85" s="52" t="n"/>
      <c r="G85" s="52" t="n"/>
      <c r="H85" s="52" t="inlineStr"/>
    </row>
    <row r="86" s="41">
      <c r="A86" s="52" t="n">
        <v>73</v>
      </c>
      <c r="B86" s="52" t="inlineStr">
        <is>
          <t>62013CC0037.md</t>
        </is>
      </c>
      <c r="C86" s="52" t="inlineStr">
        <is>
          <t>Bulletin article</t>
        </is>
      </c>
      <c r="D86" s="52" t="inlineStr">
        <is>
          <t>EU</t>
        </is>
      </c>
      <c r="E86" s="52" t="inlineStr">
        <is>
          <t>9d414372-2e27-469f-840e-aafabecf3cc1</t>
        </is>
      </c>
      <c r="F86" s="52" t="n"/>
      <c r="G86" s="52" t="n"/>
      <c r="H86" s="52" t="inlineStr"/>
    </row>
    <row r="87" s="41">
      <c r="A87" s="52" t="n">
        <v>74</v>
      </c>
      <c r="B87" s="52" t="inlineStr">
        <is>
          <t>62014TJ0444.md</t>
        </is>
      </c>
      <c r="C87" s="52" t="inlineStr">
        <is>
          <t>Court Decision</t>
        </is>
      </c>
      <c r="D87" s="52" t="inlineStr">
        <is>
          <t>EU</t>
        </is>
      </c>
      <c r="E87" s="52" t="inlineStr">
        <is>
          <t>ad848645-bb6b-44c9-97d8-1d02f8e2faea</t>
        </is>
      </c>
      <c r="F87" s="52" t="n"/>
      <c r="G87" s="52" t="n"/>
      <c r="H87" s="52" t="inlineStr"/>
    </row>
    <row r="88" s="41">
      <c r="A88" s="52" t="n">
        <v>75</v>
      </c>
      <c r="B88" s="52" t="inlineStr">
        <is>
          <t>75894-80-eu-commissions-e-commerce-sector-inquiry-some-thoughts-as-to-how-technology-c.md</t>
        </is>
      </c>
      <c r="C88" s="52" t="inlineStr">
        <is>
          <t>Article (Review)</t>
        </is>
      </c>
      <c r="D88" s="52" t="n"/>
      <c r="E88" s="52" t="inlineStr">
        <is>
          <t>595069b3-1d15-40f7-a336-131ca7ba2bb8</t>
        </is>
      </c>
      <c r="F88" s="52" t="n"/>
      <c r="G88" s="52" t="n"/>
      <c r="H88" s="52" t="inlineStr"/>
    </row>
    <row r="89" s="41">
      <c r="A89" s="52" t="n">
        <v>76</v>
      </c>
      <c r="B89" s="52" t="inlineStr">
        <is>
          <t>eu-antitrust-enforcement--17_xvi_re_adoption_by_the_european_commission_of_cartel_decisions_annulled_on_procedural_grounds_by_the_eu_courts.md</t>
        </is>
      </c>
      <c r="C89" s="52" t="inlineStr">
        <is>
          <t>Article (Review)</t>
        </is>
      </c>
      <c r="D89" s="52" t="n"/>
      <c r="E89" s="52" t="inlineStr">
        <is>
          <t>71ba5e7f-b51e-4068-b010-b7e7f422add9</t>
        </is>
      </c>
      <c r="F89" s="52" t="n"/>
      <c r="G89" s="52" t="n"/>
      <c r="H89" s="52" t="inlineStr"/>
    </row>
    <row r="90" s="41">
      <c r="A90" s="52" t="n">
        <v>77</v>
      </c>
      <c r="B90" s="52" t="inlineStr">
        <is>
          <t>62023TJ1097.md</t>
        </is>
      </c>
      <c r="C90" s="52" t="inlineStr">
        <is>
          <t>Court Decision</t>
        </is>
      </c>
      <c r="D90" s="52" t="inlineStr">
        <is>
          <t>EU</t>
        </is>
      </c>
      <c r="E90" s="52" t="inlineStr">
        <is>
          <t>17ecc724-b05f-4f42-9a28-b1282ba34327</t>
        </is>
      </c>
      <c r="F90" s="52" t="n"/>
      <c r="G90" s="52" t="n"/>
      <c r="H90" s="52" t="inlineStr"/>
    </row>
    <row r="91" s="41">
      <c r="A91" s="52" t="n">
        <v>78</v>
      </c>
      <c r="B91" s="52" t="inlineStr">
        <is>
          <t>62014TJ0447.md</t>
        </is>
      </c>
      <c r="C91" s="52" t="inlineStr">
        <is>
          <t>Court Decision</t>
        </is>
      </c>
      <c r="D91" s="52" t="inlineStr">
        <is>
          <t>EU</t>
        </is>
      </c>
      <c r="E91" s="52" t="inlineStr">
        <is>
          <t>aef64236-c9f7-4cf3-b707-108a4788237a</t>
        </is>
      </c>
      <c r="F91" s="52" t="n"/>
      <c r="G91" s="52" t="n"/>
      <c r="H91" s="52" t="inlineStr"/>
    </row>
    <row r="92" s="41">
      <c r="A92" s="52" t="n">
        <v>79</v>
      </c>
      <c r="B92" s="52" t="inlineStr">
        <is>
          <t>97230.md</t>
        </is>
      </c>
      <c r="C92" s="52" t="inlineStr">
        <is>
          <t>Bulletin article</t>
        </is>
      </c>
      <c r="D92" s="52" t="n"/>
      <c r="E92" s="52" t="inlineStr">
        <is>
          <t>e4af83cb-c9cf-4682-82a2-078b909d54dc</t>
        </is>
      </c>
      <c r="F92" s="52" t="n"/>
      <c r="G92" s="52" t="n"/>
      <c r="H92" s="52" t="inlineStr"/>
    </row>
    <row r="93" s="41">
      <c r="A93" s="52" t="n">
        <v>80</v>
      </c>
      <c r="B93" s="52" t="inlineStr">
        <is>
          <t>62014TJ0419.md</t>
        </is>
      </c>
      <c r="C93" s="52" t="inlineStr">
        <is>
          <t>Court Decision</t>
        </is>
      </c>
      <c r="D93" s="52" t="inlineStr">
        <is>
          <t>EU</t>
        </is>
      </c>
      <c r="E93" s="52" t="inlineStr">
        <is>
          <t>9a680967-760d-4fb3-a9cc-e2fd31c2ce70</t>
        </is>
      </c>
      <c r="F93" s="52" t="n"/>
      <c r="G93" s="52" t="n"/>
      <c r="H93" s="52" t="inlineStr"/>
    </row>
    <row r="94" s="41">
      <c r="A94" s="52" t="n">
        <v>81</v>
      </c>
      <c r="B94" s="52" t="inlineStr">
        <is>
          <t>62017TJ0254.md</t>
        </is>
      </c>
      <c r="C94" s="52" t="inlineStr">
        <is>
          <t>Court Decision</t>
        </is>
      </c>
      <c r="D94" s="52" t="inlineStr">
        <is>
          <t>EU</t>
        </is>
      </c>
      <c r="E94" s="52" t="inlineStr">
        <is>
          <t>bed91df8-f034-4e81-96a1-ffff25500899</t>
        </is>
      </c>
      <c r="F94" s="52" t="n"/>
      <c r="G94" s="52" t="n"/>
      <c r="H94" s="52" t="inlineStr"/>
    </row>
    <row r="95" s="41">
      <c r="A95" s="52" t="n">
        <v>82</v>
      </c>
      <c r="B95" s="52" t="inlineStr">
        <is>
          <t>62011TJ0297.md</t>
        </is>
      </c>
      <c r="C95" s="52" t="inlineStr">
        <is>
          <t>Court Decision</t>
        </is>
      </c>
      <c r="D95" s="52" t="inlineStr">
        <is>
          <t>EU</t>
        </is>
      </c>
      <c r="E95" s="52" t="inlineStr">
        <is>
          <t>b5e94e7b-4cfc-4447-a323-0eaa92692c11</t>
        </is>
      </c>
      <c r="F95" s="52" t="n"/>
      <c r="G95" s="52" t="n"/>
      <c r="H95" s="52" t="inlineStr"/>
    </row>
    <row r="96" s="41">
      <c r="A96" s="52" t="n">
        <v>83</v>
      </c>
      <c r="B96" s="52" t="inlineStr">
        <is>
          <t>118507-30-protecting-informants-in-antitrust-investigations.md</t>
        </is>
      </c>
      <c r="C96" s="52" t="inlineStr">
        <is>
          <t>Article (Review)</t>
        </is>
      </c>
      <c r="D96" s="52" t="n"/>
      <c r="E96" s="52" t="inlineStr">
        <is>
          <t>e90131de-de9c-4171-b3cd-e77f1ca3a23f</t>
        </is>
      </c>
      <c r="F96" s="52" t="n"/>
      <c r="G96" s="52" t="n"/>
      <c r="H96" s="52" t="inlineStr"/>
    </row>
    <row r="97" s="41">
      <c r="A97" s="52" t="n">
        <v>84</v>
      </c>
      <c r="B97" s="52" t="inlineStr">
        <is>
          <t>62014TJ0446.md</t>
        </is>
      </c>
      <c r="C97" s="52" t="inlineStr">
        <is>
          <t>Court Decision</t>
        </is>
      </c>
      <c r="D97" s="52" t="inlineStr">
        <is>
          <t>EU</t>
        </is>
      </c>
      <c r="E97" s="52" t="inlineStr">
        <is>
          <t>0544383c-55cc-41be-80a9-8bbf021f4238</t>
        </is>
      </c>
      <c r="F97" s="52" t="n"/>
      <c r="G97" s="52" t="n"/>
      <c r="H97" s="52" t="inlineStr"/>
    </row>
    <row r="98" s="41">
      <c r="A98" s="52" t="n">
        <v>85</v>
      </c>
      <c r="B98" s="52" t="inlineStr">
        <is>
          <t>98079.md</t>
        </is>
      </c>
      <c r="C98" s="52" t="inlineStr">
        <is>
          <t>Bulletin article</t>
        </is>
      </c>
      <c r="D98" s="52" t="n"/>
      <c r="E98" s="52" t="inlineStr">
        <is>
          <t>a07313b7-ec61-4850-88ee-1bd8a2ce736b</t>
        </is>
      </c>
      <c r="F98" s="52" t="n"/>
      <c r="G98" s="52" t="n"/>
      <c r="H98" s="52" t="inlineStr"/>
    </row>
    <row r="99" s="41">
      <c r="A99" s="52" t="n">
        <v>86</v>
      </c>
      <c r="B99" s="52" t="inlineStr">
        <is>
          <t>125471-20-dawn-raids-the-general-court-upholds-the-european-commissions-overall-assessm.md</t>
        </is>
      </c>
      <c r="C99" s="52" t="inlineStr">
        <is>
          <t>Bulletin article</t>
        </is>
      </c>
      <c r="D99" s="52" t="n"/>
      <c r="E99" s="52" t="inlineStr">
        <is>
          <t>e97ed81a-60ca-4112-9207-21a8613078bd</t>
        </is>
      </c>
      <c r="F99" s="52" t="n"/>
      <c r="G99" s="52" t="n"/>
      <c r="H99" s="52" t="inlineStr"/>
    </row>
    <row r="100" s="41">
      <c r="A100" s="52" t="n">
        <v>87</v>
      </c>
      <c r="B100" s="52" t="inlineStr">
        <is>
          <t>62023CC0070.md</t>
        </is>
      </c>
      <c r="C100" s="52" t="inlineStr">
        <is>
          <t>Bulletin article</t>
        </is>
      </c>
      <c r="D100" s="52" t="inlineStr">
        <is>
          <t>EU</t>
        </is>
      </c>
      <c r="E100" s="52" t="inlineStr">
        <is>
          <t>2a493229-62c6-48e3-be4c-c06477e996fc</t>
        </is>
      </c>
      <c r="F100" s="52" t="n"/>
      <c r="G100" s="52" t="n"/>
      <c r="H100" s="52" t="inlineStr"/>
    </row>
    <row r="101" s="41">
      <c r="A101" s="52" t="n">
        <v>88</v>
      </c>
      <c r="B101" s="52" t="inlineStr">
        <is>
          <t>62015TJ0274.md</t>
        </is>
      </c>
      <c r="C101" s="52" t="inlineStr">
        <is>
          <t>Court Decision</t>
        </is>
      </c>
      <c r="D101" s="52" t="inlineStr">
        <is>
          <t>EU</t>
        </is>
      </c>
      <c r="E101" s="52" t="inlineStr">
        <is>
          <t>d42f923b-c267-4df9-acb3-5abda361a0d6</t>
        </is>
      </c>
      <c r="F101" s="52" t="n"/>
      <c r="G101" s="52" t="n"/>
      <c r="H101" s="52" t="inlineStr"/>
    </row>
    <row r="102" s="41">
      <c r="A102" s="52" t="n">
        <v>89</v>
      </c>
      <c r="B102" s="52" t="inlineStr">
        <is>
          <t>82445.md</t>
        </is>
      </c>
      <c r="C102" s="52" t="inlineStr">
        <is>
          <t>Article (Review)</t>
        </is>
      </c>
      <c r="D102" s="52" t="n"/>
      <c r="E102" s="52" t="inlineStr">
        <is>
          <t>1be45df1-87e1-4ba2-bdd9-76e5fe184f97</t>
        </is>
      </c>
      <c r="F102" s="52" t="n"/>
      <c r="G102" s="52" t="n"/>
      <c r="H102" s="52" t="inlineStr"/>
    </row>
    <row r="103" s="41">
      <c r="A103" s="52" t="n">
        <v>90</v>
      </c>
      <c r="B103" s="52" t="inlineStr">
        <is>
          <t>118650-10-uk-home-sweet-home-cma-granted-domestic-search-warrant-on-appeal-by-english-h.md</t>
        </is>
      </c>
      <c r="C103" s="52" t="inlineStr">
        <is>
          <t>Bulletin article</t>
        </is>
      </c>
      <c r="D103" s="52" t="n"/>
      <c r="E103" s="52" t="inlineStr">
        <is>
          <t>6379cca0-175a-4e5a-bee7-18dcb8d2e7d2</t>
        </is>
      </c>
      <c r="F103" s="52" t="n"/>
      <c r="G103" s="52" t="n"/>
      <c r="H103" s="52" t="inlineStr"/>
    </row>
    <row r="104" s="41">
      <c r="A104" s="52" t="n">
        <v>91</v>
      </c>
      <c r="B104" s="52" t="inlineStr">
        <is>
          <t>117744-10-uk-home-sweet-home-cma-granted-domestic-search-warrant-on-appeal-by-english-h.md</t>
        </is>
      </c>
      <c r="C104" s="52" t="inlineStr">
        <is>
          <t>Bulletin article</t>
        </is>
      </c>
      <c r="D104" s="52" t="n"/>
      <c r="E104" s="52" t="inlineStr">
        <is>
          <t>bbfc08e4-1e34-4884-9305-d31c2bf532de</t>
        </is>
      </c>
      <c r="F104" s="52" t="n"/>
      <c r="G104" s="52" t="n"/>
      <c r="H104" s="52" t="inlineStr"/>
    </row>
    <row r="105" s="41">
      <c r="A105" s="52" t="n">
        <v>92</v>
      </c>
      <c r="B105" s="52" t="inlineStr">
        <is>
          <t>93706-0060-dawn-raids-advocate-general-kokott-calls-on-the-court-of-justice-to-uphold.md</t>
        </is>
      </c>
      <c r="C105" s="52" t="inlineStr">
        <is>
          <t>Bulletin article</t>
        </is>
      </c>
      <c r="D105" s="52" t="n"/>
      <c r="E105" s="52" t="inlineStr">
        <is>
          <t>42a1613c-b25b-476e-a3b4-e1cac9b5add2</t>
        </is>
      </c>
      <c r="F105" s="52" t="n"/>
      <c r="G105" s="52" t="n"/>
      <c r="H105" s="52" t="inlineStr"/>
    </row>
    <row r="106" s="41">
      <c r="A106" s="52" t="n">
        <v>93</v>
      </c>
      <c r="B106" s="52" t="inlineStr">
        <is>
          <t>62014TJ0438.md</t>
        </is>
      </c>
      <c r="C106" s="52" t="inlineStr">
        <is>
          <t>Court Decision</t>
        </is>
      </c>
      <c r="D106" s="52" t="inlineStr">
        <is>
          <t>EU</t>
        </is>
      </c>
      <c r="E106" s="52" t="inlineStr">
        <is>
          <t>6a32efef-ff93-4a71-a7ee-b89b0ce42186</t>
        </is>
      </c>
      <c r="F106" s="52" t="n"/>
      <c r="G106" s="52" t="n"/>
      <c r="H106" s="52" t="inlineStr"/>
    </row>
    <row r="107" s="41">
      <c r="A107" s="52" t="n">
        <v>94</v>
      </c>
      <c r="B107" s="52" t="inlineStr">
        <is>
          <t>62014TJ0448.md</t>
        </is>
      </c>
      <c r="C107" s="52" t="inlineStr">
        <is>
          <t>Court Decision</t>
        </is>
      </c>
      <c r="D107" s="52" t="inlineStr">
        <is>
          <t>EU</t>
        </is>
      </c>
      <c r="E107" s="52" t="inlineStr">
        <is>
          <t>a1cedab5-8bac-4b53-b449-d548df1478bd</t>
        </is>
      </c>
      <c r="F107" s="52" t="n"/>
      <c r="G107" s="52" t="n"/>
      <c r="H107" s="52" t="inlineStr"/>
    </row>
    <row r="108" s="41">
      <c r="A108" s="52" t="n">
        <v>95</v>
      </c>
      <c r="B108" s="52" t="inlineStr">
        <is>
          <t>75892-80-eu-commissions-e-commerce-sector-inquiry-some-thoughts-as-to-how-technology-c.md</t>
        </is>
      </c>
      <c r="C108" s="52" t="inlineStr">
        <is>
          <t>Article (Review)</t>
        </is>
      </c>
      <c r="D108" s="52" t="n"/>
      <c r="E108" s="52" t="inlineStr">
        <is>
          <t>1c04e813-1e67-42d6-8df6-082a1213321b</t>
        </is>
      </c>
      <c r="F108" s="52" t="n"/>
      <c r="G108" s="52" t="n"/>
      <c r="H108" s="52" t="inlineStr"/>
    </row>
    <row r="109" s="41">
      <c r="A109" s="52" t="n">
        <v>96</v>
      </c>
      <c r="B109" s="52" t="inlineStr">
        <is>
          <t>62011TJ0090.md</t>
        </is>
      </c>
      <c r="C109" s="52" t="inlineStr">
        <is>
          <t>Court Decision</t>
        </is>
      </c>
      <c r="D109" s="52" t="inlineStr">
        <is>
          <t>EU</t>
        </is>
      </c>
      <c r="E109" s="52" t="inlineStr">
        <is>
          <t>197c7e77-a1de-4f47-ac70-5bda9b6053b2</t>
        </is>
      </c>
      <c r="F109" s="52" t="n"/>
      <c r="G109" s="52" t="n"/>
      <c r="H109" s="52" t="inlineStr"/>
    </row>
    <row r="110" s="41">
      <c r="A110" s="52" t="n">
        <v>97</v>
      </c>
      <c r="B110" s="52" t="inlineStr">
        <is>
          <t>62014CJ0247.md</t>
        </is>
      </c>
      <c r="C110" s="52" t="inlineStr">
        <is>
          <t>Court Decision</t>
        </is>
      </c>
      <c r="D110" s="52" t="inlineStr">
        <is>
          <t>EU</t>
        </is>
      </c>
      <c r="E110" s="52" t="inlineStr">
        <is>
          <t>df8c7156-3176-4c1f-8b15-ec687b386142</t>
        </is>
      </c>
      <c r="F110" s="52" t="n"/>
      <c r="G110" s="52" t="n"/>
      <c r="H110" s="52" t="inlineStr"/>
    </row>
    <row r="111" s="41">
      <c r="A111" s="52" t="n">
        <v>98</v>
      </c>
      <c r="B111" s="52" t="inlineStr">
        <is>
          <t>62011TJ0486.md</t>
        </is>
      </c>
      <c r="C111" s="52" t="inlineStr">
        <is>
          <t>Court Decision</t>
        </is>
      </c>
      <c r="D111" s="52" t="inlineStr">
        <is>
          <t>EU</t>
        </is>
      </c>
      <c r="E111" s="52" t="inlineStr">
        <is>
          <t>df26346c-b3ca-4e67-871e-346b0ddeae3f</t>
        </is>
      </c>
      <c r="F111" s="52" t="n"/>
      <c r="G111" s="52" t="n"/>
      <c r="H111" s="52" t="inlineStr"/>
    </row>
    <row r="112" s="41">
      <c r="A112" s="52" t="n">
        <v>99</v>
      </c>
      <c r="B112" s="52" t="inlineStr">
        <is>
          <t>62011TJ0306.md</t>
        </is>
      </c>
      <c r="C112" s="52" t="inlineStr">
        <is>
          <t>Court Decision</t>
        </is>
      </c>
      <c r="D112" s="52" t="inlineStr">
        <is>
          <t>EU</t>
        </is>
      </c>
      <c r="E112" s="52" t="inlineStr">
        <is>
          <t>f58d855b-9067-4c2d-8ce5-3b3937a8adc5</t>
        </is>
      </c>
      <c r="F112" s="52" t="n"/>
      <c r="G112" s="52" t="n"/>
      <c r="H112" s="52" t="inlineStr"/>
    </row>
    <row r="113" s="41">
      <c r="A113" s="52" t="n">
        <v>100</v>
      </c>
      <c r="B113" s="52" t="inlineStr">
        <is>
          <t>62020TJ0452.md</t>
        </is>
      </c>
      <c r="C113" s="52" t="inlineStr">
        <is>
          <t>Court Decision</t>
        </is>
      </c>
      <c r="D113" s="52" t="inlineStr">
        <is>
          <t>EU</t>
        </is>
      </c>
      <c r="E113" s="52" t="inlineStr">
        <is>
          <t>b2ad17a9-5061-42da-938b-6bc18c4c1e54</t>
        </is>
      </c>
      <c r="F113" s="52" t="n"/>
      <c r="G113" s="52" t="n"/>
      <c r="H113" s="52" t="inlineStr"/>
    </row>
    <row r="114" s="41">
      <c r="A114" s="52" t="n"/>
      <c r="B114" s="52" t="n"/>
      <c r="C114" s="52" t="n"/>
      <c r="D114" s="52" t="n"/>
      <c r="E114" s="52" t="n"/>
      <c r="F114" s="52" t="n"/>
      <c r="G114" s="52" t="n"/>
      <c r="H114" s="52" t="n"/>
    </row>
    <row r="115" ht="15.75" customHeight="1" s="41">
      <c r="A115" s="10" t="inlineStr">
        <is>
          <t>Claim-by-claim review</t>
        </is>
      </c>
      <c r="G115" s="40" t="n"/>
      <c r="H115" s="40" t="n"/>
    </row>
    <row r="116" ht="15.75" customHeight="1" s="41">
      <c r="A116" s="27" t="inlineStr">
        <is>
          <t>Claim ID</t>
        </is>
      </c>
      <c r="B116" s="27" t="inlineStr">
        <is>
          <t>Claim from answer</t>
        </is>
      </c>
      <c r="C116" s="27" t="inlineStr">
        <is>
          <t>Cited document</t>
        </is>
      </c>
      <c r="D116" s="27" t="inlineStr">
        <is>
          <t>Expert verdict</t>
        </is>
      </c>
      <c r="E116" s="27" t="inlineStr">
        <is>
          <t>Cited passage</t>
        </is>
      </c>
      <c r="F116" s="27" t="inlineStr">
        <is>
          <t>Required fix / comment</t>
        </is>
      </c>
      <c r="G116" s="40" t="n"/>
      <c r="H116" s="40" t="n"/>
    </row>
    <row r="117" ht="15.75" customHeight="1" s="41">
      <c r="A117" s="23" t="n">
        <v>1</v>
      </c>
      <c r="B117" s="23" t="inlineStr">
        <is>
          <t>Before the European Commission may adopt a decision ordering an inspection ("dawn raid") under Article 20(4) of Regulation No 1/2003, it must already possess information constituting sufficiently serious indicia ("indices suffisamment sérieux") of an infringement of the competition rules, since an inspection is intended to gather documentary evidence to verify the accuracy and scope of a factual and legal situation about which the Commission already has some information.</t>
        </is>
      </c>
      <c r="C117" s="23" t="inlineStr">
        <is>
          <t>[11] 62023TJ0263.md
[58] 103227-30-des-limites-necessaires-aux-pouvoirs-dinspection-de-la-commission.md</t>
        </is>
      </c>
      <c r="D117" s="23" t="n"/>
      <c r="E117" s="23" t="inlineStr">
        <is>
          <t>[62023TJ0263.md l.96-96] 58 In the first place, as regards the existence of sufficiently serious indicia prior to the adoption of the contested decision, according to settled case-law, an inspection decision must be directed at gathering the necessary documentary evidence to check the actual existence and scope of a given factual and legal situation concerning which the Commission already possesses certain information, constituting sufficiently serious indicia for suspecting an infringement of the competition rules (see judgment of 20 June 2018, České dráhy v Commission , T‑325/16, EU:T:2018:368, paragraph 35 and the case-law cited).
[103227-30-des-limites-necessaires-aux-pouvoirs-dinspection-de-la-commission.md l.113-116] **15.** Il s’ensuit qu’au moment d’adopter une décision d’inspection, il est impératif que la Commission soit [_Hlk72334900&lt;-]
au minimum en possession d’informations constituant “*des indices suffisamment sérieux permettant de suspecter une infraction aux règles de concurrence **et justifiant une ingérence dans la sphère d’activité privée de *[l’]*entreprise*”[[Arrêt *Nexans*, préc., pts 43-45. V. égal. Trib. UE, 25 novembre 2014, *Orange c/ Commission*, aff. T-402/13, EU:T:2014:991, pt 84. V. égal. : Arrêt *České dráhy*, préc., pt 36 : “[L]*a possession d’indices suffisamment sérieux *[par la Commission constitue]* une condition sine qua non pour *(…)* ordonner une inspection* (…)”
]].</t>
        </is>
      </c>
      <c r="F117" s="23" t="n"/>
      <c r="G117" s="40" t="n"/>
      <c r="H117" s="40" t="n"/>
    </row>
    <row r="118" ht="15.75" customHeight="1" s="41">
      <c r="A118" s="23" t="n">
        <v>2</v>
      </c>
      <c r="B118" s="23" t="inlineStr">
        <is>
          <t>Having reasonable grounds for suspecting an infringement of the competition rules is thus a prerequisite for the Commission to order an inspection under Article 20(4) of Regulation No 1/2003, and the EU Courts must satisfy themselves, when reviewing an inspection decision, that such sufficiently serious indicia existed at the moment the decision was adopted; commentators identify this requirement as the most effective of the safeguards surrounding the Commission's inspection power, since inspected companies regularly succeed in obtaining access to the underlying indicia and the General Court will review whether the scope of the inspection has been properly defined by reference to them.</t>
        </is>
      </c>
      <c r="C118" s="23" t="inlineStr">
        <is>
          <t>[11] 62023TJ0263.md
[2] inspections-eu-law-2nd--3_chapter_1_-_inspections_upon_decision_regulation_1_2003_article_20_4.md</t>
        </is>
      </c>
      <c r="D118" s="23" t="n"/>
      <c r="E118" s="23" t="inlineStr">
        <is>
          <t>[62023TJ0263.md l.97-100] 59 In other words, having reasonable grounds for suspecting infringement of the competition rules is a prerequisite for the Commission to order an inspection pursuant to Article 20(4) of Council Regulation No 1/2003 (judgment of 20 June 2018, České dráhy v Commission , T‑325/16, EU:T:2018:368, paragraph 36).
60 It must also be borne in mind that the various indicia which make suspecting an infringement possible must not be assessed separately but as a whole, and can be mutually supportive (see judgments of 27 November 2014, Alstom Grid v Commission , T‑521/09, EU:T:2014:1000, paragraph 54 and the case-law cited, and of 29 February 2016, EGL and Others v Commission , T‑251/12, not published, EU:T:2016:114, paragraph 150 and the case-law cited).
61 When the Courts of the European Union are c
[inspections-eu-law-2nd--3_chapter_1_-_inspections_upon_decision_regulation_1_2003_article_20_4.md l.999-1019] In the existing legal framework, the first guarantee stands out as probably more
effective than others, at least after the inspection: reasonable grounds must exist,
based on elements gathered by the Commission at the time the decision is adopted,
and the inspection decision must be strictly limited to the presumptions arising
therefrom. In an action challenging the legality of the inspection decision, inspected
companies regularly succeed in obtaining access to these elements and the General
Court will review whether the scope of the inspection has been defined accordingly.
88.
So-called fishing expeditions are not authorised and the legality of inspections
ordered without sufficient grounds may effectively be challenged before the ECJ
(para 806). As will be seen, the courts allow the C</t>
        </is>
      </c>
      <c r="F118" s="23" t="n"/>
      <c r="G118" s="40" t="n"/>
      <c r="H118" s="40" t="n"/>
    </row>
    <row r="119" ht="15.75" customHeight="1" s="41">
      <c r="A119" s="23" t="n">
        <v>4</v>
      </c>
      <c r="B119" s="23" t="inlineStr">
        <is>
          <t>The requirement of sufficiently serious indicia exists precisely to prevent the Commission from launching purely exploratory inspections or "fishing expeditions," a practice the General Court has confirmed is incompatible with the rule of law, in its Nexans judgment.</t>
        </is>
      </c>
      <c r="C119" s="23" t="inlineStr">
        <is>
          <t>[58] 103227-30-des-limites-necessaires-aux-pouvoirs-dinspection-de-la-commission.md</t>
        </is>
      </c>
      <c r="D119" s="23" t="n"/>
      <c r="E119" s="23" t="inlineStr">
        <is>
          <t>[103227-30-des-limites-necessaires-aux-pouvoirs-dinspection-de-la-commission.md l.118-120] **16.** Cette exigence est en effet essentielle pour assurer la réalité des droits précités. Si la Commission ne devait pas justifier ses inspections par l’existence d’“*indices suffisamment sérieux*”, elle pourrait en effet se lancer dans des inspections purement “*exploratoires*” (“*expéditions de pêche*” ou “*fishing expeditions*”), qui peuvent caractériser certains États non démocratiques, mais sont incompatibles avec les exigences précitées, inhérentes à un État de droit. L’interdiction pour la Commission de se lancer dans de telles inspections exploratoires est indiscutable et a notamment été confirmée par le Tribunal de l’Union européenne (le “Tribunal”) dans son arrêt *Nexans**[[Arrêt {Nexans*, préc., pts 65 et 67. V. égal. Comm. CE, Livre vert sur la présomption d’innocence, COM(2</t>
        </is>
      </c>
      <c r="F119" s="23" t="n"/>
      <c r="G119" s="40" t="n"/>
      <c r="H119" s="40" t="n"/>
    </row>
    <row r="120" ht="15.75" customHeight="1" s="41">
      <c r="A120" s="23" t="n">
        <v>5</v>
      </c>
      <c r="B120" s="23" t="inlineStr">
        <is>
          <t>The various indicia relied upon by the Commission need not be assessed separately but may be considered as a whole and can be mutually supportive, so that individually incomplete pieces of information may collectively meet the sufficiently-serious-indicia threshold, as the General Court confirmed in Symrise v Commission.</t>
        </is>
      </c>
      <c r="C120" s="23" t="inlineStr">
        <is>
          <t>[11] 62023TJ0263.md</t>
        </is>
      </c>
      <c r="D120" s="23" t="n"/>
      <c r="E120" s="23" t="inlineStr">
        <is>
          <t>[62023TJ0263.md l.98-98] 60 It must also be borne in mind that the various indicia which make suspecting an infringement possible must not be assessed separately but as a whole, and can be mutually supportive (see judgments of 27 November 2014, Alstom Grid v Commission , T‑521/09, EU:T:2014:1000, paragraph 54 and the case-law cited, and of 29 February 2016, EGL and Others v Commission , T‑251/12, not published, EU:T:2016:114, paragraph 150 and the case-law cited).</t>
        </is>
      </c>
      <c r="F120" s="23" t="n"/>
      <c r="G120" s="40" t="n"/>
      <c r="H120" s="40" t="n"/>
    </row>
    <row r="121" ht="15.75" customHeight="1" s="41">
      <c r="A121" s="23" t="n">
        <v>6</v>
      </c>
      <c r="B121" s="23" t="inlineStr">
        <is>
          <t>When the EU Courts review an inspection decision to ensure it is not arbitrary, they must determine what indicia the Commission actually possessed at the time it ordered the inspection, assess whether those indicia were sufficiently serious to suspect the infringement at issue, and ascertain whether they permit suspicion of the involvement of the specific company inspected, as the General Court did in dismissing Symrise's challenge.</t>
        </is>
      </c>
      <c r="C121" s="23" t="inlineStr">
        <is>
          <t>[11] 62023TJ0263.md</t>
        </is>
      </c>
      <c r="D121" s="23" t="n"/>
      <c r="E121" s="23" t="inlineStr">
        <is>
          <t>[62023TJ0263.md l.99-100] 61 When the Courts of the European Union are called upon, as in the present case, to review an inspection decision in order to ensure that it is in no way arbitrary, they must satisfy themselves that there are sufficiently serious indicia for suspecting an infringement of the competition rules by the undertaking concerned (see, to that effect, judgments of 14 November 2012, Nexans France and Nexans v Commission , T‑135/09, EU:T:2012:596, and of 20 June 2018, České dráhy v Commission , T‑325/16, EU:T:2018:368, paragraph 48).
62 It is therefore necessary to determine the indicia in the Commission’s possession on the basis of which it ordered the inspection at issue, assess whether those indicia were sufficiently serious for it to suspect that the infringements at issue had been committed and</t>
        </is>
      </c>
      <c r="F121" s="23" t="n"/>
      <c r="G121" s="40" t="n"/>
      <c r="H121" s="40" t="n"/>
    </row>
    <row r="122" ht="15.75" customHeight="1" s="41">
      <c r="A122" s="23" t="n">
        <v>7</v>
      </c>
      <c r="B122" s="23" t="inlineStr">
        <is>
          <t>In applying this standard to Symrise, the General Court found that third-party replies to Article 18 information requests and a Commission open-source intelligence report, taken together, were capable of demonstrating that the Commission possessed sufficiently specific and clear indicia to suspect that the four largest fragrance manufacturers had aligned pricing, exchanged sensitive business information and coordinated strategic conduct through their trade association, even though some individual annexes came from a single source or did not name the applicant directly.</t>
        </is>
      </c>
      <c r="C122" s="23" t="inlineStr">
        <is>
          <t>[11] 62023TJ0263.md</t>
        </is>
      </c>
      <c r="D122" s="23" t="n"/>
      <c r="E122" s="23" t="inlineStr">
        <is>
          <t>[62023TJ0263.md l.117-122] 72 That evidence is therefore capable of demonstrating that, prior to the contested decision, the Commission possessed sufficiently specific and clear indicia for it to suspect that the four largest fragrance manufacturers, which include the applicant, aligned, imposed and defended their industrial policy to the detriment of their other competitors through IFRA, shared, during or at the occasion of IFRA meetings, sensitive business information concerning those competitors, aligned their business behaviour in respect of their customers and, lastly, were able to coordinate their strategic behaviour regarding tenders.
73 Such a finding cannot be called into question by the applicant’s arguments that those documents cannot constitute serious material indicia that may lead the Commission to sus</t>
        </is>
      </c>
      <c r="F122" s="23" t="n"/>
      <c r="G122" s="40" t="n"/>
      <c r="H122" s="40" t="n"/>
    </row>
    <row r="123" ht="15.75" customHeight="1" s="41">
      <c r="A123" s="23" t="n">
        <v>8</v>
      </c>
      <c r="B123" s="23" t="inlineStr">
        <is>
          <t>Beyond the substantive indicia threshold, Article 20(4) of Regulation No 1/2003 requires that an inspection decision state, as precisely as possible, the subject matter and purpose of the inspection, and the Court of Justice has held that this obligation to state reasons is a fundamental requirement both to demonstrate that the intervention was proportionate and to enable the undertaking to understand the scope of its duty to cooperate while preserving its rights of defence.</t>
        </is>
      </c>
      <c r="C123" s="23" t="inlineStr">
        <is>
          <t>[11] 62023TJ0263.md</t>
        </is>
      </c>
      <c r="D123" s="23" t="n"/>
      <c r="E123" s="23" t="inlineStr">
        <is>
          <t>[62023TJ0263.md l.44-45] 22 Thus, so far as concerns, specifically, the Commission’s inspection decisions, it is apparent from Article 20(4) of Regulation No 1/2003 that those inspection decisions must indicate, inter alia, the subject matter and purpose of the inspection.
That obligation to state specific reasons constitutes, as the Court of Justice has made clear, a fundamental requirement not only to show that the intervention envisaged within the undertakings concerned was proportional, but also to put those undertakings in a position to understand the scope of their duty to cooperate, while preserving their rights of defence (see judgment of 25 June 2014, Nexans and Nexans France v Commission , C‑37/13 P, EU:C:2014:2030, paragraph 34 and the case-law cited).</t>
        </is>
      </c>
      <c r="F123" s="23" t="n"/>
      <c r="G123" s="40" t="n"/>
      <c r="H123" s="40" t="n"/>
    </row>
    <row r="124" ht="15.75" customHeight="1" s="41">
      <c r="A124" s="23" t="n">
        <v>9</v>
      </c>
      <c r="B124" s="23" t="inlineStr">
        <is>
          <t>That said, the Commission is not required to communicate to the undertaking all the information it holds concerning the presumed infringement, to define the relevant market precisely, to set out the exact legal characterization of the presumed infringement, or to indicate the precise period during which the infringement was allegedly committed, provided the decision identifies the essential features of the suspected infringement.</t>
        </is>
      </c>
      <c r="C124" s="23" t="inlineStr">
        <is>
          <t>[11] 62023TJ0263.md</t>
        </is>
      </c>
      <c r="D124" s="23" t="n"/>
      <c r="E124" s="23" t="inlineStr">
        <is>
          <t>[62023TJ0263.md l.46-47] 23 In that regard, it must be borne in mind that, the Commission is not required to communicate to the addressee of an inspection decision all the information at its disposal concerning the presumed infringements, or to make a precise legal analysis of those infringements, providing it clearly indicates the presumed facts which it intends to investigate (see judgment of 25 June 2014, Nexans and Nexans France v Commission , C‑37/13 P, EU:C:2014:2030, paragraph 35 and the case-law cited).
24 Although, admittedly, the Commission is obliged to indicate as precisely as possible the evidence sought and the matters to which the investigation must relate, it is, on the other hand, not essential in a decision ordering an inspection to define precisely the relevant market, to set out the exact legal</t>
        </is>
      </c>
      <c r="F124" s="23" t="n"/>
      <c r="G124" s="40" t="n"/>
      <c r="H124" s="40" t="n"/>
    </row>
    <row r="125" ht="15.75" customHeight="1" s="41">
      <c r="A125" s="23" t="n">
        <v>12</v>
      </c>
      <c r="B125" s="23" t="inlineStr">
        <is>
          <t>Commentators have nonetheless criticized recent General Court rulings for allowing the Commission to satisfy the sufficiently-serious-indicia threshold by relying on unilateral, post-facto internal notes of oral statements from third parties rather than on formally recorded and approved declarations, arguing that such informality risks undermining the very safeguard the indicia requirement is meant to provide against arbitrary or purely exploratory inspections.</t>
        </is>
      </c>
      <c r="C125" s="23" t="inlineStr">
        <is>
          <t>[58] 103227-30-des-limites-necessaires-aux-pouvoirs-dinspection-de-la-commission.md</t>
        </is>
      </c>
      <c r="D125" s="23" t="n"/>
      <c r="E125" s="23" t="inlineStr">
        <is>
          <t>[103227-30-des-limites-necessaires-aux-pouvoirs-dinspection-de-la-commission.md l.169-181] **24.** Pour illustrer la problématique, il est sans doute utile de faire référence ici un peu plus longuement aux récents arrêts du Tribunal, rendus le 5 octobre 2020 dans les affaires T-249/17, *Casino, Guichard-Perrachon et Achats Marchandises Casino*, T-254/17, *Intermarché Casino Achats* et T-255/17, *ITM**[[Trib. UE, 5 octobre 2020, {Casino, Guichard-Perrachon et AMC c/ Commission*, aff. T-249/17, EU:T:2020:458.
]]}. Ces arrêts soulèvent en effet très directement la question des justifications dont la Commission doit disposer pour exercer son pouvoir d’inspection. Plus spécifiquement, ils soulèvent la question, en droit de la concurrence – voire au-delà ? –, de la légitimité, pour la Commission, de mener des inspections auprès de justiciables, lorsque celle-ci ne dispose comme justi</t>
        </is>
      </c>
      <c r="F125" s="23" t="n"/>
      <c r="G125" s="40" t="n"/>
      <c r="H125" s="40" t="n"/>
    </row>
    <row r="126" ht="15.75" customHeight="1" s="41">
      <c r="A126" s="40" t="n"/>
      <c r="B126" s="40" t="n"/>
      <c r="C126" s="40" t="n"/>
      <c r="D126" s="40" t="n"/>
      <c r="E126" s="40" t="n"/>
      <c r="F126" s="40" t="n"/>
      <c r="G126" s="40" t="n"/>
      <c r="H126" s="40" t="n"/>
    </row>
    <row r="127" ht="15.75" customHeight="1" s="41">
      <c r="A127" s="44" t="inlineStr">
        <is>
          <t>Final expert verdict</t>
        </is>
      </c>
    </row>
    <row r="128" ht="15.75" customHeight="1" s="41">
      <c r="A128" s="28" t="inlineStr">
        <is>
          <t>Reviewer</t>
        </is>
      </c>
      <c r="B128" s="23" t="n"/>
      <c r="C128" s="28" t="n"/>
      <c r="D128" s="29" t="n"/>
      <c r="E128" s="23" t="n"/>
      <c r="F128" s="23" t="n"/>
      <c r="G128" s="23" t="n"/>
      <c r="H128" s="23" t="n"/>
    </row>
    <row r="129" ht="15.75" customHeight="1" s="41">
      <c r="A129" s="28" t="inlineStr">
        <is>
          <t>Is the answer acceptable?</t>
        </is>
      </c>
      <c r="B129" s="30" t="n"/>
      <c r="C129" s="28" t="n"/>
      <c r="D129" s="29" t="n"/>
      <c r="E129" s="23" t="n"/>
      <c r="F129" s="23" t="n"/>
      <c r="G129" s="23" t="n"/>
      <c r="H129" s="23" t="n"/>
    </row>
    <row r="130" ht="15.75" customHeight="1" s="41">
      <c r="A130" s="28" t="inlineStr">
        <is>
          <t>Overall comment / required fixes</t>
        </is>
      </c>
      <c r="B130" s="23" t="n"/>
      <c r="C130" s="45" t="n"/>
      <c r="D130" s="45" t="n"/>
      <c r="E130" s="45" t="n"/>
      <c r="F130" s="45" t="n"/>
      <c r="G130" s="45" t="n"/>
      <c r="H130" s="46" t="n"/>
    </row>
    <row r="131" ht="15.75" customHeight="1" s="41">
      <c r="A131" s="28" t="inlineStr">
        <is>
          <t>Review completed?</t>
        </is>
      </c>
      <c r="B131" s="30" t="n"/>
      <c r="C131" s="28" t="n"/>
      <c r="D131" s="29" t="n"/>
      <c r="E131" s="23" t="n"/>
      <c r="F131" s="23" t="n"/>
      <c r="G131" s="23" t="n"/>
      <c r="H131" s="23" t="n"/>
    </row>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c r="A160" s="44" t="inlineStr">
        <is>
          <t>Original source notes</t>
        </is>
      </c>
      <c r="I160" s="40" t="n"/>
      <c r="J160" s="40" t="n"/>
    </row>
    <row r="161" ht="15.75" customHeight="1" s="41">
      <c r="A161" s="28" t="inlineStr">
        <is>
          <t>WAB notes</t>
        </is>
      </c>
      <c r="B161" s="23" t="inlineStr">
        <is>
          <t>Split from the question 31 following Carolina’s feedback. Question 1.</t>
        </is>
      </c>
      <c r="C161" s="45" t="n"/>
      <c r="D161" s="45" t="n"/>
      <c r="E161" s="45" t="n"/>
      <c r="F161" s="45" t="n"/>
      <c r="G161" s="45" t="n"/>
      <c r="H161" s="46" t="n"/>
      <c r="I161" s="40" t="n"/>
      <c r="J161" s="40" t="n"/>
    </row>
    <row r="162" ht="15.75" customHeight="1" s="41">
      <c r="A162" s="28" t="inlineStr">
        <is>
          <t>Reviewer notes from question approval</t>
        </is>
      </c>
      <c r="B162" s="23" t="inlineStr">
        <is>
          <t>agreed.</t>
        </is>
      </c>
      <c r="C162" s="47" t="n"/>
      <c r="D162" s="47" t="n"/>
      <c r="E162" s="47" t="n"/>
      <c r="F162" s="47" t="n"/>
      <c r="G162" s="47" t="n"/>
      <c r="H162" s="48" t="n"/>
      <c r="I162" s="40" t="n"/>
      <c r="J162" s="40" t="n"/>
    </row>
    <row r="163" ht="15.75" customHeight="1" s="41">
      <c r="A163" s="23" t="n"/>
      <c r="B163" s="49" t="n"/>
      <c r="C163" s="50" t="n"/>
      <c r="D163" s="50" t="n"/>
      <c r="E163" s="50" t="n"/>
      <c r="F163" s="50" t="n"/>
      <c r="G163" s="50" t="n"/>
      <c r="H163" s="51" t="n"/>
      <c r="I163" s="40" t="n"/>
      <c r="J163" s="40" t="n"/>
    </row>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54.xml><?xml version="1.0" encoding="utf-8"?>
<worksheet xmlns="http://schemas.openxmlformats.org/spreadsheetml/2006/main">
  <sheetPr>
    <outlinePr summaryBelow="1" summaryRight="1"/>
    <pageSetUpPr/>
  </sheetPr>
  <dimension ref="A1:J72"/>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2" customWidth="1" style="41" min="1" max="1"/>
    <col width="34" customWidth="1" style="41" min="2" max="2"/>
    <col width="22" customWidth="1" style="41" min="3" max="3"/>
    <col width="18" customWidth="1" style="41" min="4" max="4"/>
    <col width="20" customWidth="1" style="41" min="5" max="5"/>
    <col width="30" customWidth="1" style="41" min="6" max="6"/>
    <col width="34" customWidth="1" style="41" min="7" max="7"/>
    <col width="18" customWidth="1" style="41" min="8" max="9"/>
    <col width="30" customWidth="1" style="41" min="10" max="10"/>
    <col width="8.710000000000001" customWidth="1" style="41" min="11" max="26"/>
  </cols>
  <sheetData>
    <row r="1" ht="27.75" customHeight="1" s="41">
      <c r="A1" s="43" t="inlineStr">
        <is>
          <t>Q50 — Expert Review</t>
        </is>
      </c>
    </row>
    <row r="2" hidden="1" s="41">
      <c r="A2" s="44" t="inlineStr">
        <is>
          <t>Question metadata</t>
        </is>
      </c>
    </row>
    <row r="3" hidden="1" s="41">
      <c r="A3" s="13" t="inlineStr">
        <is>
          <t>Question ID</t>
        </is>
      </c>
      <c r="B3" s="39" t="n">
        <v>50</v>
      </c>
    </row>
    <row r="4" hidden="1" s="41">
      <c r="A4" s="13" t="inlineStr">
        <is>
          <t>Topic</t>
        </is>
      </c>
      <c r="B4" s="40" t="inlineStr">
        <is>
          <t>Dawn raids — grounds for an inspection</t>
        </is>
      </c>
    </row>
    <row r="5" hidden="1" s="41">
      <c r="A5" s="13" t="inlineStr">
        <is>
          <t>Scope</t>
        </is>
      </c>
      <c r="B5" s="40" t="inlineStr">
        <is>
          <t>EU</t>
        </is>
      </c>
    </row>
    <row r="6" hidden="1" s="41">
      <c r="A6" s="13" t="inlineStr">
        <is>
          <t>Original reviewer</t>
        </is>
      </c>
      <c r="B6" s="40" t="inlineStr">
        <is>
          <t>Carolina</t>
        </is>
      </c>
    </row>
    <row r="7" hidden="1" s="41">
      <c r="A7" s="13" t="inlineStr">
        <is>
          <t>Original status</t>
        </is>
      </c>
      <c r="B7" s="40" t="inlineStr">
        <is>
          <t>Approved</t>
        </is>
      </c>
    </row>
    <row r="8">
      <c r="A8" s="13" t="inlineStr">
        <is>
          <t>Question</t>
        </is>
      </c>
      <c r="B8" s="40" t="inlineStr">
        <is>
          <t>What is an undertaking entitled to know about the indicia underpinning an inspection decision, beyond its subject matter and purpose under Article 20(4) of Regulation 1/2003?</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c r="A23" s="40" t="n"/>
      <c r="B23" s="40" t="n"/>
      <c r="C23" s="40" t="n"/>
      <c r="D23" s="40" t="n"/>
      <c r="E23" s="40" t="n"/>
      <c r="F23" s="40" t="n"/>
      <c r="G23" s="40" t="n"/>
      <c r="H23" s="40" t="n"/>
    </row>
    <row r="24">
      <c r="A24" s="10" t="inlineStr">
        <is>
          <t>Claim-by-claim review</t>
        </is>
      </c>
      <c r="G24" s="40" t="n"/>
      <c r="H24" s="40" t="n"/>
    </row>
    <row r="25">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c r="A35" s="40" t="n"/>
      <c r="B35" s="40" t="n"/>
      <c r="C35" s="40" t="n"/>
      <c r="D35" s="40" t="n"/>
      <c r="E35" s="40" t="n"/>
      <c r="F35" s="40" t="n"/>
      <c r="G35" s="40" t="n"/>
      <c r="H35" s="40" t="n"/>
    </row>
    <row r="36">
      <c r="A36" s="44" t="inlineStr">
        <is>
          <t>Final expert verdict</t>
        </is>
      </c>
    </row>
    <row r="37">
      <c r="A37" s="28" t="inlineStr">
        <is>
          <t>Reviewer</t>
        </is>
      </c>
      <c r="B37" s="23" t="n"/>
      <c r="C37" s="28" t="n"/>
      <c r="D37" s="29" t="n"/>
      <c r="E37" s="23" t="n"/>
      <c r="F37" s="23" t="n"/>
      <c r="G37" s="23" t="n"/>
      <c r="H37" s="23" t="n"/>
    </row>
    <row r="38">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c r="A40" s="28" t="inlineStr">
        <is>
          <t>Review completed?</t>
        </is>
      </c>
      <c r="B40" s="30" t="n"/>
      <c r="C40" s="28" t="n"/>
      <c r="D40" s="29" t="n"/>
      <c r="E40" s="23" t="n"/>
      <c r="F40" s="23" t="n"/>
      <c r="G40" s="23" t="n"/>
      <c r="H40" s="23" t="n"/>
    </row>
    <row r="41" ht="54" customHeight="1" s="41"/>
    <row r="42" ht="54" customHeight="1" s="41"/>
    <row r="43" ht="54" customHeight="1" s="41"/>
    <row r="44" ht="54" customHeight="1" s="41"/>
    <row r="45" ht="54" customHeight="1" s="41"/>
    <row r="46" ht="54" customHeight="1" s="41"/>
    <row r="47" ht="54" customHeight="1" s="41"/>
    <row r="48" ht="54" customHeight="1" s="41"/>
    <row r="49" ht="54" customHeight="1" s="41"/>
    <row r="50" ht="54" customHeight="1" s="41"/>
    <row r="51" ht="54" customHeight="1" s="41"/>
    <row r="52" ht="54" customHeight="1" s="41"/>
    <row r="53" ht="54" customHeight="1" s="41"/>
    <row r="54" ht="54" customHeight="1" s="41"/>
    <row r="55" ht="54" customHeight="1" s="41"/>
    <row r="56" ht="54" customHeight="1" s="41"/>
    <row r="57" ht="54" customHeight="1" s="41"/>
    <row r="58" ht="54" customHeight="1" s="41"/>
    <row r="59" ht="54" customHeight="1" s="41"/>
    <row r="60" ht="15.75" customHeight="1" s="41"/>
    <row r="61" ht="15.75" customHeight="1" s="41"/>
    <row r="62" ht="15.75" customHeight="1" s="41"/>
    <row r="63" ht="54" customHeight="1" s="41"/>
    <row r="64" ht="15.75" customHeight="1" s="41"/>
    <row r="65" ht="15.75" customHeight="1" s="41"/>
    <row r="66" ht="15.75" customHeight="1" s="41"/>
    <row r="67" ht="15.75" customHeight="1" s="41"/>
    <row r="68" ht="15.75" customHeight="1" s="41"/>
    <row r="69" ht="15.75" customHeight="1" s="41">
      <c r="A69" s="44" t="inlineStr">
        <is>
          <t>Original source notes</t>
        </is>
      </c>
      <c r="I69" s="40" t="n"/>
      <c r="J69" s="40" t="n"/>
    </row>
    <row r="70" ht="15.75" customHeight="1" s="41">
      <c r="A70" s="28" t="inlineStr">
        <is>
          <t>WAB notes</t>
        </is>
      </c>
      <c r="B70" s="23" t="inlineStr">
        <is>
          <t>Split from the question 31 following Carolina’s feedback. Question 2.</t>
        </is>
      </c>
      <c r="C70" s="45" t="n"/>
      <c r="D70" s="45" t="n"/>
      <c r="E70" s="45" t="n"/>
      <c r="F70" s="45" t="n"/>
      <c r="G70" s="45" t="n"/>
      <c r="H70" s="46" t="n"/>
      <c r="I70" s="40" t="n"/>
      <c r="J70" s="40" t="n"/>
    </row>
    <row r="71" ht="54" customHeight="1" s="41">
      <c r="A71" s="28" t="inlineStr">
        <is>
          <t>Reviewer notes from question approval</t>
        </is>
      </c>
      <c r="B71" s="23" t="inlineStr">
        <is>
          <t>let's frame it in the following way "What is an undertaking entitled to know about the indicia underpinning an inspection decision, beyond its subject matter and purpose under Article 20(4) of Regulation 1/2003?"</t>
        </is>
      </c>
      <c r="C71" s="47" t="n"/>
      <c r="D71" s="47" t="n"/>
      <c r="E71" s="47" t="n"/>
      <c r="F71" s="47" t="n"/>
      <c r="G71" s="47" t="n"/>
      <c r="H71" s="48" t="n"/>
      <c r="I71" s="40" t="n"/>
      <c r="J71" s="40" t="n"/>
    </row>
    <row r="72" ht="15.75" customHeight="1" s="41">
      <c r="A72" s="23" t="n"/>
      <c r="B72" s="49" t="n"/>
      <c r="C72" s="50" t="n"/>
      <c r="D72" s="50" t="n"/>
      <c r="E72" s="50" t="n"/>
      <c r="F72" s="50" t="n"/>
      <c r="G72" s="50" t="n"/>
      <c r="H72" s="51" t="n"/>
      <c r="I72" s="40" t="n"/>
      <c r="J72" s="40" t="n"/>
    </row>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autoFilter ref="$A$13:$H$22"/>
  <mergeCells count="22">
    <mergeCell ref="A9:H9"/>
    <mergeCell ref="B65:H65"/>
    <mergeCell ref="B71:H72"/>
    <mergeCell ref="B6:H6"/>
    <mergeCell ref="A36:H36"/>
    <mergeCell ref="A1:H1"/>
    <mergeCell ref="B5:H5"/>
    <mergeCell ref="A61:H61"/>
    <mergeCell ref="A69:H69"/>
    <mergeCell ref="B4:H4"/>
    <mergeCell ref="B62:H62"/>
    <mergeCell ref="B7:H7"/>
    <mergeCell ref="B3:H3"/>
    <mergeCell ref="A12:H12"/>
    <mergeCell ref="B66:H66"/>
    <mergeCell ref="A2:H2"/>
    <mergeCell ref="B39:H39"/>
    <mergeCell ref="B70:H70"/>
    <mergeCell ref="A24:F24"/>
    <mergeCell ref="B63:H64"/>
    <mergeCell ref="B8:H8"/>
    <mergeCell ref="A10:H10"/>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Q51 — Expert Review</t>
        </is>
      </c>
    </row>
    <row r="2" hidden="1" s="41">
      <c r="A2" s="44" t="inlineStr">
        <is>
          <t>Question metadata</t>
        </is>
      </c>
    </row>
    <row r="3" hidden="1" s="41">
      <c r="A3" s="13" t="inlineStr">
        <is>
          <t>Question ID</t>
        </is>
      </c>
      <c r="B3" s="39" t="n">
        <v>51</v>
      </c>
    </row>
    <row r="4" hidden="1" s="41">
      <c r="A4" s="13" t="inlineStr">
        <is>
          <t>Topic</t>
        </is>
      </c>
      <c r="B4" s="40" t="inlineStr">
        <is>
          <t>Dawn raids — legal professional privilege</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How are attorney-client privilege and work-product protection safeguarded in U.S. antitrust investigations conducted through criminal search warrants or civil compulsory process? What protections, including filter teams or special masters, prevent privileged material from reaching the investigating team, and at what stages can privilege concerns arise — seizure, initial review, disclosure, retention, or derivative use?</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sheetPr>
  <dimension ref="A1:H40"/>
  <sheetViews>
    <sheetView showGridLines="0" workbookViewId="0">
      <pane ySplit="13" topLeftCell="A14" activePane="bottomLeft" state="frozen"/>
      <selection pane="bottomLeft" activeCell="B15" sqref="B15"/>
    </sheetView>
  </sheetViews>
  <sheetFormatPr baseColWidth="8" defaultColWidth="14.43" defaultRowHeight="15" customHeight="1"/>
  <cols>
    <col width="18.14" customWidth="1" style="41" min="1" max="1"/>
    <col width="34" customWidth="1" style="41" min="2" max="2"/>
    <col width="24" customWidth="1" style="41" min="3" max="3"/>
    <col width="25.43" customWidth="1" style="41" min="4" max="4"/>
    <col width="27.14" customWidth="1" style="41" min="5" max="5"/>
    <col width="30" customWidth="1" style="41" min="6" max="6"/>
    <col width="30.43" customWidth="1" style="41" min="7" max="7"/>
    <col width="21.57" customWidth="1" style="41" min="8" max="8"/>
    <col width="8.710000000000001" customWidth="1" style="41" min="9" max="24"/>
  </cols>
  <sheetData>
    <row r="1" ht="27.75" customHeight="1" s="41">
      <c r="A1" s="43" t="inlineStr">
        <is>
          <t>Q52 — Expert Review</t>
        </is>
      </c>
    </row>
    <row r="2" hidden="1" s="41">
      <c r="A2" s="44" t="inlineStr">
        <is>
          <t>Question metadata</t>
        </is>
      </c>
    </row>
    <row r="3" hidden="1" s="41">
      <c r="A3" s="13" t="inlineStr">
        <is>
          <t>Question ID</t>
        </is>
      </c>
      <c r="B3" s="39" t="n">
        <v>52</v>
      </c>
    </row>
    <row r="4" hidden="1" s="41">
      <c r="A4" s="13" t="inlineStr">
        <is>
          <t>Topic</t>
        </is>
      </c>
      <c r="B4" s="40" t="inlineStr">
        <is>
          <t>Dawn raids — electronic data</t>
        </is>
      </c>
    </row>
    <row r="5" hidden="1" s="41">
      <c r="A5" s="13" t="inlineStr">
        <is>
          <t>Scope</t>
        </is>
      </c>
      <c r="B5" s="40" t="inlineStr">
        <is>
          <t>US</t>
        </is>
      </c>
    </row>
    <row r="6" hidden="1" s="41">
      <c r="A6" s="13" t="inlineStr">
        <is>
          <t>Original reviewer</t>
        </is>
      </c>
      <c r="B6" s="40" t="inlineStr">
        <is>
          <t>Arthur</t>
        </is>
      </c>
    </row>
    <row r="7" hidden="1" s="41">
      <c r="A7" s="13" t="inlineStr">
        <is>
          <t>Original status</t>
        </is>
      </c>
      <c r="B7" s="40" t="inlineStr">
        <is>
          <t>Approved</t>
        </is>
      </c>
    </row>
    <row r="8">
      <c r="A8" s="13" t="inlineStr">
        <is>
          <t>Question</t>
        </is>
      </c>
      <c r="B8" s="40" t="inlineStr">
        <is>
          <t>How does obtaining and reviewing electronically stored information through subpoenas or Civil Investigative Demands (CIDs) in civil antitrust investigations differ from the criminal-search process?</t>
        </is>
      </c>
    </row>
    <row r="9">
      <c r="A9" s="44" t="inlineStr">
        <is>
          <t>Generated answer</t>
        </is>
      </c>
    </row>
    <row r="10">
      <c r="A10" s="19" t="inlineStr">
        <is>
          <t>Paste the generated answer here.</t>
        </is>
      </c>
    </row>
    <row r="11">
      <c r="A11" s="13" t="inlineStr">
        <is>
          <t>Run ID</t>
        </is>
      </c>
      <c r="B11" s="40" t="n"/>
      <c r="C11" s="13" t="inlineStr">
        <is>
          <t>Run date</t>
        </is>
      </c>
      <c r="D11" s="40" t="n"/>
      <c r="E11" s="13" t="n"/>
      <c r="F11" s="40" t="n"/>
      <c r="G11" s="13" t="n"/>
      <c r="H11" s="40" t="n"/>
    </row>
    <row r="12">
      <c r="A12" s="44" t="inlineStr">
        <is>
          <t>Retrieval set review</t>
        </is>
      </c>
    </row>
    <row r="13" ht="15.75" customHeight="1" s="41">
      <c r="A13" s="22" t="inlineStr">
        <is>
          <t>Rank</t>
        </is>
      </c>
      <c r="B13" s="22" t="inlineStr">
        <is>
          <t>Document name</t>
        </is>
      </c>
      <c r="C13" s="22" t="inlineStr">
        <is>
          <t>Document class</t>
        </is>
      </c>
      <c r="D13" s="22" t="inlineStr">
        <is>
          <t>Jurisdiction</t>
        </is>
      </c>
      <c r="E13" s="22" t="inlineStr">
        <is>
          <t>URL / Document ID</t>
        </is>
      </c>
      <c r="F13" s="22" t="inlineStr">
        <is>
          <t>Required source?</t>
        </is>
      </c>
      <c r="G13" s="22" t="inlineStr">
        <is>
          <t>Expert verdict</t>
        </is>
      </c>
      <c r="H13" s="22" t="inlineStr">
        <is>
          <t>Notes</t>
        </is>
      </c>
    </row>
    <row r="14">
      <c r="A14" s="23" t="n">
        <v>1</v>
      </c>
      <c r="B14" s="23" t="n"/>
      <c r="C14" s="23" t="n"/>
      <c r="D14" s="23" t="n"/>
      <c r="E14" s="23" t="n"/>
      <c r="F14" s="23" t="n"/>
      <c r="G14" s="23" t="n"/>
      <c r="H14" s="23" t="n"/>
    </row>
    <row r="15">
      <c r="A15" s="23" t="n">
        <v>2</v>
      </c>
      <c r="B15" s="23" t="n"/>
      <c r="C15" s="23" t="n"/>
      <c r="D15" s="23" t="n"/>
      <c r="E15" s="23" t="n"/>
      <c r="F15" s="23" t="n"/>
      <c r="G15" s="23" t="n"/>
      <c r="H15" s="23" t="n"/>
    </row>
    <row r="16">
      <c r="A16" s="23" t="n">
        <v>3</v>
      </c>
      <c r="B16" s="23" t="n"/>
      <c r="C16" s="23" t="n"/>
      <c r="D16" s="23" t="n"/>
      <c r="E16" s="23" t="n"/>
      <c r="F16" s="23" t="n"/>
      <c r="G16" s="23" t="n"/>
      <c r="H16" s="23" t="n"/>
    </row>
    <row r="17">
      <c r="A17" s="23" t="n">
        <v>4</v>
      </c>
      <c r="B17" s="23" t="n"/>
      <c r="C17" s="23" t="n"/>
      <c r="D17" s="23" t="n"/>
      <c r="E17" s="23" t="n"/>
      <c r="F17" s="23" t="n"/>
      <c r="G17" s="23" t="n"/>
      <c r="H17" s="23" t="n"/>
    </row>
    <row r="18">
      <c r="A18" s="23" t="n">
        <v>5</v>
      </c>
      <c r="B18" s="23" t="n"/>
      <c r="C18" s="23" t="n"/>
      <c r="D18" s="23" t="n"/>
      <c r="E18" s="23" t="n"/>
      <c r="F18" s="23" t="n"/>
      <c r="G18" s="23" t="n"/>
      <c r="H18" s="23" t="n"/>
    </row>
    <row r="19">
      <c r="A19" s="23" t="n">
        <v>6</v>
      </c>
      <c r="B19" s="23" t="n"/>
      <c r="C19" s="23" t="n"/>
      <c r="D19" s="23" t="n"/>
      <c r="E19" s="23" t="n"/>
      <c r="F19" s="23" t="n"/>
      <c r="G19" s="23" t="n"/>
      <c r="H19" s="23" t="n"/>
    </row>
    <row r="20">
      <c r="A20" s="23" t="n">
        <v>7</v>
      </c>
      <c r="B20" s="23" t="n"/>
      <c r="C20" s="23" t="n"/>
      <c r="D20" s="23" t="n"/>
      <c r="E20" s="23" t="n"/>
      <c r="F20" s="23" t="n"/>
      <c r="G20" s="23" t="n"/>
      <c r="H20" s="23" t="n"/>
    </row>
    <row r="21">
      <c r="A21" s="23" t="n">
        <v>8</v>
      </c>
      <c r="B21" s="23" t="n"/>
      <c r="C21" s="23" t="n"/>
      <c r="D21" s="23" t="n"/>
      <c r="E21" s="23" t="n"/>
      <c r="F21" s="23" t="n"/>
      <c r="G21" s="23" t="n"/>
      <c r="H21" s="23" t="n"/>
    </row>
    <row r="22">
      <c r="A22" s="23" t="n">
        <v>9</v>
      </c>
      <c r="B22" s="23" t="n"/>
      <c r="C22" s="23" t="n"/>
      <c r="D22" s="23" t="n"/>
      <c r="E22" s="23" t="n"/>
      <c r="F22" s="23" t="n"/>
      <c r="G22" s="23" t="n"/>
      <c r="H22" s="23" t="n"/>
    </row>
    <row r="23" ht="15.75" customHeight="1" s="41">
      <c r="A23" s="40" t="n"/>
      <c r="B23" s="40" t="n"/>
      <c r="C23" s="40" t="n"/>
      <c r="D23" s="40" t="n"/>
      <c r="E23" s="40" t="n"/>
      <c r="F23" s="40" t="n"/>
      <c r="G23" s="40" t="n"/>
      <c r="H23" s="40" t="n"/>
    </row>
    <row r="24" ht="15.75" customHeight="1" s="41">
      <c r="A24" s="10" t="inlineStr">
        <is>
          <t>Claim-by-claim review</t>
        </is>
      </c>
      <c r="G24" s="40" t="n"/>
      <c r="H24" s="40" t="n"/>
    </row>
    <row r="25" ht="15.75" customHeight="1" s="41">
      <c r="A25" s="27" t="inlineStr">
        <is>
          <t>Claim ID</t>
        </is>
      </c>
      <c r="B25" s="27" t="inlineStr">
        <is>
          <t>Claim from answer</t>
        </is>
      </c>
      <c r="C25" s="27" t="inlineStr">
        <is>
          <t>Cited document</t>
        </is>
      </c>
      <c r="D25" s="27" t="inlineStr">
        <is>
          <t>Expert verdict</t>
        </is>
      </c>
      <c r="E25" s="27" t="inlineStr">
        <is>
          <t>Cited passage</t>
        </is>
      </c>
      <c r="F25" s="27" t="inlineStr">
        <is>
          <t>Required fix / comment</t>
        </is>
      </c>
      <c r="G25" s="40" t="n"/>
      <c r="H25" s="40" t="n"/>
    </row>
    <row r="26">
      <c r="A26" s="23" t="n">
        <v>1</v>
      </c>
      <c r="B26" s="23" t="n"/>
      <c r="C26" s="23" t="n"/>
      <c r="D26" s="23" t="n"/>
      <c r="E26" s="23" t="n"/>
      <c r="F26" s="23" t="n"/>
      <c r="G26" s="40" t="n"/>
      <c r="H26" s="40" t="n"/>
    </row>
    <row r="27">
      <c r="A27" s="23" t="n">
        <v>2</v>
      </c>
      <c r="B27" s="23" t="n"/>
      <c r="C27" s="23" t="n"/>
      <c r="D27" s="23" t="n"/>
      <c r="E27" s="23" t="n"/>
      <c r="F27" s="23" t="n"/>
      <c r="G27" s="40" t="n"/>
      <c r="H27" s="40" t="n"/>
    </row>
    <row r="28">
      <c r="A28" s="23" t="n">
        <v>3</v>
      </c>
      <c r="B28" s="23" t="n"/>
      <c r="C28" s="23" t="n"/>
      <c r="D28" s="23" t="n"/>
      <c r="E28" s="23" t="n"/>
      <c r="F28" s="23" t="n"/>
      <c r="G28" s="40" t="n"/>
      <c r="H28" s="40" t="n"/>
    </row>
    <row r="29">
      <c r="A29" s="23" t="n">
        <v>4</v>
      </c>
      <c r="B29" s="23" t="n"/>
      <c r="C29" s="23" t="n"/>
      <c r="D29" s="23" t="n"/>
      <c r="E29" s="23" t="n"/>
      <c r="F29" s="23" t="n"/>
      <c r="G29" s="40" t="n"/>
      <c r="H29" s="40" t="n"/>
    </row>
    <row r="30">
      <c r="A30" s="23" t="n">
        <v>5</v>
      </c>
      <c r="B30" s="23" t="n"/>
      <c r="C30" s="23" t="n"/>
      <c r="D30" s="23" t="n"/>
      <c r="E30" s="23" t="n"/>
      <c r="F30" s="23" t="n"/>
      <c r="G30" s="40" t="n"/>
      <c r="H30" s="40" t="n"/>
    </row>
    <row r="31">
      <c r="A31" s="23" t="n">
        <v>6</v>
      </c>
      <c r="B31" s="23" t="n"/>
      <c r="C31" s="23" t="n"/>
      <c r="D31" s="23" t="n"/>
      <c r="E31" s="23" t="n"/>
      <c r="F31" s="23" t="n"/>
      <c r="G31" s="40" t="n"/>
      <c r="H31" s="40" t="n"/>
    </row>
    <row r="32">
      <c r="A32" s="23" t="n">
        <v>7</v>
      </c>
      <c r="B32" s="23" t="n"/>
      <c r="C32" s="23" t="n"/>
      <c r="D32" s="23" t="n"/>
      <c r="E32" s="23" t="n"/>
      <c r="F32" s="23" t="n"/>
      <c r="G32" s="40" t="n"/>
      <c r="H32" s="40" t="n"/>
    </row>
    <row r="33">
      <c r="A33" s="23" t="n">
        <v>8</v>
      </c>
      <c r="B33" s="23" t="n"/>
      <c r="C33" s="23" t="n"/>
      <c r="D33" s="23" t="n"/>
      <c r="E33" s="23" t="n"/>
      <c r="F33" s="23" t="n"/>
      <c r="G33" s="40" t="n"/>
      <c r="H33" s="40" t="n"/>
    </row>
    <row r="34">
      <c r="A34" s="23" t="n">
        <v>9</v>
      </c>
      <c r="B34" s="23" t="n"/>
      <c r="C34" s="23" t="n"/>
      <c r="D34" s="23" t="n"/>
      <c r="E34" s="23" t="n"/>
      <c r="F34" s="23" t="n"/>
      <c r="G34" s="40" t="n"/>
      <c r="H34" s="40" t="n"/>
    </row>
    <row r="35" ht="15.75" customHeight="1" s="41">
      <c r="A35" s="40" t="n"/>
      <c r="B35" s="40" t="n"/>
      <c r="C35" s="40" t="n"/>
      <c r="D35" s="40" t="n"/>
      <c r="E35" s="40" t="n"/>
      <c r="F35" s="40" t="n"/>
      <c r="G35" s="40" t="n"/>
      <c r="H35" s="40" t="n"/>
    </row>
    <row r="36" ht="15.75" customHeight="1" s="41">
      <c r="A36" s="44" t="inlineStr">
        <is>
          <t>Final expert verdict</t>
        </is>
      </c>
    </row>
    <row r="37" ht="15.75" customHeight="1" s="41">
      <c r="A37" s="28" t="inlineStr">
        <is>
          <t>Reviewer</t>
        </is>
      </c>
      <c r="B37" s="23" t="n"/>
      <c r="C37" s="28" t="n"/>
      <c r="D37" s="29" t="n"/>
      <c r="E37" s="23" t="n"/>
      <c r="F37" s="23" t="n"/>
      <c r="G37" s="23" t="n"/>
      <c r="H37" s="23" t="n"/>
    </row>
    <row r="38" ht="15.75" customHeight="1" s="41">
      <c r="A38" s="28" t="inlineStr">
        <is>
          <t>Is the answer acceptable?</t>
        </is>
      </c>
      <c r="B38" s="30" t="n"/>
      <c r="C38" s="28" t="n"/>
      <c r="D38" s="29" t="n"/>
      <c r="E38" s="23" t="n"/>
      <c r="F38" s="23" t="n"/>
      <c r="G38" s="23" t="n"/>
      <c r="H38" s="23" t="n"/>
    </row>
    <row r="39">
      <c r="A39" s="28" t="inlineStr">
        <is>
          <t>Overall comment / required fixes</t>
        </is>
      </c>
      <c r="B39" s="23" t="n"/>
      <c r="C39" s="45" t="n"/>
      <c r="D39" s="45" t="n"/>
      <c r="E39" s="45" t="n"/>
      <c r="F39" s="45" t="n"/>
      <c r="G39" s="45" t="n"/>
      <c r="H39" s="46" t="n"/>
    </row>
    <row r="40" ht="15.75" customHeight="1" s="41">
      <c r="A40" s="28" t="inlineStr">
        <is>
          <t>Review completed?</t>
        </is>
      </c>
      <c r="B40" s="30" t="n"/>
      <c r="C40" s="28" t="n"/>
      <c r="D40" s="29" t="n"/>
      <c r="E40" s="23" t="n"/>
      <c r="F40" s="23" t="n"/>
      <c r="G40" s="23" t="n"/>
      <c r="H40" s="23" t="n"/>
    </row>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sheetData>
  <autoFilter ref="$A$13:$H$22"/>
  <mergeCells count="14">
    <mergeCell ref="A9:H9"/>
    <mergeCell ref="A24:F24"/>
    <mergeCell ref="B8:H8"/>
    <mergeCell ref="A12:H12"/>
    <mergeCell ref="B4:H4"/>
    <mergeCell ref="A2:H2"/>
    <mergeCell ref="A10:H10"/>
    <mergeCell ref="B39:H39"/>
    <mergeCell ref="B6:H6"/>
    <mergeCell ref="A36:H36"/>
    <mergeCell ref="B7:H7"/>
    <mergeCell ref="A1:H1"/>
    <mergeCell ref="B3:H3"/>
    <mergeCell ref="B5:H5"/>
  </mergeCells>
  <dataValidations count="7">
    <dataValidation sqref="B37" showDropDown="0" showInputMessage="0" showErrorMessage="1" allowBlank="1" type="list">
      <formula1>"Carolina,Arthur,Jeanne"</formula1>
    </dataValidation>
    <dataValidation sqref="D26:D34 G14:G22" showDropDown="0" showInputMessage="0" showErrorMessage="1" allowBlank="1" type="list">
      <formula1>"Supports claim,Partially supports claim,Does not support claim"</formula1>
    </dataValidation>
    <dataValidation sqref="F14:F22" showDropDown="0" showInputMessage="0" showErrorMessage="1" allowBlank="1" type="list">
      <formula1>"Yes,No,Partially,Unknown"</formula1>
    </dataValidation>
    <dataValidation sqref="B40" showDropDown="0" showInputMessage="0" showErrorMessage="1" allowBlank="1" type="list">
      <formula1>"Review completed,Review is required"</formula1>
    </dataValidation>
    <dataValidation sqref="D14:D22" showDropDown="0" showInputMessage="0" showErrorMessage="1" allowBlank="1" type="list">
      <formula1>"EU,France,US,UK,Belgium,Ireland,Other,Not applicable"</formula1>
    </dataValidation>
    <dataValidation sqref="C14:C22" showDropDown="0" showInputMessage="0" showErrorMessage="1" allowBlank="1" type="list">
      <formula1>"Primary law,Concurrences commentary,Book,Other"</formula1>
    </dataValidation>
    <dataValidation sqref="B38" showDropDown="0" showInputMessage="0" showErrorMessage="1" allowBlank="1" type="list">
      <formula1>"Yes,No"</formula1>
    </dataValidation>
  </dataValidations>
  <pageMargins left="0.75" right="0.75" top="1" bottom="1"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2026-08-17T10:25:12Z</dcterms:created>
  <dcterms:modified xmlns:dcterms="http://purl.org/dc/terms/" xmlns:xsi="http://www.w3.org/2001/XMLSchema-instance" xsi:type="dcterms:W3CDTF">2026-08-17T10:25:13Z</dcterms:modified>
</cp:coreProperties>
</file>